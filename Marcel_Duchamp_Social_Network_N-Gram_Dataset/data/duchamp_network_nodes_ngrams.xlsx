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_rels/sheet1.xml.rels" ContentType="application/vnd.openxmlformats-package.relationships+xml"/>
  <Override PartName="/xl/worksheets/_rels/sheet4.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_rels/drawing2.xml.rels" ContentType="application/vnd.openxmlformats-package.relationships+xml"/>
  <Override PartName="/xl/sharedStrings.xml" ContentType="application/vnd.openxmlformats-officedocument.spreadsheetml.sharedStrings+xml"/>
  <Override PartName="/xl/media/image1.jpeg" ContentType="image/jpeg"/>
  <Override PartName="/xl/media/image2.png" ContentType="image/png"/>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N_gram" sheetId="1" state="visible" r:id="rId2"/>
    <sheet name="Introdução ao N_Gram" sheetId="2" state="visible" r:id="rId3"/>
    <sheet name="Lista de Variáveis" sheetId="3" state="visible" r:id="rId4"/>
    <sheet name="Dados do Projeto" sheetId="4" state="visible" r:id="rId5"/>
  </sheets>
  <definedNames>
    <definedName function="false" hidden="true" localSheetId="0" name="_xlnm._FilterDatabase" vbProcedure="false">N_gram!$A$2:$AX$437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<sst xmlns="http://schemas.openxmlformats.org/spreadsheetml/2006/main" count="1949" uniqueCount="503">
  <si>
    <t xml:space="preserve">NGRAM - REDE MARCEL DUCHAMP</t>
  </si>
  <si>
    <t xml:space="preserve">ID</t>
  </si>
  <si>
    <t xml:space="preserve">Label</t>
  </si>
  <si>
    <t xml:space="preserve">DATA COLETA</t>
  </si>
  <si>
    <t xml:space="preserve">SMOOTH</t>
  </si>
  <si>
    <t xml:space="preserve">Intervalo</t>
  </si>
  <si>
    <t xml:space="preserve">Corpus Ngram</t>
  </si>
  <si>
    <t xml:space="preserve">Erro</t>
  </si>
  <si>
    <t xml:space="preserve">Total de Erros</t>
  </si>
  <si>
    <t xml:space="preserve">Utilizar?</t>
  </si>
  <si>
    <t xml:space="preserve">Birth</t>
  </si>
  <si>
    <t xml:space="preserve">Morte</t>
  </si>
  <si>
    <t xml:space="preserve">ZEROS</t>
  </si>
  <si>
    <t xml:space="preserve">Número</t>
  </si>
  <si>
    <t xml:space="preserve">STATUS</t>
  </si>
  <si>
    <t xml:space="preserve">Rimbaud</t>
  </si>
  <si>
    <t xml:space="preserve">1889-2019</t>
  </si>
  <si>
    <t xml:space="preserve">English (2019)</t>
  </si>
  <si>
    <t xml:space="preserve">SIM</t>
  </si>
  <si>
    <t xml:space="preserve">Marcel Duchamp</t>
  </si>
  <si>
    <t xml:space="preserve">Suzanne Duchamp</t>
  </si>
  <si>
    <t xml:space="preserve">Charles Desmares</t>
  </si>
  <si>
    <t xml:space="preserve">NA</t>
  </si>
  <si>
    <t xml:space="preserve">Jacques Villon</t>
  </si>
  <si>
    <t xml:space="preserve">Louis Vauxcelles</t>
  </si>
  <si>
    <t xml:space="preserve">Raymond Duchamp-Villon</t>
  </si>
  <si>
    <t xml:space="preserve">Walter Pach</t>
  </si>
  <si>
    <t xml:space="preserve">Magdaleine Frohberg</t>
  </si>
  <si>
    <t xml:space="preserve">Yvonne Duchamp</t>
  </si>
  <si>
    <t xml:space="preserve">Gaby Villon</t>
  </si>
  <si>
    <t xml:space="preserve">Constantin Brancusi</t>
  </si>
  <si>
    <t xml:space="preserve">Robert Delaunay</t>
  </si>
  <si>
    <t xml:space="preserve">Frederic C. Torrey</t>
  </si>
  <si>
    <t xml:space="preserve">Francis Picabia</t>
  </si>
  <si>
    <t xml:space="preserve">Georges Ribemont-Dessaignes</t>
  </si>
  <si>
    <t xml:space="preserve">Arthur B. Davies</t>
  </si>
  <si>
    <t xml:space="preserve">Walt Kuhn</t>
  </si>
  <si>
    <t xml:space="preserve">Alexandre Mercerau</t>
  </si>
  <si>
    <t xml:space="preserve">Albert Gleizes</t>
  </si>
  <si>
    <t xml:space="preserve">John Quinn</t>
  </si>
  <si>
    <t xml:space="preserve">Frederick James Gregg</t>
  </si>
  <si>
    <t xml:space="preserve">Bella Greene</t>
  </si>
  <si>
    <t xml:space="preserve">Jean Crotti</t>
  </si>
  <si>
    <t xml:space="preserve">Yvonne Chastel</t>
  </si>
  <si>
    <t xml:space="preserve">Bernard Naudin</t>
  </si>
  <si>
    <t xml:space="preserve">Katherine Dreier</t>
  </si>
  <si>
    <t xml:space="preserve">Ettie Stettheimer</t>
  </si>
  <si>
    <t xml:space="preserve">Carrie Stettheimer</t>
  </si>
  <si>
    <t xml:space="preserve">Florine Stettheimer</t>
  </si>
  <si>
    <t xml:space="preserve">Avery Hopwood</t>
  </si>
  <si>
    <t xml:space="preserve">Louise Arensberg</t>
  </si>
  <si>
    <t xml:space="preserve">Walter Arensberg</t>
  </si>
  <si>
    <t xml:space="preserve">Aileen Dresser</t>
  </si>
  <si>
    <t xml:space="preserve">Beatrice Wood</t>
  </si>
  <si>
    <t xml:space="preserve">Helen Freeman</t>
  </si>
  <si>
    <t xml:space="preserve">Henri-Pierre Roché</t>
  </si>
  <si>
    <t xml:space="preserve">Alfred Stieglitz</t>
  </si>
  <si>
    <t xml:space="preserve">Edgard Varèse</t>
  </si>
  <si>
    <t xml:space="preserve">Marius de Zayas</t>
  </si>
  <si>
    <t xml:space="preserve">Allen Norton</t>
  </si>
  <si>
    <t xml:space="preserve">Henri-Martin Barzun</t>
  </si>
  <si>
    <t xml:space="preserve">Morton Schamberg</t>
  </si>
  <si>
    <t xml:space="preserve">Guillaume Apollinaire</t>
  </si>
  <si>
    <t xml:space="preserve">Arthur Cravan</t>
  </si>
  <si>
    <t xml:space="preserve">Mina Loy</t>
  </si>
  <si>
    <t xml:space="preserve">Elmer Ernest Southard</t>
  </si>
  <si>
    <t xml:space="preserve">Alfredo Sidès</t>
  </si>
  <si>
    <t xml:space="preserve">Elie Nadelman</t>
  </si>
  <si>
    <t xml:space="preserve">Carl Van Vechten</t>
  </si>
  <si>
    <t xml:space="preserve">Man Ray</t>
  </si>
  <si>
    <t xml:space="preserve">Robert Carlton Brown</t>
  </si>
  <si>
    <t xml:space="preserve">Gaston Lachaise</t>
  </si>
  <si>
    <t xml:space="preserve">Leo Stein</t>
  </si>
  <si>
    <t xml:space="preserve">Robert J. Coady</t>
  </si>
  <si>
    <t xml:space="preserve">Newman Emerson Montross</t>
  </si>
  <si>
    <t xml:space="preserve">Frank J. Marshall</t>
  </si>
  <si>
    <t xml:space="preserve">Bessie Breuer</t>
  </si>
  <si>
    <t xml:space="preserve">Tristan Tzara</t>
  </si>
  <si>
    <t xml:space="preserve">Germaine Everling</t>
  </si>
  <si>
    <t xml:space="preserve">Peter Juley</t>
  </si>
  <si>
    <t xml:space="preserve">Charles Sheeler</t>
  </si>
  <si>
    <t xml:space="preserve">Madeleine Turban</t>
  </si>
  <si>
    <t xml:space="preserve">Georges Carpentier</t>
  </si>
  <si>
    <t xml:space="preserve">André Lhote</t>
  </si>
  <si>
    <t xml:space="preserve">Paul Thévenaz</t>
  </si>
  <si>
    <t xml:space="preserve">Marsden Hartley</t>
  </si>
  <si>
    <t xml:space="preserve">Léonce Rosenberg</t>
  </si>
  <si>
    <t xml:space="preserve">Alice Prin</t>
  </si>
  <si>
    <t xml:space="preserve">Charles Daniel</t>
  </si>
  <si>
    <t xml:space="preserve">Joseph Stella</t>
  </si>
  <si>
    <t xml:space="preserve">Henry McBride</t>
  </si>
  <si>
    <t xml:space="preserve">Fania Marinoff</t>
  </si>
  <si>
    <t xml:space="preserve">Gaby Buffet-Picabia</t>
  </si>
  <si>
    <t xml:space="preserve">Nicole Groult </t>
  </si>
  <si>
    <t xml:space="preserve">Léon Hartl</t>
  </si>
  <si>
    <t xml:space="preserve">Elsa von Freytag-Loringhoven</t>
  </si>
  <si>
    <t xml:space="preserve">Pierre de Massot</t>
  </si>
  <si>
    <t xml:space="preserve">Jane Heap</t>
  </si>
  <si>
    <t xml:space="preserve">Margaret Anderson</t>
  </si>
  <si>
    <t xml:space="preserve">Robert Evans Locher</t>
  </si>
  <si>
    <t xml:space="preserve">Alfred Kreymborg</t>
  </si>
  <si>
    <t xml:space="preserve">Darius Milhaud</t>
  </si>
  <si>
    <t xml:space="preserve">André Breton</t>
  </si>
  <si>
    <t xml:space="preserve">Max Weber</t>
  </si>
  <si>
    <t xml:space="preserve">NÃO</t>
  </si>
  <si>
    <t xml:space="preserve">Madge Lipton</t>
  </si>
  <si>
    <t xml:space="preserve">Georgette Leblanc</t>
  </si>
  <si>
    <t xml:space="preserve">Jacques Doucet</t>
  </si>
  <si>
    <t xml:space="preserve">Paul Morand</t>
  </si>
  <si>
    <t xml:space="preserve">Frederick Kracke</t>
  </si>
  <si>
    <t xml:space="preserve">Forbes Watson</t>
  </si>
  <si>
    <t xml:space="preserve">Edward Steinchen</t>
  </si>
  <si>
    <t xml:space="preserve">Mary Rumsey</t>
  </si>
  <si>
    <t xml:space="preserve">Yasuo Kuniyoshi</t>
  </si>
  <si>
    <t xml:space="preserve">Earl Horter</t>
  </si>
  <si>
    <t xml:space="preserve">William Hekking</t>
  </si>
  <si>
    <t xml:space="preserve">Lydie Sarazin-Levassor</t>
  </si>
  <si>
    <t xml:space="preserve">Maurice Lefèbvre-Foinet</t>
  </si>
  <si>
    <t xml:space="preserve">Alexander Bing</t>
  </si>
  <si>
    <t xml:space="preserve">Florence Bing</t>
  </si>
  <si>
    <t xml:space="preserve">Louis Michel Eilshemius</t>
  </si>
  <si>
    <t xml:space="preserve">Georgia O'Keeffe</t>
  </si>
  <si>
    <t xml:space="preserve">Max Ernst</t>
  </si>
  <si>
    <t xml:space="preserve">Herwarh Walden</t>
  </si>
  <si>
    <t xml:space="preserve">Joseph Brummer</t>
  </si>
  <si>
    <t xml:space="preserve">Jules Pascin</t>
  </si>
  <si>
    <t xml:space="preserve">Waldemar George</t>
  </si>
  <si>
    <t xml:space="preserve">Louis Aragon</t>
  </si>
  <si>
    <t xml:space="preserve">Camille Goëmans</t>
  </si>
  <si>
    <t xml:space="preserve">Christian Zervos</t>
  </si>
  <si>
    <t xml:space="preserve">Amédée Ozenfant</t>
  </si>
  <si>
    <t xml:space="preserve">Mary Reynolds</t>
  </si>
  <si>
    <t xml:space="preserve">Salvador Dalí</t>
  </si>
  <si>
    <t xml:space="preserve">Gala Eluard</t>
  </si>
  <si>
    <t xml:space="preserve">Stephen C. Clark</t>
  </si>
  <si>
    <t xml:space="preserve">Frank Crowninshield</t>
  </si>
  <si>
    <t xml:space="preserve">Albert Eugene Gallatin</t>
  </si>
  <si>
    <t xml:space="preserve">Peggy Guggenheim</t>
  </si>
  <si>
    <t xml:space="preserve">Florette Seligman Guggenheim</t>
  </si>
  <si>
    <t xml:space="preserve">Albert C. Barnes</t>
  </si>
  <si>
    <t xml:space="preserve">Agnes Ernst Meyer</t>
  </si>
  <si>
    <t xml:space="preserve">Alice Roullier</t>
  </si>
  <si>
    <t xml:space="preserve">Robert Sturgis Ingersoll</t>
  </si>
  <si>
    <t xml:space="preserve">Maurice Speiser</t>
  </si>
  <si>
    <t xml:space="preserve">Alfred H. Barr Jr. </t>
  </si>
  <si>
    <t xml:space="preserve">Julien Levy</t>
  </si>
  <si>
    <t xml:space="preserve">Albert Skira </t>
  </si>
  <si>
    <t xml:space="preserve">Katharine Dudley</t>
  </si>
  <si>
    <t xml:space="preserve">Clarence J. Bulliet</t>
  </si>
  <si>
    <t xml:space="preserve">Arthur Heun</t>
  </si>
  <si>
    <t xml:space="preserve">Elizabeth Fuller Goodspeed</t>
  </si>
  <si>
    <t xml:space="preserve">Mariette Mills</t>
  </si>
  <si>
    <t xml:space="preserve">Jean Arp</t>
  </si>
  <si>
    <t xml:space="preserve">Magdeleine Duchamp</t>
  </si>
  <si>
    <t xml:space="preserve">George Of</t>
  </si>
  <si>
    <t xml:space="preserve">John Davidson</t>
  </si>
  <si>
    <t xml:space="preserve">Naum Gabo</t>
  </si>
  <si>
    <t xml:space="preserve">Antoine Pevsner</t>
  </si>
  <si>
    <t xml:space="preserve">Georges Hugnet</t>
  </si>
  <si>
    <t xml:space="preserve">Frederick Kiesler</t>
  </si>
  <si>
    <t xml:space="preserve">Berenice Abbott</t>
  </si>
  <si>
    <t xml:space="preserve">Adon Lacroix</t>
  </si>
  <si>
    <t xml:space="preserve">John E. Abbott</t>
  </si>
  <si>
    <t xml:space="preserve">Jaqueline Lamba</t>
  </si>
  <si>
    <t xml:space="preserve">Alphonse Duvernoy</t>
  </si>
  <si>
    <t xml:space="preserve">Robert Desnos</t>
  </si>
  <si>
    <t xml:space="preserve">Frank Brookes Hubachek</t>
  </si>
  <si>
    <t xml:space="preserve">René Lefèbvre-Foinet</t>
  </si>
  <si>
    <t xml:space="preserve">Sidney Janis</t>
  </si>
  <si>
    <t xml:space="preserve">Elizabeth H. Paepke</t>
  </si>
  <si>
    <t xml:space="preserve">Frida Kahlo</t>
  </si>
  <si>
    <t xml:space="preserve">Diego Rivera</t>
  </si>
  <si>
    <t xml:space="preserve">Elsa Schiaparelli</t>
  </si>
  <si>
    <t xml:space="preserve">Wolfgang Paalen</t>
  </si>
  <si>
    <t xml:space="preserve">Benjamin Péret</t>
  </si>
  <si>
    <t xml:space="preserve">Jimmy Ernst</t>
  </si>
  <si>
    <t xml:space="preserve">Pablo Picasso</t>
  </si>
  <si>
    <t xml:space="preserve">Virgil Thomson</t>
  </si>
  <si>
    <t xml:space="preserve">Antonin Heythum</t>
  </si>
  <si>
    <t xml:space="preserve">George Koltanowski</t>
  </si>
  <si>
    <t xml:space="preserve">E. L. T. Mesens</t>
  </si>
  <si>
    <t xml:space="preserve">André Crotti</t>
  </si>
  <si>
    <t xml:space="preserve">Raymond Peter Pach</t>
  </si>
  <si>
    <t xml:space="preserve">Robert Allerton Parker</t>
  </si>
  <si>
    <t xml:space="preserve">Yves Tanguy</t>
  </si>
  <si>
    <t xml:space="preserve">Fernand Léger</t>
  </si>
  <si>
    <t xml:space="preserve">Kurt Seligmann</t>
  </si>
  <si>
    <t xml:space="preserve">Wols</t>
  </si>
  <si>
    <t xml:space="preserve">James Thrall Soby</t>
  </si>
  <si>
    <t xml:space="preserve">Nicolas Calas</t>
  </si>
  <si>
    <t xml:space="preserve">Elisa Breton</t>
  </si>
  <si>
    <t xml:space="preserve">Robert Tenger</t>
  </si>
  <si>
    <t xml:space="preserve">James Johnson Sweeney</t>
  </si>
  <si>
    <t xml:space="preserve">Kay Boyle</t>
  </si>
  <si>
    <t xml:space="preserve">Maharajah of Indore</t>
  </si>
  <si>
    <t xml:space="preserve">René Clair</t>
  </si>
  <si>
    <t xml:space="preserve">Mary Sterner</t>
  </si>
  <si>
    <t xml:space="preserve">Maria Jolas</t>
  </si>
  <si>
    <t xml:space="preserve">André Masson</t>
  </si>
  <si>
    <t xml:space="preserve">Monroe Wheeler</t>
  </si>
  <si>
    <t xml:space="preserve">Juliet Browner</t>
  </si>
  <si>
    <t xml:space="preserve">John Ployardt</t>
  </si>
  <si>
    <t xml:space="preserve">Enrico Donati</t>
  </si>
  <si>
    <t xml:space="preserve">René Drouin</t>
  </si>
  <si>
    <t xml:space="preserve">Leo Castelli</t>
  </si>
  <si>
    <t xml:space="preserve">William Copley</t>
  </si>
  <si>
    <t xml:space="preserve">Roland Penrose</t>
  </si>
  <si>
    <t xml:space="preserve">Henri Hoppenot</t>
  </si>
  <si>
    <t xml:space="preserve">Fiske Kimball</t>
  </si>
  <si>
    <t xml:space="preserve">Louis Carré</t>
  </si>
  <si>
    <t xml:space="preserve">Jean Suquet</t>
  </si>
  <si>
    <t xml:space="preserve">Samuel A. Marx</t>
  </si>
  <si>
    <t xml:space="preserve">Daniel Catton Rich</t>
  </si>
  <si>
    <t xml:space="preserve">Katharine Kuh</t>
  </si>
  <si>
    <t xml:space="preserve">Harry Holtzman</t>
  </si>
  <si>
    <t xml:space="preserve">Maria Martins</t>
  </si>
  <si>
    <t xml:space="preserve">Michel Carrouges</t>
  </si>
  <si>
    <t xml:space="preserve">Francis Henry Taylor</t>
  </si>
  <si>
    <t xml:space="preserve">David Edward Finley</t>
  </si>
  <si>
    <t xml:space="preserve">Raymond Dumouchel</t>
  </si>
  <si>
    <t xml:space="preserve">Jean Fautrier</t>
  </si>
  <si>
    <t xml:space="preserve">Madeleine Castaing</t>
  </si>
  <si>
    <t xml:space="preserve">Mary Ann Adler</t>
  </si>
  <si>
    <t xml:space="preserve">Hans Richter</t>
  </si>
  <si>
    <t xml:space="preserve">Jean Cassou</t>
  </si>
  <si>
    <t xml:space="preserve">Michel Sanouillet</t>
  </si>
  <si>
    <t xml:space="preserve">Rose Fried</t>
  </si>
  <si>
    <t xml:space="preserve">George Heard Hamilton</t>
  </si>
  <si>
    <t xml:space="preserve">Mary Elizabeth Dreier</t>
  </si>
  <si>
    <t xml:space="preserve">Marcel Jean</t>
  </si>
  <si>
    <t xml:space="preserve">Knud Merrild</t>
  </si>
  <si>
    <t xml:space="preserve">Paul Facchetti</t>
  </si>
  <si>
    <t xml:space="preserve">Robert Lebel</t>
  </si>
  <si>
    <t xml:space="preserve">Fleur Cowles</t>
  </si>
  <si>
    <t xml:space="preserve">Dorothy Canning Miller</t>
  </si>
  <si>
    <t xml:space="preserve">Henry Clifford</t>
  </si>
  <si>
    <t xml:space="preserve">Teeny Matisse</t>
  </si>
  <si>
    <t xml:space="preserve">Daniel-Henry Kahnweiler</t>
  </si>
  <si>
    <t xml:space="preserve">Eugenio Fernandez Granell</t>
  </si>
  <si>
    <t xml:space="preserve">George Wittenborn</t>
  </si>
  <si>
    <t xml:space="preserve">Arnold Fawcus</t>
  </si>
  <si>
    <t xml:space="preserve">Eric Losfeld</t>
  </si>
  <si>
    <t xml:space="preserve">Guy Weelen</t>
  </si>
  <si>
    <t xml:space="preserve">Jehan Mayoux</t>
  </si>
  <si>
    <t xml:space="preserve">Pierre Cailler</t>
  </si>
  <si>
    <t xml:space="preserve">Djuna Barnes</t>
  </si>
  <si>
    <t xml:space="preserve">John D. Schiff</t>
  </si>
  <si>
    <t xml:space="preserve">Richard Hamilton</t>
  </si>
  <si>
    <t xml:space="preserve">Henry Steiner</t>
  </si>
  <si>
    <t xml:space="preserve">Patrick Waldberg</t>
  </si>
  <si>
    <t xml:space="preserve">Samuel Beckett</t>
  </si>
  <si>
    <t xml:space="preserve">George Braziller</t>
  </si>
  <si>
    <t xml:space="preserve">Roy Moyer</t>
  </si>
  <si>
    <t xml:space="preserve">Pierre-André Benoit</t>
  </si>
  <si>
    <t xml:space="preserve">Jean Larcade</t>
  </si>
  <si>
    <t xml:space="preserve">Sidney Wallach</t>
  </si>
  <si>
    <t xml:space="preserve">Maurice Bonnefoy</t>
  </si>
  <si>
    <t xml:space="preserve">Claude Tarnaud</t>
  </si>
  <si>
    <t xml:space="preserve">Robert Goldwater</t>
  </si>
  <si>
    <t xml:space="preserve">Jacqueline Monnier</t>
  </si>
  <si>
    <t xml:space="preserve">Arturo Schwarz</t>
  </si>
  <si>
    <t xml:space="preserve">Jean-Marie Drot</t>
  </si>
  <si>
    <t xml:space="preserve">George Staempfli</t>
  </si>
  <si>
    <t xml:space="preserve">Arne Ekstrom</t>
  </si>
  <si>
    <t xml:space="preserve">Parmenia Migel</t>
  </si>
  <si>
    <t xml:space="preserve">Douglas Gorsline</t>
  </si>
  <si>
    <t xml:space="preserve">Isabelle Waldberg</t>
  </si>
  <si>
    <t xml:space="preserve">Jeannine Picabia</t>
  </si>
  <si>
    <t xml:space="preserve">Pierre Cabanne</t>
  </si>
  <si>
    <t xml:space="preserve">Eugène Duchamp</t>
  </si>
  <si>
    <t xml:space="preserve">Marie Caroline Lucie Duchamp</t>
  </si>
  <si>
    <t xml:space="preserve">Clemence Lebourg</t>
  </si>
  <si>
    <t xml:space="preserve">Ferdinand Tribout</t>
  </si>
  <si>
    <t xml:space="preserve">Philippe Zacharie</t>
  </si>
  <si>
    <t xml:space="preserve">Pierre Dumont</t>
  </si>
  <si>
    <t xml:space="preserve">Robert Pinchon</t>
  </si>
  <si>
    <t xml:space="preserve">Gustave Hervieu</t>
  </si>
  <si>
    <t xml:space="preserve">Yvonne Bon</t>
  </si>
  <si>
    <t xml:space="preserve">Jacques Bon</t>
  </si>
  <si>
    <t xml:space="preserve">Frantisek Kupka</t>
  </si>
  <si>
    <t xml:space="preserve">Gustave Candel</t>
  </si>
  <si>
    <t xml:space="preserve">Juan Gris</t>
  </si>
  <si>
    <t xml:space="preserve">Max Bergmann</t>
  </si>
  <si>
    <t xml:space="preserve">Jeanne Sèrre</t>
  </si>
  <si>
    <t xml:space="preserve">Jean Metzinger</t>
  </si>
  <si>
    <t xml:space="preserve">Henri Le Fauconnier</t>
  </si>
  <si>
    <t xml:space="preserve">André Salmon</t>
  </si>
  <si>
    <t xml:space="preserve">Roger de La Fresnaye</t>
  </si>
  <si>
    <t xml:space="preserve">Maurice Princet</t>
  </si>
  <si>
    <t xml:space="preserve">Gertrude Stein</t>
  </si>
  <si>
    <t xml:space="preserve">Mabel Dodge</t>
  </si>
  <si>
    <t xml:space="preserve">Wallace Stevens</t>
  </si>
  <si>
    <t xml:space="preserve">Juliette Roche</t>
  </si>
  <si>
    <t xml:space="preserve">Louise Norton</t>
  </si>
  <si>
    <t xml:space="preserve">Stéphan Bourgeois</t>
  </si>
  <si>
    <t xml:space="preserve">William Carlos Williams</t>
  </si>
  <si>
    <t xml:space="preserve">Charles Demuth</t>
  </si>
  <si>
    <t xml:space="preserve">Samuel Halpert</t>
  </si>
  <si>
    <t xml:space="preserve">John Covert</t>
  </si>
  <si>
    <t xml:space="preserve">Maxwell Bodenheim</t>
  </si>
  <si>
    <t xml:space="preserve">William Glackens</t>
  </si>
  <si>
    <t xml:space="preserve">George Bellows</t>
  </si>
  <si>
    <t xml:space="preserve">Rockwell Kent</t>
  </si>
  <si>
    <t xml:space="preserve">Maurice Prendergast</t>
  </si>
  <si>
    <t xml:space="preserve">John Marin</t>
  </si>
  <si>
    <t xml:space="preserve">John Sloan</t>
  </si>
  <si>
    <t xml:space="preserve">Elizabeth Duncan</t>
  </si>
  <si>
    <t xml:space="preserve">Jean Acker</t>
  </si>
  <si>
    <t xml:space="preserve">Erik Satie</t>
  </si>
  <si>
    <t xml:space="preserve">Jacques Rigaut</t>
  </si>
  <si>
    <t xml:space="preserve">Paul Eluard</t>
  </si>
  <si>
    <t xml:space="preserve">Theodore Fraenkel</t>
  </si>
  <si>
    <t xml:space="preserve">Philippe Soupault</t>
  </si>
  <si>
    <t xml:space="preserve">Paul Poiret</t>
  </si>
  <si>
    <t xml:space="preserve">Leon Hartl</t>
  </si>
  <si>
    <t xml:space="preserve">Wassily Kandinsky</t>
  </si>
  <si>
    <t xml:space="preserve">Paul Klee</t>
  </si>
  <si>
    <t xml:space="preserve">Marie Laurencin</t>
  </si>
  <si>
    <t xml:space="preserve">Marc Allégret</t>
  </si>
  <si>
    <t xml:space="preserve">Jeanne Montjovet</t>
  </si>
  <si>
    <t xml:space="preserve">Kurt Schwitters</t>
  </si>
  <si>
    <t xml:space="preserve">Edward Lasker</t>
  </si>
  <si>
    <t xml:space="preserve">Vitaly Halberstadt</t>
  </si>
  <si>
    <t xml:space="preserve">Eugene Znosko-Borovsky</t>
  </si>
  <si>
    <t xml:space="preserve">Marjorie Hubachek Watkins</t>
  </si>
  <si>
    <t xml:space="preserve">Mary Callery</t>
  </si>
  <si>
    <t xml:space="preserve">Alexander Calder</t>
  </si>
  <si>
    <t xml:space="preserve">Edouard Tériade</t>
  </si>
  <si>
    <t xml:space="preserve">Daniel MacMorris</t>
  </si>
  <si>
    <t xml:space="preserve">Kenneth Macgowan</t>
  </si>
  <si>
    <t xml:space="preserve">Howard Putzel</t>
  </si>
  <si>
    <t xml:space="preserve">Laurence Vail</t>
  </si>
  <si>
    <t xml:space="preserve">Jessica Daves</t>
  </si>
  <si>
    <t xml:space="preserve">Michael Cedric Sinbad Vail</t>
  </si>
  <si>
    <t xml:space="preserve">John Cage</t>
  </si>
  <si>
    <t xml:space="preserve">Xenia Cage</t>
  </si>
  <si>
    <t xml:space="preserve">Piet Mondrian</t>
  </si>
  <si>
    <t xml:space="preserve">Gypsy Rose Lee</t>
  </si>
  <si>
    <t xml:space="preserve">Joseph Cornell</t>
  </si>
  <si>
    <t xml:space="preserve">David Hare</t>
  </si>
  <si>
    <t xml:space="preserve">Stanley William Hayter</t>
  </si>
  <si>
    <t xml:space="preserve">Leonora Carrington</t>
  </si>
  <si>
    <t xml:space="preserve">John Ferren</t>
  </si>
  <si>
    <t xml:space="preserve">Robert Motherwell</t>
  </si>
  <si>
    <t xml:space="preserve">Denis de Rougemont</t>
  </si>
  <si>
    <t xml:space="preserve">Roberto Matta</t>
  </si>
  <si>
    <t xml:space="preserve">Arshile Gorky</t>
  </si>
  <si>
    <t xml:space="preserve">Dorothea Tanning </t>
  </si>
  <si>
    <t xml:space="preserve">Robert McAlmon</t>
  </si>
  <si>
    <t xml:space="preserve">Patricia Matta</t>
  </si>
  <si>
    <t xml:space="preserve">Ilia Zdanevich</t>
  </si>
  <si>
    <t xml:space="preserve">Rufino Tamayo</t>
  </si>
  <si>
    <t xml:space="preserve">Olga Tamayo</t>
  </si>
  <si>
    <t xml:space="preserve">Robert Rauschenberg</t>
  </si>
  <si>
    <t xml:space="preserve">Jasper Johns</t>
  </si>
  <si>
    <t xml:space="preserve">Merce Cunningham</t>
  </si>
  <si>
    <t xml:space="preserve">Jean Tinguely</t>
  </si>
  <si>
    <t xml:space="preserve">Walter Hopps</t>
  </si>
  <si>
    <t xml:space="preserve">Thomas Leavitt</t>
  </si>
  <si>
    <t xml:space="preserve">Edward Kienholz</t>
  </si>
  <si>
    <t xml:space="preserve">Billy Al Bengston</t>
  </si>
  <si>
    <t xml:space="preserve">Larry Bell</t>
  </si>
  <si>
    <t xml:space="preserve">Robert Irwin</t>
  </si>
  <si>
    <t xml:space="preserve">Edward Ruscha</t>
  </si>
  <si>
    <t xml:space="preserve">Ed Moses</t>
  </si>
  <si>
    <t xml:space="preserve">Robert Rowan</t>
  </si>
  <si>
    <t xml:space="preserve">Dennis Hopper</t>
  </si>
  <si>
    <t xml:space="preserve">Betty Factor</t>
  </si>
  <si>
    <t xml:space="preserve">Donald Factor</t>
  </si>
  <si>
    <t xml:space="preserve">Betty Asher</t>
  </si>
  <si>
    <t xml:space="preserve">Julian Wasser</t>
  </si>
  <si>
    <t xml:space="preserve">Eve Babitz</t>
  </si>
  <si>
    <t xml:space="preserve">Ulf Linde</t>
  </si>
  <si>
    <t xml:space="preserve">Bronia Perlmutter Clair</t>
  </si>
  <si>
    <t xml:space="preserve">Bobby Fischer</t>
  </si>
  <si>
    <t xml:space="preserve">Andy Warhol</t>
  </si>
  <si>
    <t xml:space="preserve">Denise Hare</t>
  </si>
  <si>
    <t xml:space="preserve">Emilio Puignau</t>
  </si>
  <si>
    <t xml:space="preserve">Evan Turner</t>
  </si>
  <si>
    <t xml:space="preserve">Mary Sisler</t>
  </si>
  <si>
    <t xml:space="preserve">Yo Savy</t>
  </si>
  <si>
    <t xml:space="preserve">Jacques Savy</t>
  </si>
  <si>
    <t xml:space="preserve">Olga Popovitch</t>
  </si>
  <si>
    <t xml:space="preserve">Cleve Gray</t>
  </si>
  <si>
    <t xml:space="preserve">Gianfranco Baruchello</t>
  </si>
  <si>
    <t xml:space="preserve">Nina Lebel</t>
  </si>
  <si>
    <t xml:space="preserve">Lewis Jacobs</t>
  </si>
  <si>
    <t xml:space="preserve">Adolphe Willette</t>
  </si>
  <si>
    <t xml:space="preserve">Abel Faivre</t>
  </si>
  <si>
    <t xml:space="preserve">Jean Cocteau</t>
  </si>
  <si>
    <t xml:space="preserve">Max Jacob</t>
  </si>
  <si>
    <t xml:space="preserve">Arthur Jerome Eddy</t>
  </si>
  <si>
    <t xml:space="preserve">Daniel Tzanck</t>
  </si>
  <si>
    <t xml:space="preserve">Rolf de Maré</t>
  </si>
  <si>
    <t xml:space="preserve">Arthur Dove</t>
  </si>
  <si>
    <t xml:space="preserve">Guy Lévis Mano</t>
  </si>
  <si>
    <t xml:space="preserve">Alexander Liberman</t>
  </si>
  <si>
    <t xml:space="preserve">Armand Pierre Fernandez</t>
  </si>
  <si>
    <t xml:space="preserve">Martial Raysse</t>
  </si>
  <si>
    <t xml:space="preserve">Daniel Spoerri</t>
  </si>
  <si>
    <t xml:space="preserve">Carl Zigrosser</t>
  </si>
  <si>
    <t xml:space="preserve">Carole Cook</t>
  </si>
  <si>
    <t xml:space="preserve">Charles Henri Ford</t>
  </si>
  <si>
    <t xml:space="preserve">Vera Schwarz</t>
  </si>
  <si>
    <t xml:space="preserve">Monte Factor</t>
  </si>
  <si>
    <t xml:space="preserve">Esteve Francés</t>
  </si>
  <si>
    <t xml:space="preserve">Suzanne Césaire</t>
  </si>
  <si>
    <t xml:space="preserve">Aimé Césaire</t>
  </si>
  <si>
    <t xml:space="preserve">Sonja Sekula</t>
  </si>
  <si>
    <t xml:space="preserve">Elena Calas</t>
  </si>
  <si>
    <t xml:space="preserve">Enrico Baj</t>
  </si>
  <si>
    <t xml:space="preserve">Carolyn Brown</t>
  </si>
  <si>
    <t xml:space="preserve">Bernard Monnier</t>
  </si>
  <si>
    <t xml:space="preserve">Elizabeth S. Wrigley</t>
  </si>
  <si>
    <t xml:space="preserve">Addison Franklin Page</t>
  </si>
  <si>
    <t xml:space="preserve">Oscar Reutersvärd</t>
  </si>
  <si>
    <t xml:space="preserve">Carlo Derkert</t>
  </si>
  <si>
    <t xml:space="preserve">Pontus Hultén</t>
  </si>
  <si>
    <t xml:space="preserve">Catherine Guilbert</t>
  </si>
  <si>
    <t xml:space="preserve">Fortuné Guilbert</t>
  </si>
  <si>
    <t xml:space="preserve">Catherine Duchamp</t>
  </si>
  <si>
    <t xml:space="preserve">Madame Aubert</t>
  </si>
  <si>
    <t xml:space="preserve">M. Aubert</t>
  </si>
  <si>
    <t xml:space="preserve">Barnet Hodes</t>
  </si>
  <si>
    <t xml:space="preserve">Henri Gabriel Marceau</t>
  </si>
  <si>
    <t xml:space="preserve">Frank P. Graham</t>
  </si>
  <si>
    <t xml:space="preserve">Monique Fong Wust</t>
  </si>
  <si>
    <t xml:space="preserve">May G. Kane</t>
  </si>
  <si>
    <t xml:space="preserve">Marianne W. Martin</t>
  </si>
  <si>
    <t xml:space="preserve">Lawrence D. Steefel</t>
  </si>
  <si>
    <t xml:space="preserve">Joseph Solomon</t>
  </si>
  <si>
    <t xml:space="preserve">Irving Drutman</t>
  </si>
  <si>
    <t xml:space="preserve">Virginia Harriman</t>
  </si>
  <si>
    <t xml:space="preserve">Anne d'Harnoncourt</t>
  </si>
  <si>
    <t xml:space="preserve">Duke Ellington</t>
  </si>
  <si>
    <t xml:space="preserve">Sonia Delaunay</t>
  </si>
  <si>
    <t xml:space="preserve">Lucio Fontana</t>
  </si>
  <si>
    <t xml:space="preserve">Jeanne Léger</t>
  </si>
  <si>
    <t xml:space="preserve">Lillian Kiesler</t>
  </si>
  <si>
    <t xml:space="preserve">Xanti Schawinsky</t>
  </si>
  <si>
    <t xml:space="preserve">Marguerite Blanche Duchamp</t>
  </si>
  <si>
    <t xml:space="preserve">Gabrielle Duchamp Jaumes</t>
  </si>
  <si>
    <t xml:space="preserve">Paul Matisse</t>
  </si>
  <si>
    <t xml:space="preserve">Raoul de Roussy de Sales</t>
  </si>
  <si>
    <t xml:space="preserve">Sophie Treadwell</t>
  </si>
  <si>
    <t xml:space="preserve">Mim Fogt</t>
  </si>
  <si>
    <t xml:space="preserve">Irina Codreanu</t>
  </si>
  <si>
    <t xml:space="preserve">Lizica Codreanu-Fontenoy</t>
  </si>
  <si>
    <t xml:space="preserve">Jan Hein Donner</t>
  </si>
  <si>
    <t xml:space="preserve">Claude Givaudan</t>
  </si>
  <si>
    <t xml:space="preserve">Elena Baruchello</t>
  </si>
  <si>
    <t xml:space="preserve">Henriette Gomès</t>
  </si>
  <si>
    <t xml:space="preserve">André Gomès</t>
  </si>
  <si>
    <t xml:space="preserve">Henri Cartier-Bresson</t>
  </si>
  <si>
    <t xml:space="preserve">Arnold Eagle</t>
  </si>
  <si>
    <r>
      <rPr>
        <b val="true"/>
        <sz val="11"/>
        <color rgb="FF000000"/>
        <rFont val="Calibri"/>
        <family val="2"/>
        <charset val="1"/>
      </rPr>
      <t xml:space="preserve">
Portuguese:
Banco de Dados: a rede social de Marcel Duchamp na plataforma N-Gram Viewer. 
</t>
    </r>
    <r>
      <rPr>
        <sz val="11"/>
        <color rgb="FF000000"/>
        <rFont val="Calibri"/>
        <family val="2"/>
        <charset val="1"/>
      </rPr>
      <t xml:space="preserve">
Este banco de dados busca reunir os N-Gram’s das 434 pessoas que formaram a rede de relações sociais do artista franco-americano Marcel Duchamp (BRAGA, 2023). Para tanto, utilizamos o Google Books N-Gram Viewer, uma plataforma que permite ao usuário pesquisar a frequência com que uma palavra, expressão ou frase foi utilizada no corpus digitalizado de livros do acervo Google Books. Por exemplo: se o usuário digita “Marcel Duchamp” na barra do buscador N-Gram Viewer, a plataforma calcula quantos Two-Grams existem em uma amostra selecionada de livros, e quantos desses Two-Grams correspondem à expressão “Marcel Duchamp”. Em 2022, 0.0000165233% de todos os Two-Grams publicados naquele ano (de acordo com a amostra de livros utilizadas pelo Google) correspondia à expressão “Marcel Duchamp”. Se, ao invés de “Marcel Duchamp”, o usuário digitasse “Duchamp”, a plataforma calcularia todos os One-Gram disponíveis na amostra selecionada de livros, e calcularia quantos desses One-Grams correspondem à expressão “Duchamp”. Se o usuário digitasse “Marcel Duchamp Urinol”, a plataforma calcularia quantos Three-Gram’s correspondem à expressão digitada, e assim por diante. Além disso, a plataforma permite que o usuário manipule quatro filtros de busca:
</t>
    </r>
  </si>
  <si>
    <t xml:space="preserve">(i)	Intervalo: o intervalo de tempo em que os livros da amostra foram publicados; 
(ii)	Corpus: qual corpus de livros será utilizado para a busca – livros em inglês, livros em francês, livros com caracteres chineses; 
(iii)	Case-Insensitive: o buscador precisa ou não precisa distinguir letras maiúsculas das minúsculas; 
(iv)	Smoothing: é a maneira como os dados são calculados; para que a visualização das tendências fique mais “clara”, os dados apresentados em cada anos podem ser calculados com base em uma média dos anos imediatamente anteriores e imediatamente posteriores. Por exemplo: se eu selecionar o smoothing 1, a plataforma vai calcular a proporção de Two-Grams que correspondem à expressão “Marcel Duchamp” com base em uma média dos resultados do ano 2022, mais os resultados de 1 ano anterior e um ano posterior; portanto, o resultado de 2022 é igual à média entre os anos 2021, 2022 e 2023. 
O objetivo da plataforma Google Books N-Gram Viewer é observarmos as oscilações no número de vezes em que uma dada expressão é utilizada ao longo do tempo; portanto, é uma proxy para mensurarmos o nível de interesse, popularidade e prestígio de dado objeto, tema, ou expressão, com base nos livros digitalizados pelo Google. 
Para construir o presente banco de dados, foram coletados os N-Grams (One-Gram, Two-Grams, Three-Grams, dependendo da extensão do nome da pessoa) para cada um dos 434 sujeitos pertencentes à rede de relações de Marcel Duchamp. Para todos esses sujeitos, coletamos uma observação por década, sempre em um ano terminado em 9: 2019, 2009, 1999, 1989, ..., 1959, 1949, ..., 1919, 1909, 1899, de modo a percorrer as oscilações de interesse por cada uma das pessoas ao longo de todo o século XX e começo do século XXI. Multiplicando as 434 pessoas por 13 décadas, temos um total de 5642 observações no banco de dados. 
Na Aba “Variáveis”, descrevo cada uma das variáveis utilizadas no banco de dados.  </t>
  </si>
  <si>
    <r>
      <rPr>
        <sz val="11"/>
        <color rgb="FF000000"/>
        <rFont val="Calibri"/>
        <family val="2"/>
        <charset val="1"/>
      </rPr>
      <t xml:space="preserve">
</t>
    </r>
    <r>
      <rPr>
        <b val="true"/>
        <sz val="11"/>
        <color rgb="FF000000"/>
        <rFont val="Calibri"/>
        <family val="2"/>
        <charset val="1"/>
      </rPr>
      <t xml:space="preserve">Database: Marcel Duchamp's social network on the N-Gram Viewer platform.
</t>
    </r>
    <r>
      <rPr>
        <sz val="11"/>
        <color rgb="FF000000"/>
        <rFont val="Calibri"/>
        <family val="2"/>
        <charset val="1"/>
      </rPr>
      <t xml:space="preserve">
This database seeks to gather the N-Grams of the 434 people who formed the social network of the French-American artist Marcel Duchamp (BRAGA, 2023). To do so, we used the Google Books N-Gram Viewer, a platform that allows users to search for the frequency with which a word, expression or phrase was used in the digitized corpus of books in the Google Books collection. For example: if the user types “Marcel Duchamp” in the N-Gram Viewer search bar, the platform calculates how many Two-Grams there are in a selected sample of books, and how many of these Two-Grams correspond to the expression “Marcel Duchamp”. In 2022, 0.0000165233% of all Two-Grams published that year (according to the sample of books used by Google) corresponded to the expression “Marcel Duchamp”. If, instead of “Marcel Duchamp”, the user types “Duchamp”, the platform will calculate all the One-Grams available in the selected sample of books, and calculate how many of these One-Grams correspond to the expression “Duchamp”. If the user types “Marcel Duchamp Urinal”, the platform will calculate how many Three-Grams correspond to the expression typed, and so on. In addition, the platform allows the user to manipulate four search filters:</t>
    </r>
  </si>
  <si>
    <t xml:space="preserve">(i) Interval: the time interval in which the books in the sample were published;
(ii) Corpus: which corpus of books will be used for the search – books in English, books in French, books with Chinese characters;
(iii) Case-Insensitive: the search engine needs or does not need to distinguish uppercase from lowercase letters;
(iv) Smoothing: this is the way in which the data is calculated; in order to make the visualization of trends “clearer”, the data presented in each year can be calculated based on an average of the immediately preceding and immediately following years. For example: if I select smoothing 1, the platform will calculate the proportion of Two-Grams that correspond to the expression “Marcel Duchamp” in the year 2022 based on an average of the results for the year 2022, plus the results from 1 year before and 1 year after; therefore, the result for 2022 is equal to the average between the years 2021, 2022 and 2023.
The purpose of the Google Books N-Gram Viewer platform is to observe fluctuations in the number of times a given expression is used over time; therefore, it is a proxy for measuring the level of interest, popularity, and prestige of a given object, theme, or expression, based on the books digitized by Google.
To build this database, N-Grams (One-Gram, Two-Grams, Three-Grams, depending on the length of the person's name) were collected for each of the 434 subjects belonging to Marcel Duchamp's network of relationships. For all of these subjects, we collected one observation per decade, always in a year ending in 9: 2019, 2009, 1999, 1989, ..., 1959, 1949, ..., 1919, 1909, 1899, in order to cover the fluctuations in interest for each of the people throughout the 20th century and the beginning of the 21st century. Multiplying the 434 people by 13 decades, we have a total of 5642 observations in the database.
In the “Variables” tab, I describe each of the variables used in the database.</t>
  </si>
  <si>
    <t xml:space="preserve">Variables:</t>
  </si>
  <si>
    <t xml:space="preserve">Português</t>
  </si>
  <si>
    <t xml:space="preserve">English</t>
  </si>
  <si>
    <t xml:space="preserve">Número de identificação das 434 pessoas que formaram a rede de Marcel Duchamp</t>
  </si>
  <si>
    <t xml:space="preserve">Identification number of the 434 people who formed Marcel Duchamp's network</t>
  </si>
  <si>
    <t xml:space="preserve">Nome das 434 pessoas que formaram a rede de relações de Marcel Duchamp</t>
  </si>
  <si>
    <t xml:space="preserve">Names of the 434 people who formed Marcel Duchamp's network of relationships</t>
  </si>
  <si>
    <t xml:space="preserve">Data da Coleta</t>
  </si>
  <si>
    <t xml:space="preserve">Data em que a coleta das informações na plataforma N-Gram Viewer foi realizada</t>
  </si>
  <si>
    <t xml:space="preserve">Date on which information was collected on the N-Gram Viewer platform</t>
  </si>
  <si>
    <t xml:space="preserve">Smooth</t>
  </si>
  <si>
    <t xml:space="preserve">Configuração de Smoothing utilizada na plataforma N-Gram Viewer para realizar a coleta</t>
  </si>
  <si>
    <t xml:space="preserve">Smoothing configuration used in the N-Gram Viewer platform to collect data</t>
  </si>
  <si>
    <t xml:space="preserve">Intervalo de anos utilizado para realizar a pesquisa na base de livros do Google Books</t>
  </si>
  <si>
    <t xml:space="preserve">Range of years used to perform the search in the database of books provided by Google Books</t>
  </si>
  <si>
    <t xml:space="preserve">Corpus de livro (acervo de livros) em que a pesquisa N-Gram foi feita</t>
  </si>
  <si>
    <t xml:space="preserve">Book corpus (book collection) on which the N-Gram search was performed</t>
  </si>
  <si>
    <t xml:space="preserve">Para esta coleta, foram classificados como "Erros" os eventos em que a plataforma N-Gram recuperou informações sobre uma pessoa específica em um ano anterior as nascimento daquela pessoa. Por exemplo: em 1919, 0,0000001802% dos Two-Grams correspondiam à expressão "Andy Warhol". Contudo, Andy Warhol nasceu em 1928. Portanto, haver informações sobre pessoas que ainda não nasceram foi classificado como "Erro".</t>
  </si>
  <si>
    <t xml:space="preserve">For this collection, events in which the N-Gram platform retrieved information about a specific person in a year prior to that person's birth were classified as "Errors". For example: in 1919, 0.0000001802% of Two-Grams matched the expression "Andy Warhol". However, Andy Warhol was born in 1928. Therefore, having information about people who were not yet born was classified as an "Error".</t>
  </si>
  <si>
    <t xml:space="preserve">Quantidade de erros registrados para cada pessoa. Por exemplo: Andy Warhol registrou um erro na coleta de 1919. Todas as demais 12 entradas de "Andy Warhol" apresentam status "Ok". Por outro lado, a linha "Thomas Leavitt" registra 4 erros. Isto é: foram encontradas informações para a entrada "Thomas Leavitt" nos anos 1899, 1909, 1919, 1929, embora Leavitt tenha nascido apenas em 1930.</t>
  </si>
  <si>
    <t xml:space="preserve">Number of errors recorded for each person. For example: Andy Warhol recorded an error in the 1919 collection. All other 12 entries for "Andy Warhol" have an "Ok" status. On the other hand, the "Thomas Leavitt" row records 4 errors. That is, information was found for the entry "Thomas Leavitt" in the years 1899, 1909, 1919, 1929, even though Leavitt was only born in 1930.</t>
  </si>
  <si>
    <t xml:space="preserve">A variável "Utilizar?" possui duas entradas: Sim ou Não. Se a coluna "Total de Erros" possui 0 erros, significa que a linha pode ser utilizada na análise dos dados. Portanto, a entrada da variável "Utilizar?" é "Sim". Contudo, se a coluna "Total de Erros" possui 1 erro ou mais, cada uma das linhas foi investigada individualmente, a fim de descobrir a natureza do erro. Em alguns casos, o erro se deu porque a pessoa pesquisada possui um nome muito comum, e a plataforma N-Gram devolve as informações de todas as pessoas com aquele nome estatiscamente frequente; por exemplo: "Carolyn Brown". Em outros casos, a pessoa é homônima de uma pessoa muito famosa, e não é possível distinguir quais informações pertencem a um, quais informações pertencem a outro. Por exemplo, o pintor americano "Max Weber" é homônimo do sociólogo alemão. Por fim, é possível que a data registrada no catálogo do Google Books esteja errada. Por exemplo: consta que há um livro em japonês escrito sobre Andy Warhol em 1919, mas provavelmente houve um erro de digitação na hora em que o leitor digitalizou o livro. Portanto, cada erro foi investigado individualmente. Erros sistemáticos, como os nomes homólogos, foram descartados do banco ("Utilizar?" Status: "Não"). Erros muito pontuais foram negligenciados, a fim de não descartar informações válidas por um erro pontual.</t>
  </si>
  <si>
    <t xml:space="preserve">The "Use?" variable has two inputs: Yes or No. If the "Total Errors" column has 0 errors, it means that the row can be used in the data analysis. Therefore, the input for the "Use?" variable is "Yes". However, if the "Total Errors" column has 1 or more errors, each of the rows was investigated individually in order to discover the nature of the error. In some cases, the error occurred because the person being searched has a very common name, and the N-Gram platform returns the information of all the people with that statistically frequent name; for example: "Carolyn Brown". In other cases, the person is the namesake of a very famous person, and it is not possible to distinguish which information belongs to one and which information belongs to the other. For example, the American painter "Max Weber" is the namesake of the German sociologist. Finally, it is possible that the date recorded in the Google Books catalog is wrong. For example, there is a Japanese book written about Andy Warhol in 1919, but there was probably a typographical error when the reader scanned the book. Therefore, each error was investigated individually. Systematic errors, such as homologous names, were discarded from the database ("Use?" Status: "No"). Very specific errors were neglected, so as not to discard valid information due to a specific error.</t>
  </si>
  <si>
    <t xml:space="preserve">Ano de nascimento do sujeito investigado</t>
  </si>
  <si>
    <t xml:space="preserve">Year of birth of the person under investigation</t>
  </si>
  <si>
    <t xml:space="preserve">Ano de morte do sujeito investigado</t>
  </si>
  <si>
    <t xml:space="preserve">Year of death of the person under investigation</t>
  </si>
  <si>
    <t xml:space="preserve">Entrada N-Gram</t>
  </si>
  <si>
    <t xml:space="preserve">Entrada N-Gram: para facilitar a computação dos resultados, cada uma das coletas individuais das 13 entradas N-Grams (uma entrada para cada década, entre 1899 e 2019) foi divida em dois componentes: (i) número de ZEROS; (ii) sequência de NÚMEROS depois da sequência de zeros. Por exemplo: em 2022, 0.0000165233% de todos os Two-Gram's publicados correspondiam à expressão "Marcel Duchamp". Neste caso, o resultado N-Gram para a pessoa "Marcel Duchamp" no ano de 2022 possui 5 zeros, e a sequência de números "165233". O número "5" foi registrado na coluna da variável "ZEROS", e o numeral "165233" foi registrado na coluna da variável "Números".</t>
  </si>
  <si>
    <t xml:space="preserve">N-Gram input: To facilitate computation of the results, each of the individual collections of 13 N-Grams entries (one entry for each decade between 1899 and 2019) was divided into two components: (i) number of ZEROS; (ii) sequence of NUMBERS after the sequence of zeros. For example: in 2022, 0.0000165233% of all Two-Grams published matched the expression "Marcel Duchamp". In this case, the N-Gram result for the person "Marcel Duchamp" in the year 2022 has 5 zeros, and the sequence of numbers "165233". The number "5" was recorded in the "ZEROS" variable column, and the numeral "165233" was recorded in the "Numbers" variable column.</t>
  </si>
  <si>
    <t xml:space="preserve">Este banco de dados pertence ao projeto de doutorado "Arte em Rede: a gênese do paradigma conceitual de arte", financiando pela Fundação de Amparo à Pesquisa do Estado de São Paulo (FAPESP) e conduzido na Faculdade de Filosofia, Letras e Ciências Humanas da USP.</t>
  </si>
  <si>
    <t xml:space="preserve">This database belongs to the doctoral project "Networked Art: the genesis of the conceptual paradigm of art", financed by the São Paulo Research Foundation (FAPESP) and conducted at the Faculty of Philosophy, Letters and Human Sciences at USP.</t>
  </si>
  <si>
    <t xml:space="preserve">Doutorando</t>
  </si>
  <si>
    <t xml:space="preserve">Felipe Eduardo Lázaro Braga</t>
  </si>
  <si>
    <t xml:space="preserve">Orientador</t>
  </si>
  <si>
    <t xml:space="preserve">Leopoldo Garcia Pinto Waizobort</t>
  </si>
  <si>
    <t xml:space="preserve">Instituição</t>
  </si>
  <si>
    <t xml:space="preserve">Faculdade de Filosofia, Letras e Ciência Humanas da Universidade de São Paulo (FFLCH-USP)</t>
  </si>
  <si>
    <t xml:space="preserve">Agência de Fomento</t>
  </si>
  <si>
    <t xml:space="preserve">FAPESP</t>
  </si>
  <si>
    <t xml:space="preserve">Nº do Projeto</t>
  </si>
  <si>
    <t xml:space="preserve">2021/00645-8</t>
  </si>
  <si>
    <t xml:space="preserve">O banco de dados contendo a rede de relações de Marcel Duchamp está publicado no repositório de dados da Universidade de São Paulo.</t>
  </si>
  <si>
    <t xml:space="preserve">https://repositorio.uspdigital.usp.br/handle/item/568</t>
  </si>
</sst>
</file>

<file path=xl/styles.xml><?xml version="1.0" encoding="utf-8"?>
<styleSheet xmlns="http://schemas.openxmlformats.org/spreadsheetml/2006/main">
  <numFmts count="3">
    <numFmt numFmtId="164" formatCode="General"/>
    <numFmt numFmtId="165" formatCode="d/m/yyyy"/>
    <numFmt numFmtId="166" formatCode="General"/>
  </numFmts>
  <fonts count="7">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b val="true"/>
      <sz val="11"/>
      <color rgb="FFFFFFFF"/>
      <name val="Calibri"/>
      <family val="2"/>
      <charset val="1"/>
    </font>
    <font>
      <u val="single"/>
      <sz val="11"/>
      <color rgb="FF0563C1"/>
      <name val="Calibri"/>
      <family val="2"/>
      <charset val="1"/>
    </font>
  </fonts>
  <fills count="5">
    <fill>
      <patternFill patternType="none"/>
    </fill>
    <fill>
      <patternFill patternType="gray125"/>
    </fill>
    <fill>
      <patternFill patternType="solid">
        <fgColor rgb="FF000000"/>
        <bgColor rgb="FF003300"/>
      </patternFill>
    </fill>
    <fill>
      <patternFill patternType="solid">
        <fgColor rgb="FFD9D9D9"/>
        <bgColor rgb="FFC0C0C0"/>
      </patternFill>
    </fill>
    <fill>
      <patternFill patternType="solid">
        <fgColor rgb="FFF2F2F2"/>
        <bgColor rgb="FFFFFFFF"/>
      </patternFill>
    </fill>
  </fills>
  <borders count="8">
    <border diagonalUp="false" diagonalDown="false">
      <left/>
      <right/>
      <top/>
      <bottom/>
      <diagonal/>
    </border>
    <border diagonalUp="false" diagonalDown="false">
      <left/>
      <right style="thin">
        <color rgb="FFFFFFFF"/>
      </right>
      <top style="thin">
        <color rgb="FFFFFFFF"/>
      </top>
      <bottom style="thin">
        <color rgb="FFFFFFFF"/>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medium"/>
      <right style="medium"/>
      <top style="medium"/>
      <bottom style="thin"/>
      <diagonal/>
    </border>
    <border diagonalUp="false" diagonalDown="false">
      <left/>
      <right style="thin"/>
      <top style="thin"/>
      <bottom style="thin"/>
      <diagonal/>
    </border>
    <border diagonalUp="false" diagonalDown="false">
      <left style="medium"/>
      <right style="medium"/>
      <top style="thin"/>
      <bottom style="thin"/>
      <diagonal/>
    </border>
    <border diagonalUp="false" diagonalDown="false">
      <left style="medium"/>
      <right style="medium"/>
      <top style="thin"/>
      <bottom/>
      <diagonal/>
    </border>
    <border diagonalUp="false" diagonalDown="false">
      <left style="medium"/>
      <right style="medium"/>
      <top style="thin"/>
      <bottom style="mediu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6" fillId="0" borderId="0" applyFont="true" applyBorder="false" applyAlignment="true" applyProtection="false">
      <alignment horizontal="general" vertical="bottom" textRotation="0" wrapText="false" indent="0" shrinkToFit="false"/>
    </xf>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5" fillId="2" borderId="1" xfId="0" applyFont="true" applyBorder="true" applyAlignment="true" applyProtection="false">
      <alignment horizontal="center" vertical="bottom" textRotation="0" wrapText="false" indent="0" shrinkToFit="false"/>
      <protection locked="true" hidden="false"/>
    </xf>
    <xf numFmtId="164" fontId="5" fillId="2" borderId="2"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0" fillId="3" borderId="2" xfId="0" applyFont="true" applyBorder="tru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center" vertical="center" textRotation="0" wrapText="false" indent="0" shrinkToFit="false"/>
      <protection locked="true" hidden="false"/>
    </xf>
    <xf numFmtId="164" fontId="0" fillId="4" borderId="2" xfId="0" applyFont="false" applyBorder="tru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3" xfId="0" applyFont="true" applyBorder="true" applyAlignment="true" applyProtection="false">
      <alignment horizontal="left" vertical="center" textRotation="0" wrapText="false" indent="0" shrinkToFit="false"/>
      <protection locked="true" hidden="false"/>
    </xf>
    <xf numFmtId="164" fontId="0" fillId="0" borderId="4" xfId="0" applyFont="true" applyBorder="true" applyAlignment="true" applyProtection="false">
      <alignment horizontal="general" vertical="center" textRotation="0" wrapText="true" indent="0" shrinkToFit="false"/>
      <protection locked="true" hidden="false"/>
    </xf>
    <xf numFmtId="164" fontId="4" fillId="0" borderId="5" xfId="0" applyFont="true" applyBorder="true" applyAlignment="true" applyProtection="false">
      <alignment horizontal="left" vertical="center" textRotation="0" wrapText="false" indent="0" shrinkToFit="false"/>
      <protection locked="true" hidden="false"/>
    </xf>
    <xf numFmtId="164" fontId="4" fillId="0" borderId="6" xfId="0" applyFont="true" applyBorder="true" applyAlignment="true" applyProtection="false">
      <alignment horizontal="left" vertical="center" textRotation="0" wrapText="false" indent="0" shrinkToFit="false"/>
      <protection locked="true" hidden="false"/>
    </xf>
    <xf numFmtId="164" fontId="4" fillId="0" borderId="7" xfId="0" applyFont="true" applyBorder="tru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0" fillId="0" borderId="3" xfId="0" applyFont="true" applyBorder="true" applyAlignment="false" applyProtection="false">
      <alignment horizontal="general" vertical="bottom" textRotation="0" wrapText="false" indent="0" shrinkToFit="false"/>
      <protection locked="true" hidden="false"/>
    </xf>
    <xf numFmtId="164" fontId="0" fillId="0" borderId="4" xfId="0" applyFont="true" applyBorder="true" applyAlignment="false" applyProtection="false">
      <alignment horizontal="general" vertical="bottom" textRotation="0" wrapText="false" indent="0" shrinkToFit="false"/>
      <protection locked="true" hidden="false"/>
    </xf>
    <xf numFmtId="164" fontId="0" fillId="0" borderId="5" xfId="0" applyFont="true" applyBorder="true" applyAlignment="false" applyProtection="false">
      <alignment horizontal="general" vertical="bottom"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6" fillId="0" borderId="0" xfId="20" applyFont="true" applyBorder="tru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8">
    <dxf>
      <fill>
        <patternFill patternType="solid">
          <fgColor rgb="00FFFFFF"/>
        </patternFill>
      </fill>
    </dxf>
    <dxf>
      <fill>
        <patternFill patternType="solid">
          <fgColor rgb="FF000000"/>
          <bgColor rgb="FFFFFFFF"/>
        </patternFill>
      </fill>
    </dxf>
    <dxf>
      <fill>
        <patternFill patternType="solid">
          <fgColor rgb="FFC00000"/>
        </patternFill>
      </fill>
    </dxf>
    <dxf>
      <fill>
        <patternFill patternType="solid">
          <fgColor rgb="FFFFFFFF"/>
        </patternFill>
      </fill>
    </dxf>
    <dxf>
      <fill>
        <patternFill patternType="solid">
          <fgColor rgb="FFF2F2F2"/>
        </patternFill>
      </fill>
    </dxf>
    <dxf>
      <fill>
        <patternFill patternType="solid">
          <fgColor rgb="FFD9D9D9"/>
        </patternFill>
      </fill>
    </dxf>
    <dxf>
      <font>
        <color rgb="FFFFFFFF"/>
      </font>
      <fill>
        <patternFill>
          <bgColor rgb="FFC00000"/>
        </patternFill>
      </fill>
    </dxf>
    <dxf>
      <font>
        <color rgb="FFFFFFFF"/>
      </font>
      <fill>
        <patternFill>
          <bgColor rgb="FFC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4546A"/>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drawings/_rels/drawing2.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38160</xdr:colOff>
      <xdr:row>2</xdr:row>
      <xdr:rowOff>152280</xdr:rowOff>
    </xdr:from>
    <xdr:to>
      <xdr:col>1</xdr:col>
      <xdr:colOff>980640</xdr:colOff>
      <xdr:row>4</xdr:row>
      <xdr:rowOff>478080</xdr:rowOff>
    </xdr:to>
    <xdr:pic>
      <xdr:nvPicPr>
        <xdr:cNvPr id="0" name="Imagem 2" descr=""/>
        <xdr:cNvPicPr/>
      </xdr:nvPicPr>
      <xdr:blipFill>
        <a:blip r:embed="rId1"/>
        <a:stretch/>
      </xdr:blipFill>
      <xdr:spPr>
        <a:xfrm>
          <a:off x="649800" y="533160"/>
          <a:ext cx="942480" cy="707040"/>
        </a:xfrm>
        <a:prstGeom prst="rect">
          <a:avLst/>
        </a:prstGeom>
        <a:ln w="0">
          <a:noFill/>
        </a:ln>
      </xdr:spPr>
    </xdr:pic>
    <xdr:clientData/>
  </xdr:twoCellAnchor>
  <xdr:twoCellAnchor editAs="oneCell">
    <xdr:from>
      <xdr:col>0</xdr:col>
      <xdr:colOff>581040</xdr:colOff>
      <xdr:row>4</xdr:row>
      <xdr:rowOff>695160</xdr:rowOff>
    </xdr:from>
    <xdr:to>
      <xdr:col>1</xdr:col>
      <xdr:colOff>1085400</xdr:colOff>
      <xdr:row>5</xdr:row>
      <xdr:rowOff>178200</xdr:rowOff>
    </xdr:to>
    <xdr:pic>
      <xdr:nvPicPr>
        <xdr:cNvPr id="1" name="Imagem 4" descr=""/>
        <xdr:cNvPicPr/>
      </xdr:nvPicPr>
      <xdr:blipFill>
        <a:blip r:embed="rId2"/>
        <a:stretch/>
      </xdr:blipFill>
      <xdr:spPr>
        <a:xfrm>
          <a:off x="581040" y="1457280"/>
          <a:ext cx="1116000" cy="244800"/>
        </a:xfrm>
        <a:prstGeom prst="rect">
          <a:avLst/>
        </a:prstGeom>
        <a:ln w="0">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hyperlink" Target="https://repositorio.uspdigital.usp.br/handle/item/568" TargetMode="External"/><Relationship Id="rId2"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546A"/>
    <pageSetUpPr fitToPage="false"/>
  </sheetPr>
  <dimension ref="A1:AX4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1" ySplit="1" topLeftCell="L2" activePane="bottomRight" state="frozen"/>
      <selection pane="topLeft" activeCell="A1" activeCellId="0" sqref="A1"/>
      <selection pane="topRight" activeCell="L1" activeCellId="0" sqref="L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71"/>
    <col collapsed="false" customWidth="true" hidden="false" outlineLevel="0" max="3" min="2" style="0" width="16.85"/>
    <col collapsed="false" customWidth="true" hidden="false" outlineLevel="0" max="4" min="4" style="0" width="11.14"/>
    <col collapsed="false" customWidth="true" hidden="false" outlineLevel="0" max="5" min="5" style="0" width="11.29"/>
    <col collapsed="false" customWidth="true" hidden="false" outlineLevel="0" max="6" min="6" style="0" width="13.29"/>
    <col collapsed="false" customWidth="true" hidden="false" outlineLevel="0" max="7" min="7" style="0" width="7"/>
    <col collapsed="false" customWidth="true" hidden="false" outlineLevel="0" max="8" min="8" style="0" width="15.42"/>
    <col collapsed="false" customWidth="true" hidden="false" outlineLevel="0" max="9" min="9" style="0" width="10.57"/>
    <col collapsed="false" customWidth="true" hidden="false" outlineLevel="0" max="10" min="10" style="0" width="5.29"/>
    <col collapsed="false" customWidth="true" hidden="false" outlineLevel="0" max="11" min="11" style="0" width="6.43"/>
  </cols>
  <sheetData>
    <row r="1" customFormat="false" ht="15" hidden="false" customHeight="false" outlineLevel="0" collapsed="false">
      <c r="A1" s="1" t="s">
        <v>0</v>
      </c>
      <c r="B1" s="1"/>
      <c r="C1" s="1"/>
      <c r="D1" s="1"/>
      <c r="E1" s="1"/>
      <c r="F1" s="1"/>
      <c r="G1" s="1"/>
      <c r="H1" s="1"/>
      <c r="I1" s="1"/>
      <c r="J1" s="1"/>
      <c r="K1" s="1"/>
      <c r="L1" s="2" t="n">
        <v>2019</v>
      </c>
      <c r="M1" s="2"/>
      <c r="N1" s="2"/>
      <c r="O1" s="3" t="n">
        <v>2009</v>
      </c>
      <c r="P1" s="3"/>
      <c r="Q1" s="3"/>
      <c r="R1" s="3" t="n">
        <v>1999</v>
      </c>
      <c r="S1" s="3"/>
      <c r="T1" s="3"/>
      <c r="U1" s="3" t="n">
        <v>1989</v>
      </c>
      <c r="V1" s="3"/>
      <c r="W1" s="3"/>
      <c r="X1" s="3" t="n">
        <v>1979</v>
      </c>
      <c r="Y1" s="3"/>
      <c r="Z1" s="3"/>
      <c r="AA1" s="3" t="n">
        <v>1969</v>
      </c>
      <c r="AB1" s="3"/>
      <c r="AC1" s="3"/>
      <c r="AD1" s="3" t="n">
        <v>1959</v>
      </c>
      <c r="AE1" s="3"/>
      <c r="AF1" s="3"/>
      <c r="AG1" s="3" t="n">
        <v>1949</v>
      </c>
      <c r="AH1" s="3"/>
      <c r="AI1" s="3"/>
      <c r="AJ1" s="3" t="n">
        <v>1939</v>
      </c>
      <c r="AK1" s="3"/>
      <c r="AL1" s="3"/>
      <c r="AM1" s="3" t="n">
        <v>1929</v>
      </c>
      <c r="AN1" s="3"/>
      <c r="AO1" s="3"/>
      <c r="AP1" s="3" t="n">
        <v>1919</v>
      </c>
      <c r="AQ1" s="3"/>
      <c r="AR1" s="3"/>
      <c r="AS1" s="3" t="n">
        <v>1909</v>
      </c>
      <c r="AT1" s="3"/>
      <c r="AU1" s="3"/>
      <c r="AV1" s="3" t="n">
        <v>1899</v>
      </c>
      <c r="AW1" s="3"/>
      <c r="AX1" s="3"/>
    </row>
    <row r="2" s="6" customFormat="true" ht="15" hidden="false" customHeight="false" outlineLevel="0" collapsed="false">
      <c r="A2" s="4" t="s">
        <v>1</v>
      </c>
      <c r="B2" s="4" t="s">
        <v>2</v>
      </c>
      <c r="C2" s="4" t="s">
        <v>3</v>
      </c>
      <c r="D2" s="4" t="s">
        <v>4</v>
      </c>
      <c r="E2" s="4" t="s">
        <v>5</v>
      </c>
      <c r="F2" s="4" t="s">
        <v>6</v>
      </c>
      <c r="G2" s="4" t="s">
        <v>7</v>
      </c>
      <c r="H2" s="4" t="s">
        <v>8</v>
      </c>
      <c r="I2" s="4" t="s">
        <v>9</v>
      </c>
      <c r="J2" s="4" t="s">
        <v>10</v>
      </c>
      <c r="K2" s="4" t="s">
        <v>11</v>
      </c>
      <c r="L2" s="5" t="s">
        <v>12</v>
      </c>
      <c r="M2" s="5" t="s">
        <v>13</v>
      </c>
      <c r="N2" s="5" t="s">
        <v>14</v>
      </c>
      <c r="O2" s="5" t="s">
        <v>12</v>
      </c>
      <c r="P2" s="5" t="s">
        <v>13</v>
      </c>
      <c r="Q2" s="5" t="s">
        <v>14</v>
      </c>
      <c r="R2" s="5" t="s">
        <v>12</v>
      </c>
      <c r="S2" s="5" t="s">
        <v>13</v>
      </c>
      <c r="T2" s="5" t="s">
        <v>14</v>
      </c>
      <c r="U2" s="5" t="s">
        <v>12</v>
      </c>
      <c r="V2" s="5" t="s">
        <v>13</v>
      </c>
      <c r="W2" s="5" t="s">
        <v>14</v>
      </c>
      <c r="X2" s="5" t="s">
        <v>12</v>
      </c>
      <c r="Y2" s="5" t="s">
        <v>13</v>
      </c>
      <c r="Z2" s="5" t="s">
        <v>14</v>
      </c>
      <c r="AA2" s="5" t="s">
        <v>12</v>
      </c>
      <c r="AB2" s="5" t="s">
        <v>13</v>
      </c>
      <c r="AC2" s="5" t="s">
        <v>14</v>
      </c>
      <c r="AD2" s="5" t="s">
        <v>12</v>
      </c>
      <c r="AE2" s="5" t="s">
        <v>13</v>
      </c>
      <c r="AF2" s="5" t="s">
        <v>14</v>
      </c>
      <c r="AG2" s="5" t="s">
        <v>12</v>
      </c>
      <c r="AH2" s="5" t="s">
        <v>13</v>
      </c>
      <c r="AI2" s="5" t="s">
        <v>14</v>
      </c>
      <c r="AJ2" s="5" t="s">
        <v>12</v>
      </c>
      <c r="AK2" s="5" t="s">
        <v>13</v>
      </c>
      <c r="AL2" s="5" t="s">
        <v>14</v>
      </c>
      <c r="AM2" s="5" t="s">
        <v>12</v>
      </c>
      <c r="AN2" s="5" t="s">
        <v>13</v>
      </c>
      <c r="AO2" s="5" t="s">
        <v>14</v>
      </c>
      <c r="AP2" s="5" t="s">
        <v>12</v>
      </c>
      <c r="AQ2" s="5" t="s">
        <v>13</v>
      </c>
      <c r="AR2" s="5" t="s">
        <v>14</v>
      </c>
      <c r="AS2" s="5" t="s">
        <v>12</v>
      </c>
      <c r="AT2" s="5" t="s">
        <v>13</v>
      </c>
      <c r="AU2" s="5" t="s">
        <v>14</v>
      </c>
      <c r="AV2" s="5" t="s">
        <v>12</v>
      </c>
      <c r="AW2" s="5" t="s">
        <v>13</v>
      </c>
      <c r="AX2" s="5" t="s">
        <v>14</v>
      </c>
    </row>
    <row r="3" customFormat="false" ht="15" hidden="false" customHeight="false" outlineLevel="0" collapsed="false">
      <c r="A3" s="7" t="n">
        <v>0</v>
      </c>
      <c r="B3" s="0" t="s">
        <v>15</v>
      </c>
      <c r="C3" s="8" t="n">
        <v>45348</v>
      </c>
      <c r="D3" s="6" t="n">
        <v>0</v>
      </c>
      <c r="E3" s="0" t="s">
        <v>16</v>
      </c>
      <c r="F3" s="0" t="s">
        <v>17</v>
      </c>
      <c r="G3" s="9" t="str">
        <f aca="false">IF(OR(N3="ERRO",Q3="ERRO",T3="ERRO",W3="ERRO",Z3="ERRO",AC3="ERRO",AF3="ERRO",AI3="ERRO",AL3="ERRO",AO3="ERRO",AR3="ERRO",AU3="ERRO",AX3="ERRO"),"ERRO","OK")</f>
        <v>OK</v>
      </c>
      <c r="H3" s="9" t="n">
        <f aca="false">COUNTIF(L3:AX3,"ERRO")</f>
        <v>0</v>
      </c>
      <c r="I3" s="9" t="s">
        <v>18</v>
      </c>
      <c r="J3" s="10" t="n">
        <v>1854</v>
      </c>
      <c r="K3" s="10" t="n">
        <v>1891</v>
      </c>
      <c r="L3" s="6" t="n">
        <f aca="false">(10-(LEN(M3)))+1</f>
        <v>5</v>
      </c>
      <c r="M3" s="6" t="n">
        <v>345218</v>
      </c>
      <c r="N3" s="6" t="str">
        <f aca="false">IF($J3="NA","NA",IF(AND($J3&gt;2019,M3&gt;0),"ERRO","OK"))</f>
        <v>OK</v>
      </c>
      <c r="O3" s="6" t="n">
        <f aca="false">(10-(LEN(P3)))+1</f>
        <v>5</v>
      </c>
      <c r="P3" s="6" t="n">
        <v>406481</v>
      </c>
      <c r="Q3" s="6" t="str">
        <f aca="false">IF($J3="NA","NA",IF(AND($J3&gt;2009,P3&gt;0),"ERRO","OK"))</f>
        <v>OK</v>
      </c>
      <c r="R3" s="6" t="n">
        <f aca="false">(10-(LEN(S3)))+1</f>
        <v>5</v>
      </c>
      <c r="S3" s="6" t="n">
        <v>606880</v>
      </c>
      <c r="T3" s="6" t="str">
        <f aca="false">IF($J3="NA","NA",IF(AND($J3&gt;1999,S3&gt;0),"ERRO","OK"))</f>
        <v>OK</v>
      </c>
      <c r="U3" s="6" t="n">
        <f aca="false">(10-(LEN(V3)))+1</f>
        <v>5</v>
      </c>
      <c r="V3" s="6" t="n">
        <v>344177</v>
      </c>
      <c r="W3" s="6" t="str">
        <f aca="false">IF($J3="NA","NA",IF(AND($J3&gt;1989,V3&gt;0),"ERRO","OK"))</f>
        <v>OK</v>
      </c>
      <c r="X3" s="6" t="n">
        <f aca="false">(10-(LEN(Y3)))+1</f>
        <v>5</v>
      </c>
      <c r="Y3" s="6" t="n">
        <v>431588</v>
      </c>
      <c r="Z3" s="6" t="str">
        <f aca="false">IF($J3="NA","NA",IF(AND($J3&gt;1979,Y3&gt;0),"ERRO","OK"))</f>
        <v>OK</v>
      </c>
      <c r="AA3" s="6" t="n">
        <f aca="false">(10-(LEN(AB3)))+1</f>
        <v>5</v>
      </c>
      <c r="AB3" s="6" t="n">
        <v>468345</v>
      </c>
      <c r="AC3" s="6" t="str">
        <f aca="false">IF($J3="NA","NA",IF(AND($J3&gt;1969,AB3&gt;0),"ERRO","OK"))</f>
        <v>OK</v>
      </c>
      <c r="AD3" s="6" t="n">
        <f aca="false">(10-(LEN(AE3)))+1</f>
        <v>5</v>
      </c>
      <c r="AE3" s="6" t="n">
        <v>448848</v>
      </c>
      <c r="AF3" s="6" t="str">
        <f aca="false">IF($J3="NA","NA",IF(AND($J3&gt;1959,AE3&gt;0),"ERRO","OK"))</f>
        <v>OK</v>
      </c>
      <c r="AG3" s="6" t="n">
        <f aca="false">(10-(LEN(AH3)))+1</f>
        <v>5</v>
      </c>
      <c r="AH3" s="6" t="n">
        <v>308126</v>
      </c>
      <c r="AI3" s="6" t="str">
        <f aca="false">IF($J3="NA","NA",IF(AND($J3&gt;1949,AH3&gt;0),"ERRO","OK"))</f>
        <v>OK</v>
      </c>
      <c r="AJ3" s="6" t="n">
        <f aca="false">(10-(LEN(AK3)))+1</f>
        <v>5</v>
      </c>
      <c r="AK3" s="6" t="n">
        <v>364646</v>
      </c>
      <c r="AL3" s="6" t="str">
        <f aca="false">IF($J3="NA","NA",IF(AND($J3&gt;1939,AK3&gt;0),"ERRO","OK"))</f>
        <v>OK</v>
      </c>
      <c r="AM3" s="6" t="n">
        <f aca="false">(10-(LEN(AN3)))+1</f>
        <v>5</v>
      </c>
      <c r="AN3" s="6" t="n">
        <v>154042</v>
      </c>
      <c r="AO3" s="6" t="str">
        <f aca="false">IF($J3="NA","NA",IF(AND($J3&gt;1929,AN3&gt;0),"ERRO","OK"))</f>
        <v>OK</v>
      </c>
      <c r="AP3" s="6" t="n">
        <f aca="false">(10-(LEN(AQ3)))+1</f>
        <v>6</v>
      </c>
      <c r="AQ3" s="6" t="n">
        <v>63534</v>
      </c>
      <c r="AR3" s="6" t="str">
        <f aca="false">IF($J3="NA","NA",IF(AND($J3&gt;1919,AQ3&gt;0),"ERRO","OK"))</f>
        <v>OK</v>
      </c>
      <c r="AS3" s="6" t="n">
        <f aca="false">(10-(LEN(AT3)))+1</f>
        <v>6</v>
      </c>
      <c r="AT3" s="6" t="n">
        <v>50393</v>
      </c>
      <c r="AU3" s="6" t="str">
        <f aca="false">IF($J3="NA","NA",IF(AND($J3&gt;1909,AT3&gt;0),"ERRO","OK"))</f>
        <v>OK</v>
      </c>
      <c r="AV3" s="6" t="n">
        <f aca="false">(10-(LEN(AW3)))+1</f>
        <v>6</v>
      </c>
      <c r="AW3" s="6" t="n">
        <v>52773</v>
      </c>
      <c r="AX3" s="6" t="str">
        <f aca="false">IF($J3="NA","NA",IF(AND($J3&gt;1899,AW3&gt;0),"ERRO","OK"))</f>
        <v>OK</v>
      </c>
    </row>
    <row r="4" customFormat="false" ht="15" hidden="false" customHeight="false" outlineLevel="0" collapsed="false">
      <c r="A4" s="7" t="n">
        <v>1</v>
      </c>
      <c r="B4" s="0" t="s">
        <v>19</v>
      </c>
      <c r="C4" s="8" t="n">
        <v>45300</v>
      </c>
      <c r="D4" s="6" t="n">
        <v>0</v>
      </c>
      <c r="E4" s="0" t="s">
        <v>16</v>
      </c>
      <c r="F4" s="0" t="s">
        <v>17</v>
      </c>
      <c r="G4" s="9" t="str">
        <f aca="false">IF(OR(N4="ERRO",Q4="ERRO",T4="ERRO",W4="ERRO",Z4="ERRO",AC4="ERRO",AF4="ERRO",AI4="ERRO",AL4="ERRO",AO4="ERRO",AR4="ERRO",AU4="ERRO",AX4="ERRO"),"ERRO","OK")</f>
        <v>OK</v>
      </c>
      <c r="H4" s="9" t="n">
        <f aca="false">COUNTIF(L4:AX4,"ERRO")</f>
        <v>0</v>
      </c>
      <c r="I4" s="9" t="s">
        <v>18</v>
      </c>
      <c r="J4" s="10" t="n">
        <v>1887</v>
      </c>
      <c r="K4" s="10" t="n">
        <v>1968</v>
      </c>
      <c r="L4" s="6" t="n">
        <f aca="false">(10-(LEN(M4)))+1</f>
        <v>5</v>
      </c>
      <c r="M4" s="6" t="n">
        <v>164952</v>
      </c>
      <c r="N4" s="6" t="str">
        <f aca="false">IF($J4="NA","NA",IF(AND($J4&gt;2019,M4&gt;0),"ERRO","OK"))</f>
        <v>OK</v>
      </c>
      <c r="O4" s="6" t="n">
        <f aca="false">(10-(LEN(P4)))+1</f>
        <v>5</v>
      </c>
      <c r="P4" s="6" t="n">
        <v>265581</v>
      </c>
      <c r="Q4" s="6" t="str">
        <f aca="false">IF($J4="NA","NA",IF(AND($J4&gt;2009,P4&gt;0),"ERRO","OK"))</f>
        <v>OK</v>
      </c>
      <c r="R4" s="6" t="n">
        <f aca="false">(10-(LEN(S4)))+1</f>
        <v>5</v>
      </c>
      <c r="S4" s="6" t="n">
        <v>214154</v>
      </c>
      <c r="T4" s="6" t="str">
        <f aca="false">IF($J4="NA","NA",IF(AND($J4&gt;1999,S4&gt;0),"ERRO","OK"))</f>
        <v>OK</v>
      </c>
      <c r="U4" s="6" t="n">
        <f aca="false">(10-(LEN(V4)))+1</f>
        <v>5</v>
      </c>
      <c r="V4" s="6" t="n">
        <v>185624</v>
      </c>
      <c r="W4" s="6" t="str">
        <f aca="false">IF($J4="NA","NA",IF(AND($J4&gt;1989,V4&gt;0),"ERRO","OK"))</f>
        <v>OK</v>
      </c>
      <c r="X4" s="6" t="n">
        <f aca="false">(10-(LEN(Y4)))+1</f>
        <v>6</v>
      </c>
      <c r="Y4" s="6" t="n">
        <v>93320</v>
      </c>
      <c r="Z4" s="6" t="str">
        <f aca="false">IF($J4="NA","NA",IF(AND($J4&gt;1979,Y4&gt;0),"ERRO","OK"))</f>
        <v>OK</v>
      </c>
      <c r="AA4" s="6" t="n">
        <f aca="false">(10-(LEN(AB4)))+1</f>
        <v>5</v>
      </c>
      <c r="AB4" s="6" t="n">
        <v>108523</v>
      </c>
      <c r="AC4" s="6" t="str">
        <f aca="false">IF($J4="NA","NA",IF(AND($J4&gt;1969,AB4&gt;0),"ERRO","OK"))</f>
        <v>OK</v>
      </c>
      <c r="AD4" s="6" t="n">
        <f aca="false">(10-(LEN(AE4)))+1</f>
        <v>6</v>
      </c>
      <c r="AE4" s="6" t="n">
        <v>45839</v>
      </c>
      <c r="AF4" s="6" t="str">
        <f aca="false">IF($J4="NA","NA",IF(AND($J4&gt;1959,AE4&gt;0),"ERRO","OK"))</f>
        <v>OK</v>
      </c>
      <c r="AG4" s="6" t="n">
        <f aca="false">(10-(LEN(AH4)))+1</f>
        <v>6</v>
      </c>
      <c r="AH4" s="6" t="n">
        <v>31499</v>
      </c>
      <c r="AI4" s="6" t="str">
        <f aca="false">IF($J4="NA","NA",IF(AND($J4&gt;1949,AH4&gt;0),"ERRO","OK"))</f>
        <v>OK</v>
      </c>
      <c r="AJ4" s="6" t="n">
        <f aca="false">(10-(LEN(AK4)))+1</f>
        <v>6</v>
      </c>
      <c r="AK4" s="6" t="n">
        <v>32586</v>
      </c>
      <c r="AL4" s="6" t="str">
        <f aca="false">IF($J4="NA","NA",IF(AND($J4&gt;1939,AK4&gt;0),"ERRO","OK"))</f>
        <v>OK</v>
      </c>
      <c r="AM4" s="6" t="n">
        <f aca="false">(10-(LEN(AN4)))+1</f>
        <v>7</v>
      </c>
      <c r="AN4" s="6" t="n">
        <v>4265</v>
      </c>
      <c r="AO4" s="6" t="str">
        <f aca="false">IF($J4="NA","NA",IF(AND($J4&gt;1929,AN4&gt;0),"ERRO","OK"))</f>
        <v>OK</v>
      </c>
      <c r="AP4" s="6" t="n">
        <f aca="false">(10-(LEN(AQ4)))+1</f>
        <v>7</v>
      </c>
      <c r="AQ4" s="6" t="n">
        <v>8211</v>
      </c>
      <c r="AR4" s="6" t="str">
        <f aca="false">IF($J4="NA","NA",IF(AND($J4&gt;1919,AQ4&gt;0),"ERRO","OK"))</f>
        <v>OK</v>
      </c>
      <c r="AS4" s="6" t="n">
        <f aca="false">(10-(LEN(AT4)))+1</f>
        <v>8</v>
      </c>
      <c r="AT4" s="6" t="n">
        <v>103</v>
      </c>
      <c r="AU4" s="6" t="str">
        <f aca="false">IF($J4="NA","NA",IF(AND($J4&gt;1909,AT4&gt;0),"ERRO","OK"))</f>
        <v>OK</v>
      </c>
      <c r="AV4" s="6" t="n">
        <f aca="false">(10-(LEN(AW4)))+1</f>
        <v>10</v>
      </c>
      <c r="AW4" s="6" t="n">
        <v>0</v>
      </c>
      <c r="AX4" s="6" t="str">
        <f aca="false">IF($J4="NA","NA",IF(AND($J4&gt;1899,AW4&gt;0),"ERRO","OK"))</f>
        <v>OK</v>
      </c>
    </row>
    <row r="5" customFormat="false" ht="15" hidden="false" customHeight="false" outlineLevel="0" collapsed="false">
      <c r="A5" s="7" t="n">
        <v>2</v>
      </c>
      <c r="B5" s="0" t="s">
        <v>20</v>
      </c>
      <c r="C5" s="8" t="n">
        <v>45300</v>
      </c>
      <c r="D5" s="6" t="n">
        <v>0</v>
      </c>
      <c r="E5" s="0" t="s">
        <v>16</v>
      </c>
      <c r="F5" s="0" t="s">
        <v>17</v>
      </c>
      <c r="G5" s="9" t="str">
        <f aca="false">IF(OR(N5="ERRO",Q5="ERRO",T5="ERRO",W5="ERRO",Z5="ERRO",AC5="ERRO",AF5="ERRO",AI5="ERRO",AL5="ERRO",AO5="ERRO",AR5="ERRO",AU5="ERRO",AX5="ERRO"),"ERRO","OK")</f>
        <v>OK</v>
      </c>
      <c r="H5" s="9" t="n">
        <f aca="false">COUNTIF(L5:AX5,"ERRO")</f>
        <v>0</v>
      </c>
      <c r="I5" s="9" t="s">
        <v>18</v>
      </c>
      <c r="J5" s="10" t="n">
        <v>1889</v>
      </c>
      <c r="K5" s="10" t="n">
        <v>1963</v>
      </c>
      <c r="L5" s="6" t="n">
        <f aca="false">(10-(LEN(M5)))+1</f>
        <v>7</v>
      </c>
      <c r="M5" s="6" t="n">
        <v>1291</v>
      </c>
      <c r="N5" s="6" t="str">
        <f aca="false">IF($J5="NA","NA",IF(AND($J5&gt;2019,M5&gt;0),"ERRO","OK"))</f>
        <v>OK</v>
      </c>
      <c r="O5" s="6" t="n">
        <f aca="false">(10-(LEN(P5)))+1</f>
        <v>7</v>
      </c>
      <c r="P5" s="6" t="n">
        <v>6278</v>
      </c>
      <c r="Q5" s="6" t="str">
        <f aca="false">IF($J5="NA","NA",IF(AND($J5&gt;2009,P5&gt;0),"ERRO","OK"))</f>
        <v>OK</v>
      </c>
      <c r="R5" s="6" t="n">
        <f aca="false">(10-(LEN(S5)))+1</f>
        <v>7</v>
      </c>
      <c r="S5" s="6" t="n">
        <v>1092</v>
      </c>
      <c r="T5" s="6" t="str">
        <f aca="false">IF($J5="NA","NA",IF(AND($J5&gt;1999,S5&gt;0),"ERRO","OK"))</f>
        <v>OK</v>
      </c>
      <c r="U5" s="6" t="n">
        <f aca="false">(10-(LEN(V5)))+1</f>
        <v>7</v>
      </c>
      <c r="V5" s="6" t="n">
        <v>1380</v>
      </c>
      <c r="W5" s="6" t="str">
        <f aca="false">IF($J5="NA","NA",IF(AND($J5&gt;1989,V5&gt;0),"ERRO","OK"))</f>
        <v>OK</v>
      </c>
      <c r="X5" s="6" t="n">
        <f aca="false">(10-(LEN(Y5)))+1</f>
        <v>8</v>
      </c>
      <c r="Y5" s="6" t="n">
        <v>482</v>
      </c>
      <c r="Z5" s="6" t="str">
        <f aca="false">IF($J5="NA","NA",IF(AND($J5&gt;1979,Y5&gt;0),"ERRO","OK"))</f>
        <v>OK</v>
      </c>
      <c r="AA5" s="6" t="n">
        <f aca="false">(10-(LEN(AB5)))+1</f>
        <v>7</v>
      </c>
      <c r="AB5" s="6" t="n">
        <v>1289</v>
      </c>
      <c r="AC5" s="6" t="str">
        <f aca="false">IF($J5="NA","NA",IF(AND($J5&gt;1969,AB5&gt;0),"ERRO","OK"))</f>
        <v>OK</v>
      </c>
      <c r="AD5" s="6" t="n">
        <f aca="false">(10-(LEN(AE5)))+1</f>
        <v>9</v>
      </c>
      <c r="AE5" s="6" t="n">
        <v>90</v>
      </c>
      <c r="AF5" s="6" t="str">
        <f aca="false">IF($J5="NA","NA",IF(AND($J5&gt;1959,AE5&gt;0),"ERRO","OK"))</f>
        <v>OK</v>
      </c>
      <c r="AG5" s="6" t="n">
        <f aca="false">(10-(LEN(AH5)))+1</f>
        <v>10</v>
      </c>
      <c r="AH5" s="6" t="n">
        <v>0</v>
      </c>
      <c r="AI5" s="6" t="str">
        <f aca="false">IF($J5="NA","NA",IF(AND($J5&gt;1949,AH5&gt;0),"ERRO","OK"))</f>
        <v>OK</v>
      </c>
      <c r="AJ5" s="6" t="n">
        <f aca="false">(10-(LEN(AK5)))+1</f>
        <v>8</v>
      </c>
      <c r="AK5" s="6" t="n">
        <v>418</v>
      </c>
      <c r="AL5" s="6" t="str">
        <f aca="false">IF($J5="NA","NA",IF(AND($J5&gt;1939,AK5&gt;0),"ERRO","OK"))</f>
        <v>OK</v>
      </c>
      <c r="AM5" s="6" t="n">
        <f aca="false">(10-(LEN(AN5)))+1</f>
        <v>8</v>
      </c>
      <c r="AN5" s="6" t="n">
        <v>305</v>
      </c>
      <c r="AO5" s="6" t="str">
        <f aca="false">IF($J5="NA","NA",IF(AND($J5&gt;1929,AN5&gt;0),"ERRO","OK"))</f>
        <v>OK</v>
      </c>
      <c r="AP5" s="6" t="n">
        <f aca="false">(10-(LEN(AQ5)))+1</f>
        <v>10</v>
      </c>
      <c r="AQ5" s="6" t="n">
        <v>0</v>
      </c>
      <c r="AR5" s="6" t="str">
        <f aca="false">IF($J5="NA","NA",IF(AND($J5&gt;1919,AQ5&gt;0),"ERRO","OK"))</f>
        <v>OK</v>
      </c>
      <c r="AS5" s="6" t="n">
        <f aca="false">(10-(LEN(AT5)))+1</f>
        <v>10</v>
      </c>
      <c r="AT5" s="6" t="n">
        <v>0</v>
      </c>
      <c r="AU5" s="6" t="str">
        <f aca="false">IF($J5="NA","NA",IF(AND($J5&gt;1909,AT5&gt;0),"ERRO","OK"))</f>
        <v>OK</v>
      </c>
      <c r="AV5" s="6" t="n">
        <f aca="false">(10-(LEN(AW5)))+1</f>
        <v>10</v>
      </c>
      <c r="AW5" s="6" t="n">
        <v>0</v>
      </c>
      <c r="AX5" s="6" t="str">
        <f aca="false">IF($J5="NA","NA",IF(AND($J5&gt;1899,AW5&gt;0),"ERRO","OK"))</f>
        <v>OK</v>
      </c>
    </row>
    <row r="6" customFormat="false" ht="15" hidden="false" customHeight="false" outlineLevel="0" collapsed="false">
      <c r="A6" s="7" t="n">
        <v>3</v>
      </c>
      <c r="B6" s="0" t="s">
        <v>21</v>
      </c>
      <c r="C6" s="8" t="n">
        <v>45300</v>
      </c>
      <c r="D6" s="6" t="n">
        <v>0</v>
      </c>
      <c r="E6" s="0" t="s">
        <v>16</v>
      </c>
      <c r="F6" s="0" t="s">
        <v>17</v>
      </c>
      <c r="G6" s="9" t="str">
        <f aca="false">IF(OR(N6="ERRO",Q6="ERRO",T6="ERRO",W6="ERRO",Z6="ERRO",AC6="ERRO",AF6="ERRO",AI6="ERRO",AL6="ERRO",AO6="ERRO",AR6="ERRO",AU6="ERRO",AX6="ERRO"),"ERRO","OK")</f>
        <v>OK</v>
      </c>
      <c r="H6" s="9" t="n">
        <f aca="false">COUNTIF(L6:AX6,"ERRO")</f>
        <v>0</v>
      </c>
      <c r="I6" s="9" t="s">
        <v>18</v>
      </c>
      <c r="J6" s="10" t="s">
        <v>22</v>
      </c>
      <c r="K6" s="10" t="s">
        <v>22</v>
      </c>
      <c r="L6" s="6" t="n">
        <f aca="false">(10-(LEN(M6)))+1</f>
        <v>10</v>
      </c>
      <c r="M6" s="6" t="n">
        <v>0</v>
      </c>
      <c r="N6" s="6" t="str">
        <f aca="false">IF($J6="NA","NA",IF(AND($J6&gt;2019,M6&gt;0),"ERRO","OK"))</f>
        <v>NA</v>
      </c>
      <c r="O6" s="6" t="n">
        <f aca="false">(10-(LEN(P6)))+1</f>
        <v>10</v>
      </c>
      <c r="P6" s="6" t="n">
        <v>0</v>
      </c>
      <c r="Q6" s="6" t="str">
        <f aca="false">IF($J6="NA","NA",IF(AND($J6&gt;2009,P6&gt;0),"ERRO","OK"))</f>
        <v>NA</v>
      </c>
      <c r="R6" s="6" t="n">
        <f aca="false">(10-(LEN(S6)))+1</f>
        <v>10</v>
      </c>
      <c r="S6" s="6" t="n">
        <v>0</v>
      </c>
      <c r="T6" s="6" t="str">
        <f aca="false">IF($J6="NA","NA",IF(AND($J6&gt;1999,S6&gt;0),"ERRO","OK"))</f>
        <v>NA</v>
      </c>
      <c r="U6" s="6" t="n">
        <f aca="false">(10-(LEN(V6)))+1</f>
        <v>9</v>
      </c>
      <c r="V6" s="6" t="n">
        <v>46</v>
      </c>
      <c r="W6" s="6" t="str">
        <f aca="false">IF($J6="NA","NA",IF(AND($J6&gt;1989,V6&gt;0),"ERRO","OK"))</f>
        <v>NA</v>
      </c>
      <c r="X6" s="6" t="n">
        <f aca="false">(10-(LEN(Y6)))+1</f>
        <v>10</v>
      </c>
      <c r="Y6" s="6" t="n">
        <v>0</v>
      </c>
      <c r="Z6" s="6" t="str">
        <f aca="false">IF($J6="NA","NA",IF(AND($J6&gt;1979,Y6&gt;0),"ERRO","OK"))</f>
        <v>NA</v>
      </c>
      <c r="AA6" s="6" t="n">
        <f aca="false">(10-(LEN(AB6)))+1</f>
        <v>10</v>
      </c>
      <c r="AB6" s="6" t="n">
        <v>0</v>
      </c>
      <c r="AC6" s="6" t="str">
        <f aca="false">IF($J6="NA","NA",IF(AND($J6&gt;1969,AB6&gt;0),"ERRO","OK"))</f>
        <v>NA</v>
      </c>
      <c r="AD6" s="6" t="n">
        <f aca="false">(10-(LEN(AE6)))+1</f>
        <v>10</v>
      </c>
      <c r="AE6" s="6" t="n">
        <v>0</v>
      </c>
      <c r="AF6" s="6" t="str">
        <f aca="false">IF($J6="NA","NA",IF(AND($J6&gt;1959,AE6&gt;0),"ERRO","OK"))</f>
        <v>NA</v>
      </c>
      <c r="AG6" s="6" t="n">
        <f aca="false">(10-(LEN(AH6)))+1</f>
        <v>10</v>
      </c>
      <c r="AH6" s="6" t="n">
        <v>0</v>
      </c>
      <c r="AI6" s="6" t="str">
        <f aca="false">IF($J6="NA","NA",IF(AND($J6&gt;1949,AH6&gt;0),"ERRO","OK"))</f>
        <v>NA</v>
      </c>
      <c r="AJ6" s="6" t="n">
        <f aca="false">(10-(LEN(AK6)))+1</f>
        <v>10</v>
      </c>
      <c r="AK6" s="6" t="n">
        <v>0</v>
      </c>
      <c r="AL6" s="6" t="str">
        <f aca="false">IF($J6="NA","NA",IF(AND($J6&gt;1939,AK6&gt;0),"ERRO","OK"))</f>
        <v>NA</v>
      </c>
      <c r="AM6" s="6" t="n">
        <f aca="false">(10-(LEN(AN6)))+1</f>
        <v>10</v>
      </c>
      <c r="AN6" s="6" t="n">
        <v>0</v>
      </c>
      <c r="AO6" s="6" t="str">
        <f aca="false">IF($J6="NA","NA",IF(AND($J6&gt;1929,AN6&gt;0),"ERRO","OK"))</f>
        <v>NA</v>
      </c>
      <c r="AP6" s="6" t="n">
        <f aca="false">(10-(LEN(AQ6)))+1</f>
        <v>10</v>
      </c>
      <c r="AQ6" s="6" t="n">
        <v>0</v>
      </c>
      <c r="AR6" s="6" t="str">
        <f aca="false">IF($J6="NA","NA",IF(AND($J6&gt;1919,AQ6&gt;0),"ERRO","OK"))</f>
        <v>NA</v>
      </c>
      <c r="AS6" s="6" t="n">
        <f aca="false">(10-(LEN(AT6)))+1</f>
        <v>10</v>
      </c>
      <c r="AT6" s="6" t="n">
        <v>0</v>
      </c>
      <c r="AU6" s="6" t="str">
        <f aca="false">IF($J6="NA","NA",IF(AND($J6&gt;1909,AT6&gt;0),"ERRO","OK"))</f>
        <v>NA</v>
      </c>
      <c r="AV6" s="6" t="n">
        <f aca="false">(10-(LEN(AW6)))+1</f>
        <v>10</v>
      </c>
      <c r="AW6" s="6" t="n">
        <v>0</v>
      </c>
      <c r="AX6" s="6" t="str">
        <f aca="false">IF($J6="NA","NA",IF(AND($J6&gt;1899,AW6&gt;0),"ERRO","OK"))</f>
        <v>NA</v>
      </c>
    </row>
    <row r="7" customFormat="false" ht="15" hidden="false" customHeight="false" outlineLevel="0" collapsed="false">
      <c r="A7" s="7" t="n">
        <v>4</v>
      </c>
      <c r="B7" s="0" t="s">
        <v>23</v>
      </c>
      <c r="C7" s="8" t="n">
        <v>45300</v>
      </c>
      <c r="D7" s="6" t="n">
        <v>0</v>
      </c>
      <c r="E7" s="0" t="s">
        <v>16</v>
      </c>
      <c r="F7" s="0" t="s">
        <v>17</v>
      </c>
      <c r="G7" s="9" t="str">
        <f aca="false">IF(OR(N7="ERRO",Q7="ERRO",T7="ERRO",W7="ERRO",Z7="ERRO",AC7="ERRO",AF7="ERRO",AI7="ERRO",AL7="ERRO",AO7="ERRO",AR7="ERRO",AU7="ERRO",AX7="ERRO"),"ERRO","OK")</f>
        <v>OK</v>
      </c>
      <c r="H7" s="9" t="n">
        <f aca="false">COUNTIF(L7:AX7,"ERRO")</f>
        <v>0</v>
      </c>
      <c r="I7" s="9" t="s">
        <v>18</v>
      </c>
      <c r="J7" s="10" t="n">
        <v>1875</v>
      </c>
      <c r="K7" s="10" t="n">
        <v>1963</v>
      </c>
      <c r="L7" s="6" t="n">
        <f aca="false">(10-(LEN(M7)))+1</f>
        <v>7</v>
      </c>
      <c r="M7" s="6" t="n">
        <v>2207</v>
      </c>
      <c r="N7" s="6" t="str">
        <f aca="false">IF($J7="NA","NA",IF(AND($J7&gt;2019,M7&gt;0),"ERRO","OK"))</f>
        <v>OK</v>
      </c>
      <c r="O7" s="6" t="n">
        <f aca="false">(10-(LEN(P7)))+1</f>
        <v>7</v>
      </c>
      <c r="P7" s="6" t="n">
        <v>7993</v>
      </c>
      <c r="Q7" s="6" t="str">
        <f aca="false">IF($J7="NA","NA",IF(AND($J7&gt;2009,P7&gt;0),"ERRO","OK"))</f>
        <v>OK</v>
      </c>
      <c r="R7" s="6" t="n">
        <f aca="false">(10-(LEN(S7)))+1</f>
        <v>7</v>
      </c>
      <c r="S7" s="6" t="n">
        <v>7899</v>
      </c>
      <c r="T7" s="6" t="str">
        <f aca="false">IF($J7="NA","NA",IF(AND($J7&gt;1999,S7&gt;0),"ERRO","OK"))</f>
        <v>OK</v>
      </c>
      <c r="U7" s="6" t="n">
        <f aca="false">(10-(LEN(V7)))+1</f>
        <v>6</v>
      </c>
      <c r="V7" s="6" t="n">
        <v>11636</v>
      </c>
      <c r="W7" s="6" t="str">
        <f aca="false">IF($J7="NA","NA",IF(AND($J7&gt;1989,V7&gt;0),"ERRO","OK"))</f>
        <v>OK</v>
      </c>
      <c r="X7" s="6" t="n">
        <f aca="false">(10-(LEN(Y7)))+1</f>
        <v>6</v>
      </c>
      <c r="Y7" s="6" t="n">
        <v>15357</v>
      </c>
      <c r="Z7" s="6" t="str">
        <f aca="false">IF($J7="NA","NA",IF(AND($J7&gt;1979,Y7&gt;0),"ERRO","OK"))</f>
        <v>OK</v>
      </c>
      <c r="AA7" s="6" t="n">
        <f aca="false">(10-(LEN(AB7)))+1</f>
        <v>6</v>
      </c>
      <c r="AB7" s="6" t="n">
        <v>16466</v>
      </c>
      <c r="AC7" s="6" t="str">
        <f aca="false">IF($J7="NA","NA",IF(AND($J7&gt;1969,AB7&gt;0),"ERRO","OK"))</f>
        <v>OK</v>
      </c>
      <c r="AD7" s="6" t="n">
        <f aca="false">(10-(LEN(AE7)))+1</f>
        <v>6</v>
      </c>
      <c r="AE7" s="6" t="n">
        <v>19466</v>
      </c>
      <c r="AF7" s="6" t="str">
        <f aca="false">IF($J7="NA","NA",IF(AND($J7&gt;1959,AE7&gt;0),"ERRO","OK"))</f>
        <v>OK</v>
      </c>
      <c r="AG7" s="6" t="n">
        <f aca="false">(10-(LEN(AH7)))+1</f>
        <v>6</v>
      </c>
      <c r="AH7" s="6" t="n">
        <v>14318</v>
      </c>
      <c r="AI7" s="6" t="str">
        <f aca="false">IF($J7="NA","NA",IF(AND($J7&gt;1949,AH7&gt;0),"ERRO","OK"))</f>
        <v>OK</v>
      </c>
      <c r="AJ7" s="6" t="n">
        <f aca="false">(10-(LEN(AK7)))+1</f>
        <v>7</v>
      </c>
      <c r="AK7" s="6" t="n">
        <v>4456</v>
      </c>
      <c r="AL7" s="6" t="str">
        <f aca="false">IF($J7="NA","NA",IF(AND($J7&gt;1939,AK7&gt;0),"ERRO","OK"))</f>
        <v>OK</v>
      </c>
      <c r="AM7" s="6" t="n">
        <f aca="false">(10-(LEN(AN7)))+1</f>
        <v>7</v>
      </c>
      <c r="AN7" s="6" t="n">
        <v>1371</v>
      </c>
      <c r="AO7" s="6" t="str">
        <f aca="false">IF($J7="NA","NA",IF(AND($J7&gt;1929,AN7&gt;0),"ERRO","OK"))</f>
        <v>OK</v>
      </c>
      <c r="AP7" s="6" t="n">
        <f aca="false">(10-(LEN(AQ7)))+1</f>
        <v>8</v>
      </c>
      <c r="AQ7" s="6" t="n">
        <v>100</v>
      </c>
      <c r="AR7" s="6" t="str">
        <f aca="false">IF($J7="NA","NA",IF(AND($J7&gt;1919,AQ7&gt;0),"ERRO","OK"))</f>
        <v>OK</v>
      </c>
      <c r="AS7" s="6" t="n">
        <f aca="false">(10-(LEN(AT7)))+1</f>
        <v>8</v>
      </c>
      <c r="AT7" s="6" t="n">
        <v>103</v>
      </c>
      <c r="AU7" s="6" t="str">
        <f aca="false">IF($J7="NA","NA",IF(AND($J7&gt;1909,AT7&gt;0),"ERRO","OK"))</f>
        <v>OK</v>
      </c>
      <c r="AV7" s="6" t="n">
        <f aca="false">(10-(LEN(AW7)))+1</f>
        <v>8</v>
      </c>
      <c r="AW7" s="6" t="n">
        <v>129</v>
      </c>
      <c r="AX7" s="6" t="str">
        <f aca="false">IF($J7="NA","NA",IF(AND($J7&gt;1899,AW7&gt;0),"ERRO","OK"))</f>
        <v>OK</v>
      </c>
    </row>
    <row r="8" customFormat="false" ht="15" hidden="false" customHeight="false" outlineLevel="0" collapsed="false">
      <c r="A8" s="7" t="n">
        <v>5</v>
      </c>
      <c r="B8" s="0" t="s">
        <v>24</v>
      </c>
      <c r="C8" s="8" t="n">
        <v>45300</v>
      </c>
      <c r="D8" s="6" t="n">
        <v>0</v>
      </c>
      <c r="E8" s="0" t="s">
        <v>16</v>
      </c>
      <c r="F8" s="0" t="s">
        <v>17</v>
      </c>
      <c r="G8" s="9" t="str">
        <f aca="false">IF(OR(N8="ERRO",Q8="ERRO",T8="ERRO",W8="ERRO",Z8="ERRO",AC8="ERRO",AF8="ERRO",AI8="ERRO",AL8="ERRO",AO8="ERRO",AR8="ERRO",AU8="ERRO",AX8="ERRO"),"ERRO","OK")</f>
        <v>OK</v>
      </c>
      <c r="H8" s="9" t="n">
        <f aca="false">COUNTIF(L8:AX8,"ERRO")</f>
        <v>0</v>
      </c>
      <c r="I8" s="9" t="s">
        <v>18</v>
      </c>
      <c r="J8" s="10" t="n">
        <v>1870</v>
      </c>
      <c r="K8" s="10" t="n">
        <v>1943</v>
      </c>
      <c r="L8" s="6" t="n">
        <f aca="false">(10-(LEN(M8)))+1</f>
        <v>7</v>
      </c>
      <c r="M8" s="6" t="n">
        <v>1707</v>
      </c>
      <c r="N8" s="6" t="str">
        <f aca="false">IF($J8="NA","NA",IF(AND($J8&gt;2019,M8&gt;0),"ERRO","OK"))</f>
        <v>OK</v>
      </c>
      <c r="O8" s="6" t="n">
        <f aca="false">(10-(LEN(P8)))+1</f>
        <v>7</v>
      </c>
      <c r="P8" s="6" t="n">
        <v>4219</v>
      </c>
      <c r="Q8" s="6" t="str">
        <f aca="false">IF($J8="NA","NA",IF(AND($J8&gt;2009,P8&gt;0),"ERRO","OK"))</f>
        <v>OK</v>
      </c>
      <c r="R8" s="6" t="n">
        <f aca="false">(10-(LEN(S8)))+1</f>
        <v>7</v>
      </c>
      <c r="S8" s="6" t="n">
        <v>6176</v>
      </c>
      <c r="T8" s="6" t="str">
        <f aca="false">IF($J8="NA","NA",IF(AND($J8&gt;1999,S8&gt;0),"ERRO","OK"))</f>
        <v>OK</v>
      </c>
      <c r="U8" s="6" t="n">
        <f aca="false">(10-(LEN(V8)))+1</f>
        <v>7</v>
      </c>
      <c r="V8" s="6" t="n">
        <v>2897</v>
      </c>
      <c r="W8" s="6" t="str">
        <f aca="false">IF($J8="NA","NA",IF(AND($J8&gt;1989,V8&gt;0),"ERRO","OK"))</f>
        <v>OK</v>
      </c>
      <c r="X8" s="6" t="n">
        <f aca="false">(10-(LEN(Y8)))+1</f>
        <v>7</v>
      </c>
      <c r="Y8" s="6" t="n">
        <v>1873</v>
      </c>
      <c r="Z8" s="6" t="str">
        <f aca="false">IF($J8="NA","NA",IF(AND($J8&gt;1979,Y8&gt;0),"ERRO","OK"))</f>
        <v>OK</v>
      </c>
      <c r="AA8" s="6" t="n">
        <f aca="false">(10-(LEN(AB8)))+1</f>
        <v>7</v>
      </c>
      <c r="AB8" s="6" t="n">
        <v>2637</v>
      </c>
      <c r="AC8" s="6" t="str">
        <f aca="false">IF($J8="NA","NA",IF(AND($J8&gt;1969,AB8&gt;0),"ERRO","OK"))</f>
        <v>OK</v>
      </c>
      <c r="AD8" s="6" t="n">
        <f aca="false">(10-(LEN(AE8)))+1</f>
        <v>7</v>
      </c>
      <c r="AE8" s="6" t="n">
        <v>3498</v>
      </c>
      <c r="AF8" s="6" t="str">
        <f aca="false">IF($J8="NA","NA",IF(AND($J8&gt;1959,AE8&gt;0),"ERRO","OK"))</f>
        <v>OK</v>
      </c>
      <c r="AG8" s="6" t="n">
        <f aca="false">(10-(LEN(AH8)))+1</f>
        <v>7</v>
      </c>
      <c r="AH8" s="6" t="n">
        <v>2313</v>
      </c>
      <c r="AI8" s="6" t="str">
        <f aca="false">IF($J8="NA","NA",IF(AND($J8&gt;1949,AH8&gt;0),"ERRO","OK"))</f>
        <v>OK</v>
      </c>
      <c r="AJ8" s="6" t="n">
        <f aca="false">(10-(LEN(AK8)))+1</f>
        <v>8</v>
      </c>
      <c r="AK8" s="6" t="n">
        <v>557</v>
      </c>
      <c r="AL8" s="6" t="str">
        <f aca="false">IF($J8="NA","NA",IF(AND($J8&gt;1939,AK8&gt;0),"ERRO","OK"))</f>
        <v>OK</v>
      </c>
      <c r="AM8" s="6" t="n">
        <f aca="false">(10-(LEN(AN8)))+1</f>
        <v>8</v>
      </c>
      <c r="AN8" s="6" t="n">
        <v>914</v>
      </c>
      <c r="AO8" s="6" t="str">
        <f aca="false">IF($J8="NA","NA",IF(AND($J8&gt;1929,AN8&gt;0),"ERRO","OK"))</f>
        <v>OK</v>
      </c>
      <c r="AP8" s="6" t="n">
        <f aca="false">(10-(LEN(AQ8)))+1</f>
        <v>8</v>
      </c>
      <c r="AQ8" s="6" t="n">
        <v>401</v>
      </c>
      <c r="AR8" s="6" t="str">
        <f aca="false">IF($J8="NA","NA",IF(AND($J8&gt;1919,AQ8&gt;0),"ERRO","OK"))</f>
        <v>OK</v>
      </c>
      <c r="AS8" s="6" t="n">
        <f aca="false">(10-(LEN(AT8)))+1</f>
        <v>7</v>
      </c>
      <c r="AT8" s="6" t="n">
        <v>1341</v>
      </c>
      <c r="AU8" s="6" t="str">
        <f aca="false">IF($J8="NA","NA",IF(AND($J8&gt;1909,AT8&gt;0),"ERRO","OK"))</f>
        <v>OK</v>
      </c>
      <c r="AV8" s="6" t="n">
        <f aca="false">(10-(LEN(AW8)))+1</f>
        <v>10</v>
      </c>
      <c r="AW8" s="6" t="n">
        <v>0</v>
      </c>
      <c r="AX8" s="6" t="str">
        <f aca="false">IF($J8="NA","NA",IF(AND($J8&gt;1899,AW8&gt;0),"ERRO","OK"))</f>
        <v>OK</v>
      </c>
    </row>
    <row r="9" customFormat="false" ht="15" hidden="false" customHeight="false" outlineLevel="0" collapsed="false">
      <c r="A9" s="7" t="n">
        <v>6</v>
      </c>
      <c r="B9" s="0" t="s">
        <v>25</v>
      </c>
      <c r="C9" s="8" t="n">
        <v>45300</v>
      </c>
      <c r="D9" s="6" t="n">
        <v>0</v>
      </c>
      <c r="E9" s="0" t="s">
        <v>16</v>
      </c>
      <c r="F9" s="0" t="s">
        <v>17</v>
      </c>
      <c r="G9" s="9" t="str">
        <f aca="false">IF(OR(N9="ERRO",Q9="ERRO",T9="ERRO",W9="ERRO",Z9="ERRO",AC9="ERRO",AF9="ERRO",AI9="ERRO",AL9="ERRO",AO9="ERRO",AR9="ERRO",AU9="ERRO",AX9="ERRO"),"ERRO","OK")</f>
        <v>OK</v>
      </c>
      <c r="H9" s="9" t="n">
        <f aca="false">COUNTIF(L9:AX9,"ERRO")</f>
        <v>0</v>
      </c>
      <c r="I9" s="9" t="s">
        <v>18</v>
      </c>
      <c r="J9" s="10" t="n">
        <v>1876</v>
      </c>
      <c r="K9" s="10" t="n">
        <v>1918</v>
      </c>
      <c r="L9" s="6" t="n">
        <f aca="false">(10-(LEN(M9)))+1</f>
        <v>7</v>
      </c>
      <c r="M9" s="6" t="n">
        <v>1248</v>
      </c>
      <c r="N9" s="6" t="str">
        <f aca="false">IF($J9="NA","NA",IF(AND($J9&gt;2019,M9&gt;0),"ERRO","OK"))</f>
        <v>OK</v>
      </c>
      <c r="O9" s="6" t="n">
        <f aca="false">(10-(LEN(P9)))+1</f>
        <v>7</v>
      </c>
      <c r="P9" s="6" t="n">
        <v>3490</v>
      </c>
      <c r="Q9" s="6" t="str">
        <f aca="false">IF($J9="NA","NA",IF(AND($J9&gt;2009,P9&gt;0),"ERRO","OK"))</f>
        <v>OK</v>
      </c>
      <c r="R9" s="6" t="n">
        <f aca="false">(10-(LEN(S9)))+1</f>
        <v>7</v>
      </c>
      <c r="S9" s="6" t="n">
        <v>5340</v>
      </c>
      <c r="T9" s="6" t="str">
        <f aca="false">IF($J9="NA","NA",IF(AND($J9&gt;1999,S9&gt;0),"ERRO","OK"))</f>
        <v>OK</v>
      </c>
      <c r="U9" s="6" t="n">
        <f aca="false">(10-(LEN(V9)))+1</f>
        <v>7</v>
      </c>
      <c r="V9" s="6" t="n">
        <v>4589</v>
      </c>
      <c r="W9" s="6" t="str">
        <f aca="false">IF($J9="NA","NA",IF(AND($J9&gt;1989,V9&gt;0),"ERRO","OK"))</f>
        <v>OK</v>
      </c>
      <c r="X9" s="6" t="n">
        <f aca="false">(10-(LEN(Y9)))+1</f>
        <v>7</v>
      </c>
      <c r="Y9" s="6" t="n">
        <v>6404</v>
      </c>
      <c r="Z9" s="6" t="str">
        <f aca="false">IF($J9="NA","NA",IF(AND($J9&gt;1979,Y9&gt;0),"ERRO","OK"))</f>
        <v>OK</v>
      </c>
      <c r="AA9" s="6" t="n">
        <f aca="false">(10-(LEN(AB9)))+1</f>
        <v>7</v>
      </c>
      <c r="AB9" s="6" t="n">
        <v>6287</v>
      </c>
      <c r="AC9" s="6" t="str">
        <f aca="false">IF($J9="NA","NA",IF(AND($J9&gt;1969,AB9&gt;0),"ERRO","OK"))</f>
        <v>OK</v>
      </c>
      <c r="AD9" s="6" t="n">
        <f aca="false">(10-(LEN(AE9)))+1</f>
        <v>7</v>
      </c>
      <c r="AE9" s="6" t="n">
        <v>2881</v>
      </c>
      <c r="AF9" s="6" t="str">
        <f aca="false">IF($J9="NA","NA",IF(AND($J9&gt;1959,AE9&gt;0),"ERRO","OK"))</f>
        <v>OK</v>
      </c>
      <c r="AG9" s="6" t="n">
        <f aca="false">(10-(LEN(AH9)))+1</f>
        <v>8</v>
      </c>
      <c r="AH9" s="6" t="n">
        <v>489</v>
      </c>
      <c r="AI9" s="6" t="str">
        <f aca="false">IF($J9="NA","NA",IF(AND($J9&gt;1949,AH9&gt;0),"ERRO","OK"))</f>
        <v>OK</v>
      </c>
      <c r="AJ9" s="6" t="n">
        <f aca="false">(10-(LEN(AK9)))+1</f>
        <v>8</v>
      </c>
      <c r="AK9" s="6" t="n">
        <v>928</v>
      </c>
      <c r="AL9" s="6" t="str">
        <f aca="false">IF($J9="NA","NA",IF(AND($J9&gt;1939,AK9&gt;0),"ERRO","OK"))</f>
        <v>OK</v>
      </c>
      <c r="AM9" s="6" t="n">
        <f aca="false">(10-(LEN(AN9)))+1</f>
        <v>7</v>
      </c>
      <c r="AN9" s="6" t="n">
        <v>2373</v>
      </c>
      <c r="AO9" s="6" t="str">
        <f aca="false">IF($J9="NA","NA",IF(AND($J9&gt;1929,AN9&gt;0),"ERRO","OK"))</f>
        <v>OK</v>
      </c>
      <c r="AP9" s="6" t="n">
        <f aca="false">(10-(LEN(AQ9)))+1</f>
        <v>10</v>
      </c>
      <c r="AQ9" s="6" t="n">
        <v>0</v>
      </c>
      <c r="AR9" s="6" t="str">
        <f aca="false">IF($J9="NA","NA",IF(AND($J9&gt;1919,AQ9&gt;0),"ERRO","OK"))</f>
        <v>OK</v>
      </c>
      <c r="AS9" s="6" t="n">
        <f aca="false">(10-(LEN(AT9)))+1</f>
        <v>10</v>
      </c>
      <c r="AT9" s="6" t="n">
        <v>0</v>
      </c>
      <c r="AU9" s="6" t="str">
        <f aca="false">IF($J9="NA","NA",IF(AND($J9&gt;1909,AT9&gt;0),"ERRO","OK"))</f>
        <v>OK</v>
      </c>
      <c r="AV9" s="6" t="n">
        <f aca="false">(10-(LEN(AW9)))+1</f>
        <v>10</v>
      </c>
      <c r="AW9" s="6" t="n">
        <v>0</v>
      </c>
      <c r="AX9" s="6" t="str">
        <f aca="false">IF($J9="NA","NA",IF(AND($J9&gt;1899,AW9&gt;0),"ERRO","OK"))</f>
        <v>OK</v>
      </c>
    </row>
    <row r="10" customFormat="false" ht="15" hidden="false" customHeight="false" outlineLevel="0" collapsed="false">
      <c r="A10" s="7" t="n">
        <v>7</v>
      </c>
      <c r="B10" s="0" t="s">
        <v>26</v>
      </c>
      <c r="C10" s="8" t="n">
        <v>45300</v>
      </c>
      <c r="D10" s="6" t="n">
        <v>0</v>
      </c>
      <c r="E10" s="0" t="s">
        <v>16</v>
      </c>
      <c r="F10" s="0" t="s">
        <v>17</v>
      </c>
      <c r="G10" s="9" t="str">
        <f aca="false">IF(OR(N10="ERRO",Q10="ERRO",T10="ERRO",W10="ERRO",Z10="ERRO",AC10="ERRO",AF10="ERRO",AI10="ERRO",AL10="ERRO",AO10="ERRO",AR10="ERRO",AU10="ERRO",AX10="ERRO"),"ERRO","OK")</f>
        <v>OK</v>
      </c>
      <c r="H10" s="9" t="n">
        <f aca="false">COUNTIF(L10:AX10,"ERRO")</f>
        <v>0</v>
      </c>
      <c r="I10" s="9" t="s">
        <v>18</v>
      </c>
      <c r="J10" s="10" t="n">
        <v>1883</v>
      </c>
      <c r="K10" s="10" t="n">
        <v>1958</v>
      </c>
      <c r="L10" s="6" t="n">
        <f aca="false">(10-(LEN(M10)))+1</f>
        <v>7</v>
      </c>
      <c r="M10" s="6" t="n">
        <v>2832</v>
      </c>
      <c r="N10" s="6" t="str">
        <f aca="false">IF($J10="NA","NA",IF(AND($J10&gt;2019,M10&gt;0),"ERRO","OK"))</f>
        <v>OK</v>
      </c>
      <c r="O10" s="6" t="n">
        <f aca="false">(10-(LEN(P10)))+1</f>
        <v>7</v>
      </c>
      <c r="P10" s="6" t="n">
        <v>6346</v>
      </c>
      <c r="Q10" s="6" t="str">
        <f aca="false">IF($J10="NA","NA",IF(AND($J10&gt;2009,P10&gt;0),"ERRO","OK"))</f>
        <v>OK</v>
      </c>
      <c r="R10" s="6" t="n">
        <f aca="false">(10-(LEN(S10)))+1</f>
        <v>6</v>
      </c>
      <c r="S10" s="6" t="n">
        <v>12815</v>
      </c>
      <c r="T10" s="6" t="str">
        <f aca="false">IF($J10="NA","NA",IF(AND($J10&gt;1999,S10&gt;0),"ERRO","OK"))</f>
        <v>OK</v>
      </c>
      <c r="U10" s="6" t="n">
        <f aca="false">(10-(LEN(V10)))+1</f>
        <v>6</v>
      </c>
      <c r="V10" s="6" t="n">
        <v>12372</v>
      </c>
      <c r="W10" s="6" t="str">
        <f aca="false">IF($J10="NA","NA",IF(AND($J10&gt;1989,V10&gt;0),"ERRO","OK"))</f>
        <v>OK</v>
      </c>
      <c r="X10" s="6" t="n">
        <f aca="false">(10-(LEN(Y10)))+1</f>
        <v>6</v>
      </c>
      <c r="Y10" s="6" t="n">
        <v>13484</v>
      </c>
      <c r="Z10" s="6" t="str">
        <f aca="false">IF($J10="NA","NA",IF(AND($J10&gt;1979,Y10&gt;0),"ERRO","OK"))</f>
        <v>OK</v>
      </c>
      <c r="AA10" s="6" t="n">
        <f aca="false">(10-(LEN(AB10)))+1</f>
        <v>7</v>
      </c>
      <c r="AB10" s="6" t="n">
        <v>7618</v>
      </c>
      <c r="AC10" s="6" t="str">
        <f aca="false">IF($J10="NA","NA",IF(AND($J10&gt;1969,AB10&gt;0),"ERRO","OK"))</f>
        <v>OK</v>
      </c>
      <c r="AD10" s="6" t="n">
        <f aca="false">(10-(LEN(AE10)))+1</f>
        <v>7</v>
      </c>
      <c r="AE10" s="6" t="n">
        <v>9778</v>
      </c>
      <c r="AF10" s="6" t="str">
        <f aca="false">IF($J10="NA","NA",IF(AND($J10&gt;1959,AE10&gt;0),"ERRO","OK"))</f>
        <v>OK</v>
      </c>
      <c r="AG10" s="6" t="n">
        <f aca="false">(10-(LEN(AH10)))+1</f>
        <v>6</v>
      </c>
      <c r="AH10" s="6" t="n">
        <v>20375</v>
      </c>
      <c r="AI10" s="6" t="str">
        <f aca="false">IF($J10="NA","NA",IF(AND($J10&gt;1949,AH10&gt;0),"ERRO","OK"))</f>
        <v>OK</v>
      </c>
      <c r="AJ10" s="6" t="n">
        <f aca="false">(10-(LEN(AK10)))+1</f>
        <v>6</v>
      </c>
      <c r="AK10" s="6" t="n">
        <v>33283</v>
      </c>
      <c r="AL10" s="6" t="str">
        <f aca="false">IF($J10="NA","NA",IF(AND($J10&gt;1939,AK10&gt;0),"ERRO","OK"))</f>
        <v>OK</v>
      </c>
      <c r="AM10" s="6" t="n">
        <f aca="false">(10-(LEN(AN10)))+1</f>
        <v>6</v>
      </c>
      <c r="AN10" s="6" t="n">
        <v>36559</v>
      </c>
      <c r="AO10" s="6" t="str">
        <f aca="false">IF($J10="NA","NA",IF(AND($J10&gt;1929,AN10&gt;0),"ERRO","OK"))</f>
        <v>OK</v>
      </c>
      <c r="AP10" s="6" t="n">
        <f aca="false">(10-(LEN(AQ10)))+1</f>
        <v>7</v>
      </c>
      <c r="AQ10" s="6" t="n">
        <v>2904</v>
      </c>
      <c r="AR10" s="6" t="str">
        <f aca="false">IF($J10="NA","NA",IF(AND($J10&gt;1919,AQ10&gt;0),"ERRO","OK"))</f>
        <v>OK</v>
      </c>
      <c r="AS10" s="6" t="n">
        <f aca="false">(10-(LEN(AT10)))+1</f>
        <v>8</v>
      </c>
      <c r="AT10" s="6" t="n">
        <v>928</v>
      </c>
      <c r="AU10" s="6" t="str">
        <f aca="false">IF($J10="NA","NA",IF(AND($J10&gt;1909,AT10&gt;0),"ERRO","OK"))</f>
        <v>OK</v>
      </c>
      <c r="AV10" s="6" t="n">
        <f aca="false">(10-(LEN(AW10)))+1</f>
        <v>10</v>
      </c>
      <c r="AW10" s="6" t="n">
        <v>0</v>
      </c>
      <c r="AX10" s="6" t="str">
        <f aca="false">IF($J10="NA","NA",IF(AND($J10&gt;1899,AW10&gt;0),"ERRO","OK"))</f>
        <v>OK</v>
      </c>
    </row>
    <row r="11" customFormat="false" ht="15" hidden="false" customHeight="false" outlineLevel="0" collapsed="false">
      <c r="A11" s="7" t="n">
        <v>8</v>
      </c>
      <c r="B11" s="0" t="s">
        <v>27</v>
      </c>
      <c r="C11" s="8" t="n">
        <v>45300</v>
      </c>
      <c r="D11" s="6" t="n">
        <v>0</v>
      </c>
      <c r="E11" s="0" t="s">
        <v>16</v>
      </c>
      <c r="F11" s="0" t="s">
        <v>17</v>
      </c>
      <c r="G11" s="9" t="str">
        <f aca="false">IF(OR(N11="ERRO",Q11="ERRO",T11="ERRO",W11="ERRO",Z11="ERRO",AC11="ERRO",AF11="ERRO",AI11="ERRO",AL11="ERRO",AO11="ERRO",AR11="ERRO",AU11="ERRO",AX11="ERRO"),"ERRO","OK")</f>
        <v>OK</v>
      </c>
      <c r="H11" s="9" t="n">
        <f aca="false">COUNTIF(L11:AX11,"ERRO")</f>
        <v>0</v>
      </c>
      <c r="I11" s="9" t="s">
        <v>18</v>
      </c>
      <c r="J11" s="10" t="n">
        <v>1914</v>
      </c>
      <c r="K11" s="10" t="n">
        <v>1958</v>
      </c>
      <c r="L11" s="6" t="n">
        <f aca="false">(10-(LEN(M11)))+1</f>
        <v>10</v>
      </c>
      <c r="M11" s="6" t="n">
        <v>0</v>
      </c>
      <c r="N11" s="6" t="str">
        <f aca="false">IF($J11="NA","NA",IF(AND($J11&gt;2019,M11&gt;0),"ERRO","OK"))</f>
        <v>OK</v>
      </c>
      <c r="O11" s="6" t="n">
        <f aca="false">(10-(LEN(P11)))+1</f>
        <v>10</v>
      </c>
      <c r="P11" s="6" t="n">
        <v>0</v>
      </c>
      <c r="Q11" s="6" t="str">
        <f aca="false">IF($J11="NA","NA",IF(AND($J11&gt;2009,P11&gt;0),"ERRO","OK"))</f>
        <v>OK</v>
      </c>
      <c r="R11" s="6" t="n">
        <f aca="false">(10-(LEN(S11)))+1</f>
        <v>10</v>
      </c>
      <c r="S11" s="6" t="n">
        <v>0</v>
      </c>
      <c r="T11" s="6" t="str">
        <f aca="false">IF($J11="NA","NA",IF(AND($J11&gt;1999,S11&gt;0),"ERRO","OK"))</f>
        <v>OK</v>
      </c>
      <c r="U11" s="6" t="n">
        <f aca="false">(10-(LEN(V11)))+1</f>
        <v>10</v>
      </c>
      <c r="V11" s="6" t="n">
        <v>0</v>
      </c>
      <c r="W11" s="6" t="str">
        <f aca="false">IF($J11="NA","NA",IF(AND($J11&gt;1989,V11&gt;0),"ERRO","OK"))</f>
        <v>OK</v>
      </c>
      <c r="X11" s="6" t="n">
        <f aca="false">(10-(LEN(Y11)))+1</f>
        <v>10</v>
      </c>
      <c r="Y11" s="6" t="n">
        <v>0</v>
      </c>
      <c r="Z11" s="6" t="str">
        <f aca="false">IF($J11="NA","NA",IF(AND($J11&gt;1979,Y11&gt;0),"ERRO","OK"))</f>
        <v>OK</v>
      </c>
      <c r="AA11" s="6" t="n">
        <f aca="false">(10-(LEN(AB11)))+1</f>
        <v>10</v>
      </c>
      <c r="AB11" s="6" t="n">
        <v>0</v>
      </c>
      <c r="AC11" s="6" t="str">
        <f aca="false">IF($J11="NA","NA",IF(AND($J11&gt;1969,AB11&gt;0),"ERRO","OK"))</f>
        <v>OK</v>
      </c>
      <c r="AD11" s="6" t="n">
        <f aca="false">(10-(LEN(AE11)))+1</f>
        <v>10</v>
      </c>
      <c r="AE11" s="6" t="n">
        <v>0</v>
      </c>
      <c r="AF11" s="6" t="str">
        <f aca="false">IF($J11="NA","NA",IF(AND($J11&gt;1959,AE11&gt;0),"ERRO","OK"))</f>
        <v>OK</v>
      </c>
      <c r="AG11" s="6" t="n">
        <f aca="false">(10-(LEN(AH11)))+1</f>
        <v>10</v>
      </c>
      <c r="AH11" s="6" t="n">
        <v>0</v>
      </c>
      <c r="AI11" s="6" t="str">
        <f aca="false">IF($J11="NA","NA",IF(AND($J11&gt;1949,AH11&gt;0),"ERRO","OK"))</f>
        <v>OK</v>
      </c>
      <c r="AJ11" s="6" t="n">
        <f aca="false">(10-(LEN(AK11)))+1</f>
        <v>10</v>
      </c>
      <c r="AK11" s="6" t="n">
        <v>0</v>
      </c>
      <c r="AL11" s="6" t="str">
        <f aca="false">IF($J11="NA","NA",IF(AND($J11&gt;1939,AK11&gt;0),"ERRO","OK"))</f>
        <v>OK</v>
      </c>
      <c r="AM11" s="6" t="n">
        <f aca="false">(10-(LEN(AN11)))+1</f>
        <v>10</v>
      </c>
      <c r="AN11" s="6" t="n">
        <v>0</v>
      </c>
      <c r="AO11" s="6" t="str">
        <f aca="false">IF($J11="NA","NA",IF(AND($J11&gt;1929,AN11&gt;0),"ERRO","OK"))</f>
        <v>OK</v>
      </c>
      <c r="AP11" s="6" t="n">
        <f aca="false">(10-(LEN(AQ11)))+1</f>
        <v>10</v>
      </c>
      <c r="AQ11" s="6" t="n">
        <v>0</v>
      </c>
      <c r="AR11" s="6" t="str">
        <f aca="false">IF($J11="NA","NA",IF(AND($J11&gt;1919,AQ11&gt;0),"ERRO","OK"))</f>
        <v>OK</v>
      </c>
      <c r="AS11" s="6" t="n">
        <f aca="false">(10-(LEN(AT11)))+1</f>
        <v>10</v>
      </c>
      <c r="AT11" s="6" t="n">
        <v>0</v>
      </c>
      <c r="AU11" s="6" t="str">
        <f aca="false">IF($J11="NA","NA",IF(AND($J11&gt;1909,AT11&gt;0),"ERRO","OK"))</f>
        <v>OK</v>
      </c>
      <c r="AV11" s="6" t="n">
        <f aca="false">(10-(LEN(AW11)))+1</f>
        <v>10</v>
      </c>
      <c r="AW11" s="6" t="n">
        <v>0</v>
      </c>
      <c r="AX11" s="6" t="str">
        <f aca="false">IF($J11="NA","NA",IF(AND($J11&gt;1899,AW11&gt;0),"ERRO","OK"))</f>
        <v>OK</v>
      </c>
    </row>
    <row r="12" customFormat="false" ht="15" hidden="false" customHeight="false" outlineLevel="0" collapsed="false">
      <c r="A12" s="7" t="n">
        <v>9</v>
      </c>
      <c r="B12" s="0" t="s">
        <v>28</v>
      </c>
      <c r="C12" s="8" t="n">
        <v>45300</v>
      </c>
      <c r="D12" s="6" t="n">
        <v>0</v>
      </c>
      <c r="E12" s="0" t="s">
        <v>16</v>
      </c>
      <c r="F12" s="0" t="s">
        <v>17</v>
      </c>
      <c r="G12" s="9" t="str">
        <f aca="false">IF(OR(N12="ERRO",Q12="ERRO",T12="ERRO",W12="ERRO",Z12="ERRO",AC12="ERRO",AF12="ERRO",AI12="ERRO",AL12="ERRO",AO12="ERRO",AR12="ERRO",AU12="ERRO",AX12="ERRO"),"ERRO","OK")</f>
        <v>OK</v>
      </c>
      <c r="H12" s="9" t="n">
        <f aca="false">COUNTIF(L12:AX12,"ERRO")</f>
        <v>0</v>
      </c>
      <c r="I12" s="9" t="s">
        <v>18</v>
      </c>
      <c r="J12" s="10" t="n">
        <v>1895</v>
      </c>
      <c r="K12" s="10" t="n">
        <v>1969</v>
      </c>
      <c r="L12" s="6" t="n">
        <f aca="false">(10-(LEN(M12)))+1</f>
        <v>10</v>
      </c>
      <c r="M12" s="6" t="n">
        <v>0</v>
      </c>
      <c r="N12" s="6" t="str">
        <f aca="false">IF($J12="NA","NA",IF(AND($J12&gt;2019,M12&gt;0),"ERRO","OK"))</f>
        <v>OK</v>
      </c>
      <c r="O12" s="6" t="n">
        <f aca="false">(10-(LEN(P12)))+1</f>
        <v>8</v>
      </c>
      <c r="P12" s="6" t="n">
        <v>240</v>
      </c>
      <c r="Q12" s="6" t="str">
        <f aca="false">IF($J12="NA","NA",IF(AND($J12&gt;2009,P12&gt;0),"ERRO","OK"))</f>
        <v>OK</v>
      </c>
      <c r="R12" s="6" t="n">
        <f aca="false">(10-(LEN(S12)))+1</f>
        <v>8</v>
      </c>
      <c r="S12" s="6" t="n">
        <v>168</v>
      </c>
      <c r="T12" s="6" t="str">
        <f aca="false">IF($J12="NA","NA",IF(AND($J12&gt;1999,S12&gt;0),"ERRO","OK"))</f>
        <v>OK</v>
      </c>
      <c r="U12" s="6" t="n">
        <f aca="false">(10-(LEN(V12)))+1</f>
        <v>9</v>
      </c>
      <c r="V12" s="6" t="n">
        <v>92</v>
      </c>
      <c r="W12" s="6" t="str">
        <f aca="false">IF($J12="NA","NA",IF(AND($J12&gt;1989,V12&gt;0),"ERRO","OK"))</f>
        <v>OK</v>
      </c>
      <c r="X12" s="6" t="n">
        <f aca="false">(10-(LEN(Y12)))+1</f>
        <v>9</v>
      </c>
      <c r="Y12" s="6" t="n">
        <v>54</v>
      </c>
      <c r="Z12" s="6" t="str">
        <f aca="false">IF($J12="NA","NA",IF(AND($J12&gt;1979,Y12&gt;0),"ERRO","OK"))</f>
        <v>OK</v>
      </c>
      <c r="AA12" s="6" t="n">
        <f aca="false">(10-(LEN(AB12)))+1</f>
        <v>8</v>
      </c>
      <c r="AB12" s="6" t="n">
        <v>469</v>
      </c>
      <c r="AC12" s="6" t="str">
        <f aca="false">IF($J12="NA","NA",IF(AND($J12&gt;1969,AB12&gt;0),"ERRO","OK"))</f>
        <v>OK</v>
      </c>
      <c r="AD12" s="6" t="n">
        <f aca="false">(10-(LEN(AE12)))+1</f>
        <v>10</v>
      </c>
      <c r="AE12" s="6" t="n">
        <v>0</v>
      </c>
      <c r="AF12" s="6" t="str">
        <f aca="false">IF($J12="NA","NA",IF(AND($J12&gt;1959,AE12&gt;0),"ERRO","OK"))</f>
        <v>OK</v>
      </c>
      <c r="AG12" s="6" t="n">
        <f aca="false">(10-(LEN(AH12)))+1</f>
        <v>10</v>
      </c>
      <c r="AH12" s="6" t="n">
        <v>0</v>
      </c>
      <c r="AI12" s="6" t="str">
        <f aca="false">IF($J12="NA","NA",IF(AND($J12&gt;1949,AH12&gt;0),"ERRO","OK"))</f>
        <v>OK</v>
      </c>
      <c r="AJ12" s="6" t="n">
        <f aca="false">(10-(LEN(AK12)))+1</f>
        <v>10</v>
      </c>
      <c r="AK12" s="6" t="n">
        <v>0</v>
      </c>
      <c r="AL12" s="6" t="str">
        <f aca="false">IF($J12="NA","NA",IF(AND($J12&gt;1939,AK12&gt;0),"ERRO","OK"))</f>
        <v>OK</v>
      </c>
      <c r="AM12" s="6" t="n">
        <f aca="false">(10-(LEN(AN12)))+1</f>
        <v>10</v>
      </c>
      <c r="AN12" s="6" t="n">
        <v>0</v>
      </c>
      <c r="AO12" s="6" t="str">
        <f aca="false">IF($J12="NA","NA",IF(AND($J12&gt;1929,AN12&gt;0),"ERRO","OK"))</f>
        <v>OK</v>
      </c>
      <c r="AP12" s="6" t="n">
        <f aca="false">(10-(LEN(AQ12)))+1</f>
        <v>10</v>
      </c>
      <c r="AQ12" s="6" t="n">
        <v>0</v>
      </c>
      <c r="AR12" s="6" t="str">
        <f aca="false">IF($J12="NA","NA",IF(AND($J12&gt;1919,AQ12&gt;0),"ERRO","OK"))</f>
        <v>OK</v>
      </c>
      <c r="AS12" s="6" t="n">
        <f aca="false">(10-(LEN(AT12)))+1</f>
        <v>10</v>
      </c>
      <c r="AT12" s="6" t="n">
        <v>0</v>
      </c>
      <c r="AU12" s="6" t="str">
        <f aca="false">IF($J12="NA","NA",IF(AND($J12&gt;1909,AT12&gt;0),"ERRO","OK"))</f>
        <v>OK</v>
      </c>
      <c r="AV12" s="6" t="n">
        <f aca="false">(10-(LEN(AW12)))+1</f>
        <v>10</v>
      </c>
      <c r="AW12" s="6" t="n">
        <v>0</v>
      </c>
      <c r="AX12" s="6" t="str">
        <f aca="false">IF($J12="NA","NA",IF(AND($J12&gt;1899,AW12&gt;0),"ERRO","OK"))</f>
        <v>OK</v>
      </c>
    </row>
    <row r="13" customFormat="false" ht="15" hidden="false" customHeight="false" outlineLevel="0" collapsed="false">
      <c r="A13" s="7" t="n">
        <v>10</v>
      </c>
      <c r="B13" s="0" t="s">
        <v>29</v>
      </c>
      <c r="C13" s="8" t="n">
        <v>45300</v>
      </c>
      <c r="D13" s="6" t="n">
        <v>0</v>
      </c>
      <c r="E13" s="0" t="s">
        <v>16</v>
      </c>
      <c r="F13" s="0" t="s">
        <v>17</v>
      </c>
      <c r="G13" s="9" t="str">
        <f aca="false">IF(OR(N13="ERRO",Q13="ERRO",T13="ERRO",W13="ERRO",Z13="ERRO",AC13="ERRO",AF13="ERRO",AI13="ERRO",AL13="ERRO",AO13="ERRO",AR13="ERRO",AU13="ERRO",AX13="ERRO"),"ERRO","OK")</f>
        <v>OK</v>
      </c>
      <c r="H13" s="9" t="n">
        <f aca="false">COUNTIF(L13:AX13,"ERRO")</f>
        <v>0</v>
      </c>
      <c r="I13" s="9" t="s">
        <v>18</v>
      </c>
      <c r="J13" s="10" t="n">
        <v>1879</v>
      </c>
      <c r="K13" s="10" t="n">
        <v>1968</v>
      </c>
      <c r="L13" s="6" t="n">
        <f aca="false">(10-(LEN(M13)))+1</f>
        <v>10</v>
      </c>
      <c r="M13" s="6" t="n">
        <v>0</v>
      </c>
      <c r="N13" s="6" t="str">
        <f aca="false">IF($J13="NA","NA",IF(AND($J13&gt;2019,M13&gt;0),"ERRO","OK"))</f>
        <v>OK</v>
      </c>
      <c r="O13" s="6" t="n">
        <f aca="false">(10-(LEN(P13)))+1</f>
        <v>10</v>
      </c>
      <c r="P13" s="6" t="n">
        <v>0</v>
      </c>
      <c r="Q13" s="6" t="str">
        <f aca="false">IF($J13="NA","NA",IF(AND($J13&gt;2009,P13&gt;0),"ERRO","OK"))</f>
        <v>OK</v>
      </c>
      <c r="R13" s="6" t="n">
        <f aca="false">(10-(LEN(S13)))+1</f>
        <v>10</v>
      </c>
      <c r="S13" s="6" t="n">
        <v>0</v>
      </c>
      <c r="T13" s="6" t="str">
        <f aca="false">IF($J13="NA","NA",IF(AND($J13&gt;1999,S13&gt;0),"ERRO","OK"))</f>
        <v>OK</v>
      </c>
      <c r="U13" s="6" t="n">
        <f aca="false">(10-(LEN(V13)))+1</f>
        <v>10</v>
      </c>
      <c r="V13" s="6" t="n">
        <v>0</v>
      </c>
      <c r="W13" s="6" t="str">
        <f aca="false">IF($J13="NA","NA",IF(AND($J13&gt;1989,V13&gt;0),"ERRO","OK"))</f>
        <v>OK</v>
      </c>
      <c r="X13" s="6" t="n">
        <f aca="false">(10-(LEN(Y13)))+1</f>
        <v>10</v>
      </c>
      <c r="Y13" s="6" t="n">
        <v>0</v>
      </c>
      <c r="Z13" s="6" t="str">
        <f aca="false">IF($J13="NA","NA",IF(AND($J13&gt;1979,Y13&gt;0),"ERRO","OK"))</f>
        <v>OK</v>
      </c>
      <c r="AA13" s="6" t="n">
        <f aca="false">(10-(LEN(AB13)))+1</f>
        <v>10</v>
      </c>
      <c r="AB13" s="6" t="n">
        <v>0</v>
      </c>
      <c r="AC13" s="6" t="str">
        <f aca="false">IF($J13="NA","NA",IF(AND($J13&gt;1969,AB13&gt;0),"ERRO","OK"))</f>
        <v>OK</v>
      </c>
      <c r="AD13" s="6" t="n">
        <f aca="false">(10-(LEN(AE13)))+1</f>
        <v>10</v>
      </c>
      <c r="AE13" s="6" t="n">
        <v>0</v>
      </c>
      <c r="AF13" s="6" t="str">
        <f aca="false">IF($J13="NA","NA",IF(AND($J13&gt;1959,AE13&gt;0),"ERRO","OK"))</f>
        <v>OK</v>
      </c>
      <c r="AG13" s="6" t="n">
        <f aca="false">(10-(LEN(AH13)))+1</f>
        <v>10</v>
      </c>
      <c r="AH13" s="6" t="n">
        <v>0</v>
      </c>
      <c r="AI13" s="6" t="str">
        <f aca="false">IF($J13="NA","NA",IF(AND($J13&gt;1949,AH13&gt;0),"ERRO","OK"))</f>
        <v>OK</v>
      </c>
      <c r="AJ13" s="6" t="n">
        <f aca="false">(10-(LEN(AK13)))+1</f>
        <v>10</v>
      </c>
      <c r="AK13" s="6" t="n">
        <v>0</v>
      </c>
      <c r="AL13" s="6" t="str">
        <f aca="false">IF($J13="NA","NA",IF(AND($J13&gt;1939,AK13&gt;0),"ERRO","OK"))</f>
        <v>OK</v>
      </c>
      <c r="AM13" s="6" t="n">
        <f aca="false">(10-(LEN(AN13)))+1</f>
        <v>10</v>
      </c>
      <c r="AN13" s="6" t="n">
        <v>0</v>
      </c>
      <c r="AO13" s="6" t="str">
        <f aca="false">IF($J13="NA","NA",IF(AND($J13&gt;1929,AN13&gt;0),"ERRO","OK"))</f>
        <v>OK</v>
      </c>
      <c r="AP13" s="6" t="n">
        <f aca="false">(10-(LEN(AQ13)))+1</f>
        <v>10</v>
      </c>
      <c r="AQ13" s="6" t="n">
        <v>0</v>
      </c>
      <c r="AR13" s="6" t="str">
        <f aca="false">IF($J13="NA","NA",IF(AND($J13&gt;1919,AQ13&gt;0),"ERRO","OK"))</f>
        <v>OK</v>
      </c>
      <c r="AS13" s="6" t="n">
        <f aca="false">(10-(LEN(AT13)))+1</f>
        <v>10</v>
      </c>
      <c r="AT13" s="6" t="n">
        <v>0</v>
      </c>
      <c r="AU13" s="6" t="str">
        <f aca="false">IF($J13="NA","NA",IF(AND($J13&gt;1909,AT13&gt;0),"ERRO","OK"))</f>
        <v>OK</v>
      </c>
      <c r="AV13" s="6" t="n">
        <f aca="false">(10-(LEN(AW13)))+1</f>
        <v>10</v>
      </c>
      <c r="AW13" s="6" t="n">
        <v>0</v>
      </c>
      <c r="AX13" s="6" t="str">
        <f aca="false">IF($J13="NA","NA",IF(AND($J13&gt;1899,AW13&gt;0),"ERRO","OK"))</f>
        <v>OK</v>
      </c>
    </row>
    <row r="14" customFormat="false" ht="15" hidden="false" customHeight="false" outlineLevel="0" collapsed="false">
      <c r="A14" s="7" t="n">
        <v>11</v>
      </c>
      <c r="B14" s="0" t="s">
        <v>30</v>
      </c>
      <c r="C14" s="8" t="n">
        <v>45300</v>
      </c>
      <c r="D14" s="6" t="n">
        <v>0</v>
      </c>
      <c r="E14" s="0" t="s">
        <v>16</v>
      </c>
      <c r="F14" s="0" t="s">
        <v>17</v>
      </c>
      <c r="G14" s="9" t="str">
        <f aca="false">IF(OR(N14="ERRO",Q14="ERRO",T14="ERRO",W14="ERRO",Z14="ERRO",AC14="ERRO",AF14="ERRO",AI14="ERRO",AL14="ERRO",AO14="ERRO",AR14="ERRO",AU14="ERRO",AX14="ERRO"),"ERRO","OK")</f>
        <v>OK</v>
      </c>
      <c r="H14" s="9" t="n">
        <f aca="false">COUNTIF(L14:AX14,"ERRO")</f>
        <v>0</v>
      </c>
      <c r="I14" s="9" t="s">
        <v>18</v>
      </c>
      <c r="J14" s="10" t="n">
        <v>1876</v>
      </c>
      <c r="K14" s="10" t="n">
        <v>1957</v>
      </c>
      <c r="L14" s="6" t="n">
        <f aca="false">(10-(LEN(M14)))+1</f>
        <v>6</v>
      </c>
      <c r="M14" s="6" t="n">
        <v>10827</v>
      </c>
      <c r="N14" s="6" t="str">
        <f aca="false">IF($J14="NA","NA",IF(AND($J14&gt;2019,M14&gt;0),"ERRO","OK"))</f>
        <v>OK</v>
      </c>
      <c r="O14" s="6" t="n">
        <f aca="false">(10-(LEN(P14)))+1</f>
        <v>6</v>
      </c>
      <c r="P14" s="6" t="n">
        <v>18696</v>
      </c>
      <c r="Q14" s="6" t="str">
        <f aca="false">IF($J14="NA","NA",IF(AND($J14&gt;2009,P14&gt;0),"ERRO","OK"))</f>
        <v>OK</v>
      </c>
      <c r="R14" s="6" t="n">
        <f aca="false">(10-(LEN(S14)))+1</f>
        <v>6</v>
      </c>
      <c r="S14" s="6" t="n">
        <v>37688</v>
      </c>
      <c r="T14" s="6" t="str">
        <f aca="false">IF($J14="NA","NA",IF(AND($J14&gt;1999,S14&gt;0),"ERRO","OK"))</f>
        <v>OK</v>
      </c>
      <c r="U14" s="6" t="n">
        <f aca="false">(10-(LEN(V14)))+1</f>
        <v>6</v>
      </c>
      <c r="V14" s="6" t="n">
        <v>27963</v>
      </c>
      <c r="W14" s="6" t="str">
        <f aca="false">IF($J14="NA","NA",IF(AND($J14&gt;1989,V14&gt;0),"ERRO","OK"))</f>
        <v>OK</v>
      </c>
      <c r="X14" s="6" t="n">
        <f aca="false">(10-(LEN(Y14)))+1</f>
        <v>6</v>
      </c>
      <c r="Y14" s="6" t="n">
        <v>18942</v>
      </c>
      <c r="Z14" s="6" t="str">
        <f aca="false">IF($J14="NA","NA",IF(AND($J14&gt;1979,Y14&gt;0),"ERRO","OK"))</f>
        <v>OK</v>
      </c>
      <c r="AA14" s="6" t="n">
        <f aca="false">(10-(LEN(AB14)))+1</f>
        <v>6</v>
      </c>
      <c r="AB14" s="6" t="n">
        <v>27834</v>
      </c>
      <c r="AC14" s="6" t="str">
        <f aca="false">IF($J14="NA","NA",IF(AND($J14&gt;1969,AB14&gt;0),"ERRO","OK"))</f>
        <v>OK</v>
      </c>
      <c r="AD14" s="6" t="n">
        <f aca="false">(10-(LEN(AE14)))+1</f>
        <v>6</v>
      </c>
      <c r="AE14" s="6" t="n">
        <v>18389</v>
      </c>
      <c r="AF14" s="6" t="str">
        <f aca="false">IF($J14="NA","NA",IF(AND($J14&gt;1959,AE14&gt;0),"ERRO","OK"))</f>
        <v>OK</v>
      </c>
      <c r="AG14" s="6" t="n">
        <f aca="false">(10-(LEN(AH14)))+1</f>
        <v>7</v>
      </c>
      <c r="AH14" s="6" t="n">
        <v>5837</v>
      </c>
      <c r="AI14" s="6" t="str">
        <f aca="false">IF($J14="NA","NA",IF(AND($J14&gt;1949,AH14&gt;0),"ERRO","OK"))</f>
        <v>OK</v>
      </c>
      <c r="AJ14" s="6" t="n">
        <f aca="false">(10-(LEN(AK14)))+1</f>
        <v>7</v>
      </c>
      <c r="AK14" s="6" t="n">
        <v>7938</v>
      </c>
      <c r="AL14" s="6" t="str">
        <f aca="false">IF($J14="NA","NA",IF(AND($J14&gt;1939,AK14&gt;0),"ERRO","OK"))</f>
        <v>OK</v>
      </c>
      <c r="AM14" s="6" t="n">
        <f aca="false">(10-(LEN(AN14)))+1</f>
        <v>7</v>
      </c>
      <c r="AN14" s="6" t="n">
        <v>1676</v>
      </c>
      <c r="AO14" s="6" t="str">
        <f aca="false">IF($J14="NA","NA",IF(AND($J14&gt;1929,AN14&gt;0),"ERRO","OK"))</f>
        <v>OK</v>
      </c>
      <c r="AP14" s="6" t="n">
        <f aca="false">(10-(LEN(AQ14)))+1</f>
        <v>8</v>
      </c>
      <c r="AQ14" s="6" t="n">
        <v>401</v>
      </c>
      <c r="AR14" s="6" t="str">
        <f aca="false">IF($J14="NA","NA",IF(AND($J14&gt;1919,AQ14&gt;0),"ERRO","OK"))</f>
        <v>OK</v>
      </c>
      <c r="AS14" s="6" t="n">
        <f aca="false">(10-(LEN(AT14)))+1</f>
        <v>10</v>
      </c>
      <c r="AT14" s="6" t="n">
        <v>0</v>
      </c>
      <c r="AU14" s="6" t="str">
        <f aca="false">IF($J14="NA","NA",IF(AND($J14&gt;1909,AT14&gt;0),"ERRO","OK"))</f>
        <v>OK</v>
      </c>
      <c r="AV14" s="6" t="n">
        <f aca="false">(10-(LEN(AW14)))+1</f>
        <v>10</v>
      </c>
      <c r="AW14" s="6" t="n">
        <v>0</v>
      </c>
      <c r="AX14" s="6" t="str">
        <f aca="false">IF($J14="NA","NA",IF(AND($J14&gt;1899,AW14&gt;0),"ERRO","OK"))</f>
        <v>OK</v>
      </c>
    </row>
    <row r="15" customFormat="false" ht="15" hidden="false" customHeight="false" outlineLevel="0" collapsed="false">
      <c r="A15" s="7" t="n">
        <v>12</v>
      </c>
      <c r="B15" s="0" t="s">
        <v>31</v>
      </c>
      <c r="C15" s="8" t="n">
        <v>45301</v>
      </c>
      <c r="D15" s="6" t="n">
        <v>0</v>
      </c>
      <c r="E15" s="0" t="s">
        <v>16</v>
      </c>
      <c r="F15" s="0" t="s">
        <v>17</v>
      </c>
      <c r="G15" s="9" t="str">
        <f aca="false">IF(OR(N15="ERRO",Q15="ERRO",T15="ERRO",W15="ERRO",Z15="ERRO",AC15="ERRO",AF15="ERRO",AI15="ERRO",AL15="ERRO",AO15="ERRO",AR15="ERRO",AU15="ERRO",AX15="ERRO"),"ERRO","OK")</f>
        <v>OK</v>
      </c>
      <c r="H15" s="9" t="n">
        <f aca="false">COUNTIF(L15:AX15,"ERRO")</f>
        <v>0</v>
      </c>
      <c r="I15" s="9" t="s">
        <v>18</v>
      </c>
      <c r="J15" s="10" t="n">
        <v>1885</v>
      </c>
      <c r="K15" s="10" t="n">
        <v>1941</v>
      </c>
      <c r="L15" s="6" t="n">
        <f aca="false">(10-(LEN(M15)))+1</f>
        <v>6</v>
      </c>
      <c r="M15" s="6" t="n">
        <v>17865</v>
      </c>
      <c r="N15" s="6" t="str">
        <f aca="false">IF($J15="NA","NA",IF(AND($J15&gt;2019,M15&gt;0),"ERRO","OK"))</f>
        <v>OK</v>
      </c>
      <c r="O15" s="6" t="n">
        <f aca="false">(10-(LEN(P15)))+1</f>
        <v>6</v>
      </c>
      <c r="P15" s="6" t="n">
        <v>15505</v>
      </c>
      <c r="Q15" s="6" t="str">
        <f aca="false">IF($J15="NA","NA",IF(AND($J15&gt;2009,P15&gt;0),"ERRO","OK"))</f>
        <v>OK</v>
      </c>
      <c r="R15" s="6" t="n">
        <f aca="false">(10-(LEN(S15)))+1</f>
        <v>6</v>
      </c>
      <c r="S15" s="6" t="n">
        <v>22562</v>
      </c>
      <c r="T15" s="6" t="str">
        <f aca="false">IF($J15="NA","NA",IF(AND($J15&gt;1999,S15&gt;0),"ERRO","OK"))</f>
        <v>OK</v>
      </c>
      <c r="U15" s="6" t="n">
        <f aca="false">(10-(LEN(V15)))+1</f>
        <v>6</v>
      </c>
      <c r="V15" s="6" t="n">
        <v>22674</v>
      </c>
      <c r="W15" s="6" t="str">
        <f aca="false">IF($J15="NA","NA",IF(AND($J15&gt;1989,V15&gt;0),"ERRO","OK"))</f>
        <v>OK</v>
      </c>
      <c r="X15" s="6" t="n">
        <f aca="false">(10-(LEN(Y15)))+1</f>
        <v>6</v>
      </c>
      <c r="Y15" s="6" t="n">
        <v>43128</v>
      </c>
      <c r="Z15" s="6" t="str">
        <f aca="false">IF($J15="NA","NA",IF(AND($J15&gt;1979,Y15&gt;0),"ERRO","OK"))</f>
        <v>OK</v>
      </c>
      <c r="AA15" s="6" t="n">
        <f aca="false">(10-(LEN(AB15)))+1</f>
        <v>6</v>
      </c>
      <c r="AB15" s="6" t="n">
        <v>19923</v>
      </c>
      <c r="AC15" s="6" t="str">
        <f aca="false">IF($J15="NA","NA",IF(AND($J15&gt;1969,AB15&gt;0),"ERRO","OK"))</f>
        <v>OK</v>
      </c>
      <c r="AD15" s="6" t="n">
        <f aca="false">(10-(LEN(AE15)))+1</f>
        <v>7</v>
      </c>
      <c r="AE15" s="6" t="n">
        <v>8253</v>
      </c>
      <c r="AF15" s="6" t="str">
        <f aca="false">IF($J15="NA","NA",IF(AND($J15&gt;1959,AE15&gt;0),"ERRO","OK"))</f>
        <v>OK</v>
      </c>
      <c r="AG15" s="6" t="n">
        <f aca="false">(10-(LEN(AH15)))+1</f>
        <v>7</v>
      </c>
      <c r="AH15" s="6" t="n">
        <v>6608</v>
      </c>
      <c r="AI15" s="6" t="str">
        <f aca="false">IF($J15="NA","NA",IF(AND($J15&gt;1949,AH15&gt;0),"ERRO","OK"))</f>
        <v>OK</v>
      </c>
      <c r="AJ15" s="6" t="n">
        <f aca="false">(10-(LEN(AK15)))+1</f>
        <v>7</v>
      </c>
      <c r="AK15" s="6" t="n">
        <v>1810</v>
      </c>
      <c r="AL15" s="6" t="str">
        <f aca="false">IF($J15="NA","NA",IF(AND($J15&gt;1939,AK15&gt;0),"ERRO","OK"))</f>
        <v>OK</v>
      </c>
      <c r="AM15" s="6" t="n">
        <f aca="false">(10-(LEN(AN15)))+1</f>
        <v>8</v>
      </c>
      <c r="AN15" s="6" t="n">
        <v>609</v>
      </c>
      <c r="AO15" s="6" t="str">
        <f aca="false">IF($J15="NA","NA",IF(AND($J15&gt;1929,AN15&gt;0),"ERRO","OK"))</f>
        <v>OK</v>
      </c>
      <c r="AP15" s="6" t="n">
        <f aca="false">(10-(LEN(AQ15)))+1</f>
        <v>7</v>
      </c>
      <c r="AQ15" s="6" t="n">
        <v>2904</v>
      </c>
      <c r="AR15" s="6" t="str">
        <f aca="false">IF($J15="NA","NA",IF(AND($J15&gt;1919,AQ15&gt;0),"ERRO","OK"))</f>
        <v>OK</v>
      </c>
      <c r="AS15" s="6" t="n">
        <f aca="false">(10-(LEN(AT15)))+1</f>
        <v>10</v>
      </c>
      <c r="AT15" s="6" t="n">
        <v>0</v>
      </c>
      <c r="AU15" s="6" t="str">
        <f aca="false">IF($J15="NA","NA",IF(AND($J15&gt;1909,AT15&gt;0),"ERRO","OK"))</f>
        <v>OK</v>
      </c>
      <c r="AV15" s="6" t="n">
        <f aca="false">(10-(LEN(AW15)))+1</f>
        <v>10</v>
      </c>
      <c r="AW15" s="6" t="n">
        <v>0</v>
      </c>
      <c r="AX15" s="6" t="str">
        <f aca="false">IF($J15="NA","NA",IF(AND($J15&gt;1899,AW15&gt;0),"ERRO","OK"))</f>
        <v>OK</v>
      </c>
    </row>
    <row r="16" customFormat="false" ht="15" hidden="false" customHeight="false" outlineLevel="0" collapsed="false">
      <c r="A16" s="7" t="n">
        <v>13</v>
      </c>
      <c r="B16" s="0" t="s">
        <v>32</v>
      </c>
      <c r="C16" s="8" t="n">
        <v>45301</v>
      </c>
      <c r="D16" s="6" t="n">
        <v>0</v>
      </c>
      <c r="E16" s="0" t="s">
        <v>16</v>
      </c>
      <c r="F16" s="0" t="s">
        <v>17</v>
      </c>
      <c r="G16" s="9" t="str">
        <f aca="false">IF(OR(N16="ERRO",Q16="ERRO",T16="ERRO",W16="ERRO",Z16="ERRO",AC16="ERRO",AF16="ERRO",AI16="ERRO",AL16="ERRO",AO16="ERRO",AR16="ERRO",AU16="ERRO",AX16="ERRO"),"ERRO","OK")</f>
        <v>OK</v>
      </c>
      <c r="H16" s="9" t="n">
        <f aca="false">COUNTIF(L16:AX16,"ERRO")</f>
        <v>0</v>
      </c>
      <c r="I16" s="9" t="s">
        <v>18</v>
      </c>
      <c r="J16" s="10" t="n">
        <v>1864</v>
      </c>
      <c r="K16" s="10" t="n">
        <v>1953</v>
      </c>
      <c r="L16" s="6" t="n">
        <f aca="false">(10-(LEN(M16)))+1</f>
        <v>10</v>
      </c>
      <c r="M16" s="6" t="n">
        <v>0</v>
      </c>
      <c r="N16" s="6" t="str">
        <f aca="false">IF($J16="NA","NA",IF(AND($J16&gt;2019,M16&gt;0),"ERRO","OK"))</f>
        <v>OK</v>
      </c>
      <c r="O16" s="6" t="n">
        <f aca="false">(10-(LEN(P16)))+1</f>
        <v>9</v>
      </c>
      <c r="P16" s="6" t="n">
        <v>36</v>
      </c>
      <c r="Q16" s="6" t="str">
        <f aca="false">IF($J16="NA","NA",IF(AND($J16&gt;2009,P16&gt;0),"ERRO","OK"))</f>
        <v>OK</v>
      </c>
      <c r="R16" s="6" t="n">
        <f aca="false">(10-(LEN(S16)))+1</f>
        <v>8</v>
      </c>
      <c r="S16" s="6" t="n">
        <v>265</v>
      </c>
      <c r="T16" s="6" t="str">
        <f aca="false">IF($J16="NA","NA",IF(AND($J16&gt;1999,S16&gt;0),"ERRO","OK"))</f>
        <v>OK</v>
      </c>
      <c r="U16" s="6" t="n">
        <f aca="false">(10-(LEN(V16)))+1</f>
        <v>9</v>
      </c>
      <c r="V16" s="6" t="n">
        <v>48</v>
      </c>
      <c r="W16" s="6" t="str">
        <f aca="false">IF($J16="NA","NA",IF(AND($J16&gt;1989,V16&gt;0),"ERRO","OK"))</f>
        <v>OK</v>
      </c>
      <c r="X16" s="6" t="n">
        <f aca="false">(10-(LEN(Y16)))+1</f>
        <v>8</v>
      </c>
      <c r="Y16" s="6" t="n">
        <v>338</v>
      </c>
      <c r="Z16" s="6" t="str">
        <f aca="false">IF($J16="NA","NA",IF(AND($J16&gt;1979,Y16&gt;0),"ERRO","OK"))</f>
        <v>OK</v>
      </c>
      <c r="AA16" s="6" t="n">
        <f aca="false">(10-(LEN(AB16)))+1</f>
        <v>9</v>
      </c>
      <c r="AB16" s="6" t="n">
        <v>62</v>
      </c>
      <c r="AC16" s="6" t="str">
        <f aca="false">IF($J16="NA","NA",IF(AND($J16&gt;1969,AB16&gt;0),"ERRO","OK"))</f>
        <v>OK</v>
      </c>
      <c r="AD16" s="6" t="n">
        <f aca="false">(10-(LEN(AE16)))+1</f>
        <v>8</v>
      </c>
      <c r="AE16" s="6" t="n">
        <v>283</v>
      </c>
      <c r="AF16" s="6" t="str">
        <f aca="false">IF($J16="NA","NA",IF(AND($J16&gt;1959,AE16&gt;0),"ERRO","OK"))</f>
        <v>OK</v>
      </c>
      <c r="AG16" s="6" t="n">
        <f aca="false">(10-(LEN(AH16)))+1</f>
        <v>8</v>
      </c>
      <c r="AH16" s="6" t="n">
        <v>463</v>
      </c>
      <c r="AI16" s="6" t="str">
        <f aca="false">IF($J16="NA","NA",IF(AND($J16&gt;1949,AH16&gt;0),"ERRO","OK"))</f>
        <v>OK</v>
      </c>
      <c r="AJ16" s="6" t="n">
        <f aca="false">(10-(LEN(AK16)))+1</f>
        <v>7</v>
      </c>
      <c r="AK16" s="6" t="n">
        <v>1612</v>
      </c>
      <c r="AL16" s="6" t="str">
        <f aca="false">IF($J16="NA","NA",IF(AND($J16&gt;1939,AK16&gt;0),"ERRO","OK"))</f>
        <v>OK</v>
      </c>
      <c r="AM16" s="6" t="n">
        <f aca="false">(10-(LEN(AN16)))+1</f>
        <v>10</v>
      </c>
      <c r="AN16" s="6" t="n">
        <v>0</v>
      </c>
      <c r="AO16" s="6" t="str">
        <f aca="false">IF($J16="NA","NA",IF(AND($J16&gt;1929,AN16&gt;0),"ERRO","OK"))</f>
        <v>OK</v>
      </c>
      <c r="AP16" s="6" t="n">
        <f aca="false">(10-(LEN(AQ16)))+1</f>
        <v>7</v>
      </c>
      <c r="AQ16" s="6" t="n">
        <v>1264</v>
      </c>
      <c r="AR16" s="6" t="str">
        <f aca="false">IF($J16="NA","NA",IF(AND($J16&gt;1919,AQ16&gt;0),"ERRO","OK"))</f>
        <v>OK</v>
      </c>
      <c r="AS16" s="6" t="n">
        <f aca="false">(10-(LEN(AT16)))+1</f>
        <v>8</v>
      </c>
      <c r="AT16" s="6" t="n">
        <v>760</v>
      </c>
      <c r="AU16" s="6" t="str">
        <f aca="false">IF($J16="NA","NA",IF(AND($J16&gt;1909,AT16&gt;0),"ERRO","OK"))</f>
        <v>OK</v>
      </c>
      <c r="AV16" s="6" t="n">
        <f aca="false">(10-(LEN(AW16)))+1</f>
        <v>8</v>
      </c>
      <c r="AW16" s="6" t="n">
        <v>136</v>
      </c>
      <c r="AX16" s="6" t="str">
        <f aca="false">IF($J16="NA","NA",IF(AND($J16&gt;1899,AW16&gt;0),"ERRO","OK"))</f>
        <v>OK</v>
      </c>
    </row>
    <row r="17" customFormat="false" ht="15" hidden="false" customHeight="false" outlineLevel="0" collapsed="false">
      <c r="A17" s="7" t="n">
        <v>14</v>
      </c>
      <c r="B17" s="0" t="s">
        <v>33</v>
      </c>
      <c r="C17" s="8" t="n">
        <v>45301</v>
      </c>
      <c r="D17" s="6" t="n">
        <v>0</v>
      </c>
      <c r="E17" s="0" t="s">
        <v>16</v>
      </c>
      <c r="F17" s="0" t="s">
        <v>17</v>
      </c>
      <c r="G17" s="9" t="str">
        <f aca="false">IF(OR(N17="ERRO",Q17="ERRO",T17="ERRO",W17="ERRO",Z17="ERRO",AC17="ERRO",AF17="ERRO",AI17="ERRO",AL17="ERRO",AO17="ERRO",AR17="ERRO",AU17="ERRO",AX17="ERRO"),"ERRO","OK")</f>
        <v>OK</v>
      </c>
      <c r="H17" s="9" t="n">
        <f aca="false">COUNTIF(L17:AX17,"ERRO")</f>
        <v>0</v>
      </c>
      <c r="I17" s="9" t="s">
        <v>18</v>
      </c>
      <c r="J17" s="10" t="n">
        <v>1879</v>
      </c>
      <c r="K17" s="10" t="n">
        <v>1953</v>
      </c>
      <c r="L17" s="6" t="n">
        <f aca="false">(10-(LEN(M17)))+1</f>
        <v>6</v>
      </c>
      <c r="M17" s="6" t="n">
        <v>23404</v>
      </c>
      <c r="N17" s="6" t="str">
        <f aca="false">IF($J17="NA","NA",IF(AND($J17&gt;2019,M17&gt;0),"ERRO","OK"))</f>
        <v>OK</v>
      </c>
      <c r="O17" s="6" t="n">
        <f aca="false">(10-(LEN(P17)))+1</f>
        <v>6</v>
      </c>
      <c r="P17" s="6" t="n">
        <v>33755</v>
      </c>
      <c r="Q17" s="6" t="str">
        <f aca="false">IF($J17="NA","NA",IF(AND($J17&gt;2009,P17&gt;0),"ERRO","OK"))</f>
        <v>OK</v>
      </c>
      <c r="R17" s="6" t="n">
        <f aca="false">(10-(LEN(S17)))+1</f>
        <v>6</v>
      </c>
      <c r="S17" s="6" t="n">
        <v>23529</v>
      </c>
      <c r="T17" s="6" t="str">
        <f aca="false">IF($J17="NA","NA",IF(AND($J17&gt;1999,S17&gt;0),"ERRO","OK"))</f>
        <v>OK</v>
      </c>
      <c r="U17" s="6" t="n">
        <f aca="false">(10-(LEN(V17)))+1</f>
        <v>6</v>
      </c>
      <c r="V17" s="6" t="n">
        <v>31413</v>
      </c>
      <c r="W17" s="6" t="str">
        <f aca="false">IF($J17="NA","NA",IF(AND($J17&gt;1989,V17&gt;0),"ERRO","OK"))</f>
        <v>OK</v>
      </c>
      <c r="X17" s="6" t="n">
        <f aca="false">(10-(LEN(Y17)))+1</f>
        <v>6</v>
      </c>
      <c r="Y17" s="6" t="n">
        <v>23277</v>
      </c>
      <c r="Z17" s="6" t="str">
        <f aca="false">IF($J17="NA","NA",IF(AND($J17&gt;1979,Y17&gt;0),"ERRO","OK"))</f>
        <v>OK</v>
      </c>
      <c r="AA17" s="6" t="n">
        <f aca="false">(10-(LEN(AB17)))+1</f>
        <v>6</v>
      </c>
      <c r="AB17" s="6" t="n">
        <v>15411</v>
      </c>
      <c r="AC17" s="6" t="str">
        <f aca="false">IF($J17="NA","NA",IF(AND($J17&gt;1969,AB17&gt;0),"ERRO","OK"))</f>
        <v>OK</v>
      </c>
      <c r="AD17" s="6" t="n">
        <f aca="false">(10-(LEN(AE17)))+1</f>
        <v>7</v>
      </c>
      <c r="AE17" s="6" t="n">
        <v>7356</v>
      </c>
      <c r="AF17" s="6" t="str">
        <f aca="false">IF($J17="NA","NA",IF(AND($J17&gt;1959,AE17&gt;0),"ERRO","OK"))</f>
        <v>OK</v>
      </c>
      <c r="AG17" s="6" t="n">
        <f aca="false">(10-(LEN(AH17)))+1</f>
        <v>7</v>
      </c>
      <c r="AH17" s="6" t="n">
        <v>4075</v>
      </c>
      <c r="AI17" s="6" t="str">
        <f aca="false">IF($J17="NA","NA",IF(AND($J17&gt;1949,AH17&gt;0),"ERRO","OK"))</f>
        <v>OK</v>
      </c>
      <c r="AJ17" s="6" t="n">
        <f aca="false">(10-(LEN(AK17)))+1</f>
        <v>7</v>
      </c>
      <c r="AK17" s="6" t="n">
        <v>5849</v>
      </c>
      <c r="AL17" s="6" t="str">
        <f aca="false">IF($J17="NA","NA",IF(AND($J17&gt;1939,AK17&gt;0),"ERRO","OK"))</f>
        <v>OK</v>
      </c>
      <c r="AM17" s="6" t="n">
        <f aca="false">(10-(LEN(AN17)))+1</f>
        <v>7</v>
      </c>
      <c r="AN17" s="6" t="n">
        <v>2742</v>
      </c>
      <c r="AO17" s="6" t="str">
        <f aca="false">IF($J17="NA","NA",IF(AND($J17&gt;1929,AN17&gt;0),"ERRO","OK"))</f>
        <v>OK</v>
      </c>
      <c r="AP17" s="6" t="n">
        <f aca="false">(10-(LEN(AQ17)))+1</f>
        <v>8</v>
      </c>
      <c r="AQ17" s="6" t="n">
        <v>901</v>
      </c>
      <c r="AR17" s="6" t="str">
        <f aca="false">IF($J17="NA","NA",IF(AND($J17&gt;1919,AQ17&gt;0),"ERRO","OK"))</f>
        <v>OK</v>
      </c>
      <c r="AS17" s="6" t="n">
        <f aca="false">(10-(LEN(AT17)))+1</f>
        <v>10</v>
      </c>
      <c r="AT17" s="6" t="n">
        <v>0</v>
      </c>
      <c r="AU17" s="6" t="str">
        <f aca="false">IF($J17="NA","NA",IF(AND($J17&gt;1909,AT17&gt;0),"ERRO","OK"))</f>
        <v>OK</v>
      </c>
      <c r="AV17" s="6" t="n">
        <f aca="false">(10-(LEN(AW17)))+1</f>
        <v>10</v>
      </c>
      <c r="AW17" s="6" t="n">
        <v>0</v>
      </c>
      <c r="AX17" s="6" t="str">
        <f aca="false">IF($J17="NA","NA",IF(AND($J17&gt;1899,AW17&gt;0),"ERRO","OK"))</f>
        <v>OK</v>
      </c>
    </row>
    <row r="18" customFormat="false" ht="15" hidden="false" customHeight="false" outlineLevel="0" collapsed="false">
      <c r="A18" s="7" t="n">
        <v>15</v>
      </c>
      <c r="B18" s="0" t="s">
        <v>34</v>
      </c>
      <c r="C18" s="8" t="n">
        <v>45301</v>
      </c>
      <c r="D18" s="6" t="n">
        <v>0</v>
      </c>
      <c r="E18" s="0" t="s">
        <v>16</v>
      </c>
      <c r="F18" s="0" t="s">
        <v>17</v>
      </c>
      <c r="G18" s="9" t="str">
        <f aca="false">IF(OR(N18="ERRO",Q18="ERRO",T18="ERRO",W18="ERRO",Z18="ERRO",AC18="ERRO",AF18="ERRO",AI18="ERRO",AL18="ERRO",AO18="ERRO",AR18="ERRO",AU18="ERRO",AX18="ERRO"),"ERRO","OK")</f>
        <v>OK</v>
      </c>
      <c r="H18" s="9" t="n">
        <f aca="false">COUNTIF(L18:AX18,"ERRO")</f>
        <v>0</v>
      </c>
      <c r="I18" s="9" t="s">
        <v>18</v>
      </c>
      <c r="J18" s="10" t="n">
        <v>1884</v>
      </c>
      <c r="K18" s="10" t="n">
        <v>1974</v>
      </c>
      <c r="L18" s="6" t="n">
        <f aca="false">(10-(LEN(M18)))+1</f>
        <v>7</v>
      </c>
      <c r="M18" s="6" t="n">
        <v>1340</v>
      </c>
      <c r="N18" s="6" t="str">
        <f aca="false">IF($J18="NA","NA",IF(AND($J18&gt;2019,M18&gt;0),"ERRO","OK"))</f>
        <v>OK</v>
      </c>
      <c r="O18" s="6" t="n">
        <f aca="false">(10-(LEN(P18)))+1</f>
        <v>7</v>
      </c>
      <c r="P18" s="6" t="n">
        <v>3224</v>
      </c>
      <c r="Q18" s="6" t="str">
        <f aca="false">IF($J18="NA","NA",IF(AND($J18&gt;2009,P18&gt;0),"ERRO","OK"))</f>
        <v>OK</v>
      </c>
      <c r="R18" s="6" t="n">
        <f aca="false">(10-(LEN(S18)))+1</f>
        <v>7</v>
      </c>
      <c r="S18" s="6" t="n">
        <v>1347</v>
      </c>
      <c r="T18" s="6" t="str">
        <f aca="false">IF($J18="NA","NA",IF(AND($J18&gt;1999,S18&gt;0),"ERRO","OK"))</f>
        <v>OK</v>
      </c>
      <c r="U18" s="6" t="n">
        <f aca="false">(10-(LEN(V18)))+1</f>
        <v>7</v>
      </c>
      <c r="V18" s="6" t="n">
        <v>2243</v>
      </c>
      <c r="W18" s="6" t="str">
        <f aca="false">IF($J18="NA","NA",IF(AND($J18&gt;1989,V18&gt;0),"ERRO","OK"))</f>
        <v>OK</v>
      </c>
      <c r="X18" s="6" t="n">
        <f aca="false">(10-(LEN(Y18)))+1</f>
        <v>7</v>
      </c>
      <c r="Y18" s="6" t="n">
        <v>1838</v>
      </c>
      <c r="Z18" s="6" t="str">
        <f aca="false">IF($J18="NA","NA",IF(AND($J18&gt;1979,Y18&gt;0),"ERRO","OK"))</f>
        <v>OK</v>
      </c>
      <c r="AA18" s="6" t="n">
        <f aca="false">(10-(LEN(AB18)))+1</f>
        <v>7</v>
      </c>
      <c r="AB18" s="6" t="n">
        <v>2787</v>
      </c>
      <c r="AC18" s="6" t="str">
        <f aca="false">IF($J18="NA","NA",IF(AND($J18&gt;1969,AB18&gt;0),"ERRO","OK"))</f>
        <v>OK</v>
      </c>
      <c r="AD18" s="6" t="n">
        <f aca="false">(10-(LEN(AE18)))+1</f>
        <v>8</v>
      </c>
      <c r="AE18" s="6" t="n">
        <v>596</v>
      </c>
      <c r="AF18" s="6" t="str">
        <f aca="false">IF($J18="NA","NA",IF(AND($J18&gt;1959,AE18&gt;0),"ERRO","OK"))</f>
        <v>OK</v>
      </c>
      <c r="AG18" s="6" t="n">
        <f aca="false">(10-(LEN(AH18)))+1</f>
        <v>8</v>
      </c>
      <c r="AH18" s="6" t="n">
        <v>855</v>
      </c>
      <c r="AI18" s="6" t="str">
        <f aca="false">IF($J18="NA","NA",IF(AND($J18&gt;1949,AH18&gt;0),"ERRO","OK"))</f>
        <v>OK</v>
      </c>
      <c r="AJ18" s="6" t="n">
        <f aca="false">(10-(LEN(AK18)))+1</f>
        <v>8</v>
      </c>
      <c r="AK18" s="6" t="n">
        <v>309</v>
      </c>
      <c r="AL18" s="6" t="str">
        <f aca="false">IF($J18="NA","NA",IF(AND($J18&gt;1939,AK18&gt;0),"ERRO","OK"))</f>
        <v>OK</v>
      </c>
      <c r="AM18" s="6" t="n">
        <f aca="false">(10-(LEN(AN18)))+1</f>
        <v>7</v>
      </c>
      <c r="AN18" s="6" t="n">
        <v>1356</v>
      </c>
      <c r="AO18" s="6" t="str">
        <f aca="false">IF($J18="NA","NA",IF(AND($J18&gt;1929,AN18&gt;0),"ERRO","OK"))</f>
        <v>OK</v>
      </c>
      <c r="AP18" s="6" t="n">
        <f aca="false">(10-(LEN(AQ18)))+1</f>
        <v>8</v>
      </c>
      <c r="AQ18" s="6" t="n">
        <v>111</v>
      </c>
      <c r="AR18" s="6" t="str">
        <f aca="false">IF($J18="NA","NA",IF(AND($J18&gt;1919,AQ18&gt;0),"ERRO","OK"))</f>
        <v>OK</v>
      </c>
      <c r="AS18" s="6" t="n">
        <f aca="false">(10-(LEN(AT18)))+1</f>
        <v>10</v>
      </c>
      <c r="AT18" s="6" t="n">
        <v>0</v>
      </c>
      <c r="AU18" s="6" t="str">
        <f aca="false">IF($J18="NA","NA",IF(AND($J18&gt;1909,AT18&gt;0),"ERRO","OK"))</f>
        <v>OK</v>
      </c>
      <c r="AV18" s="6" t="n">
        <f aca="false">(10-(LEN(AW18)))+1</f>
        <v>10</v>
      </c>
      <c r="AW18" s="6" t="n">
        <v>0</v>
      </c>
      <c r="AX18" s="6" t="str">
        <f aca="false">IF($J18="NA","NA",IF(AND($J18&gt;1899,AW18&gt;0),"ERRO","OK"))</f>
        <v>OK</v>
      </c>
    </row>
    <row r="19" customFormat="false" ht="15" hidden="false" customHeight="false" outlineLevel="0" collapsed="false">
      <c r="A19" s="7" t="n">
        <v>16</v>
      </c>
      <c r="B19" s="0" t="s">
        <v>35</v>
      </c>
      <c r="C19" s="8" t="n">
        <v>45301</v>
      </c>
      <c r="D19" s="6" t="n">
        <v>0</v>
      </c>
      <c r="E19" s="0" t="s">
        <v>16</v>
      </c>
      <c r="F19" s="0" t="s">
        <v>17</v>
      </c>
      <c r="G19" s="9" t="str">
        <f aca="false">IF(OR(N19="ERRO",Q19="ERRO",T19="ERRO",W19="ERRO",Z19="ERRO",AC19="ERRO",AF19="ERRO",AI19="ERRO",AL19="ERRO",AO19="ERRO",AR19="ERRO",AU19="ERRO",AX19="ERRO"),"ERRO","OK")</f>
        <v>OK</v>
      </c>
      <c r="H19" s="9" t="n">
        <f aca="false">COUNTIF(L19:AX19,"ERRO")</f>
        <v>0</v>
      </c>
      <c r="I19" s="9" t="s">
        <v>18</v>
      </c>
      <c r="J19" s="10" t="n">
        <v>1862</v>
      </c>
      <c r="K19" s="10" t="n">
        <v>1928</v>
      </c>
      <c r="L19" s="6" t="n">
        <f aca="false">(10-(LEN(M19)))+1</f>
        <v>7</v>
      </c>
      <c r="M19" s="6" t="n">
        <v>1796</v>
      </c>
      <c r="N19" s="6" t="str">
        <f aca="false">IF($J19="NA","NA",IF(AND($J19&gt;2019,M19&gt;0),"ERRO","OK"))</f>
        <v>OK</v>
      </c>
      <c r="O19" s="6" t="n">
        <f aca="false">(10-(LEN(P19)))+1</f>
        <v>7</v>
      </c>
      <c r="P19" s="6" t="n">
        <v>8322</v>
      </c>
      <c r="Q19" s="6" t="str">
        <f aca="false">IF($J19="NA","NA",IF(AND($J19&gt;2009,P19&gt;0),"ERRO","OK"))</f>
        <v>OK</v>
      </c>
      <c r="R19" s="6" t="n">
        <f aca="false">(10-(LEN(S19)))+1</f>
        <v>7</v>
      </c>
      <c r="S19" s="6" t="n">
        <v>9617</v>
      </c>
      <c r="T19" s="6" t="str">
        <f aca="false">IF($J19="NA","NA",IF(AND($J19&gt;1999,S19&gt;0),"ERRO","OK"))</f>
        <v>OK</v>
      </c>
      <c r="U19" s="6" t="n">
        <f aca="false">(10-(LEN(V19)))+1</f>
        <v>6</v>
      </c>
      <c r="V19" s="6" t="n">
        <v>17893</v>
      </c>
      <c r="W19" s="6" t="str">
        <f aca="false">IF($J19="NA","NA",IF(AND($J19&gt;1989,V19&gt;0),"ERRO","OK"))</f>
        <v>OK</v>
      </c>
      <c r="X19" s="6" t="n">
        <f aca="false">(10-(LEN(Y19)))+1</f>
        <v>6</v>
      </c>
      <c r="Y19" s="6" t="n">
        <v>15526</v>
      </c>
      <c r="Z19" s="6" t="str">
        <f aca="false">IF($J19="NA","NA",IF(AND($J19&gt;1979,Y19&gt;0),"ERRO","OK"))</f>
        <v>OK</v>
      </c>
      <c r="AA19" s="6" t="n">
        <f aca="false">(10-(LEN(AB19)))+1</f>
        <v>6</v>
      </c>
      <c r="AB19" s="6" t="n">
        <v>13788</v>
      </c>
      <c r="AC19" s="6" t="str">
        <f aca="false">IF($J19="NA","NA",IF(AND($J19&gt;1969,AB19&gt;0),"ERRO","OK"))</f>
        <v>OK</v>
      </c>
      <c r="AD19" s="6" t="n">
        <f aca="false">(10-(LEN(AE19)))+1</f>
        <v>7</v>
      </c>
      <c r="AE19" s="6" t="n">
        <v>8768</v>
      </c>
      <c r="AF19" s="6" t="str">
        <f aca="false">IF($J19="NA","NA",IF(AND($J19&gt;1959,AE19&gt;0),"ERRO","OK"))</f>
        <v>OK</v>
      </c>
      <c r="AG19" s="6" t="n">
        <f aca="false">(10-(LEN(AH19)))+1</f>
        <v>6</v>
      </c>
      <c r="AH19" s="6" t="n">
        <v>12395</v>
      </c>
      <c r="AI19" s="6" t="str">
        <f aca="false">IF($J19="NA","NA",IF(AND($J19&gt;1949,AH19&gt;0),"ERRO","OK"))</f>
        <v>OK</v>
      </c>
      <c r="AJ19" s="6" t="n">
        <f aca="false">(10-(LEN(AK19)))+1</f>
        <v>6</v>
      </c>
      <c r="AK19" s="6" t="n">
        <v>29752</v>
      </c>
      <c r="AL19" s="6" t="str">
        <f aca="false">IF($J19="NA","NA",IF(AND($J19&gt;1939,AK19&gt;0),"ERRO","OK"))</f>
        <v>OK</v>
      </c>
      <c r="AM19" s="6" t="n">
        <f aca="false">(10-(LEN(AN19)))+1</f>
        <v>6</v>
      </c>
      <c r="AN19" s="6" t="n">
        <v>56322</v>
      </c>
      <c r="AO19" s="6" t="str">
        <f aca="false">IF($J19="NA","NA",IF(AND($J19&gt;1929,AN19&gt;0),"ERRO","OK"))</f>
        <v>OK</v>
      </c>
      <c r="AP19" s="6" t="n">
        <f aca="false">(10-(LEN(AQ19)))+1</f>
        <v>6</v>
      </c>
      <c r="AQ19" s="6" t="n">
        <v>21916</v>
      </c>
      <c r="AR19" s="6" t="str">
        <f aca="false">IF($J19="NA","NA",IF(AND($J19&gt;1919,AQ19&gt;0),"ERRO","OK"))</f>
        <v>OK</v>
      </c>
      <c r="AS19" s="6" t="n">
        <f aca="false">(10-(LEN(AT19)))+1</f>
        <v>6</v>
      </c>
      <c r="AT19" s="6" t="n">
        <v>14119</v>
      </c>
      <c r="AU19" s="6" t="str">
        <f aca="false">IF($J19="NA","NA",IF(AND($J19&gt;1909,AT19&gt;0),"ERRO","OK"))</f>
        <v>OK</v>
      </c>
      <c r="AV19" s="6" t="n">
        <f aca="false">(10-(LEN(AW19)))+1</f>
        <v>8</v>
      </c>
      <c r="AW19" s="6" t="n">
        <v>950</v>
      </c>
      <c r="AX19" s="6" t="str">
        <f aca="false">IF($J19="NA","NA",IF(AND($J19&gt;1899,AW19&gt;0),"ERRO","OK"))</f>
        <v>OK</v>
      </c>
    </row>
    <row r="20" customFormat="false" ht="15" hidden="false" customHeight="false" outlineLevel="0" collapsed="false">
      <c r="A20" s="7" t="n">
        <v>17</v>
      </c>
      <c r="B20" s="0" t="s">
        <v>36</v>
      </c>
      <c r="C20" s="8" t="n">
        <v>45301</v>
      </c>
      <c r="D20" s="6" t="n">
        <v>0</v>
      </c>
      <c r="E20" s="0" t="s">
        <v>16</v>
      </c>
      <c r="F20" s="0" t="s">
        <v>17</v>
      </c>
      <c r="G20" s="9" t="str">
        <f aca="false">IF(OR(N20="ERRO",Q20="ERRO",T20="ERRO",W20="ERRO",Z20="ERRO",AC20="ERRO",AF20="ERRO",AI20="ERRO",AL20="ERRO",AO20="ERRO",AR20="ERRO",AU20="ERRO",AX20="ERRO"),"ERRO","OK")</f>
        <v>OK</v>
      </c>
      <c r="H20" s="9" t="n">
        <f aca="false">COUNTIF(L20:AX20,"ERRO")</f>
        <v>0</v>
      </c>
      <c r="I20" s="9" t="s">
        <v>18</v>
      </c>
      <c r="J20" s="10" t="n">
        <v>1877</v>
      </c>
      <c r="K20" s="10" t="n">
        <v>1949</v>
      </c>
      <c r="L20" s="6" t="n">
        <f aca="false">(10-(LEN(M20)))+1</f>
        <v>7</v>
      </c>
      <c r="M20" s="6" t="n">
        <v>1208</v>
      </c>
      <c r="N20" s="6" t="str">
        <f aca="false">IF($J20="NA","NA",IF(AND($J20&gt;2019,M20&gt;0),"ERRO","OK"))</f>
        <v>OK</v>
      </c>
      <c r="O20" s="6" t="n">
        <f aca="false">(10-(LEN(P20)))+1</f>
        <v>7</v>
      </c>
      <c r="P20" s="6" t="n">
        <v>4082</v>
      </c>
      <c r="Q20" s="6" t="str">
        <f aca="false">IF($J20="NA","NA",IF(AND($J20&gt;2009,P20&gt;0),"ERRO","OK"))</f>
        <v>OK</v>
      </c>
      <c r="R20" s="6" t="n">
        <f aca="false">(10-(LEN(S20)))+1</f>
        <v>7</v>
      </c>
      <c r="S20" s="6" t="n">
        <v>9117</v>
      </c>
      <c r="T20" s="6" t="str">
        <f aca="false">IF($J20="NA","NA",IF(AND($J20&gt;1999,S20&gt;0),"ERRO","OK"))</f>
        <v>OK</v>
      </c>
      <c r="U20" s="6" t="n">
        <f aca="false">(10-(LEN(V20)))+1</f>
        <v>6</v>
      </c>
      <c r="V20" s="6" t="n">
        <v>15637</v>
      </c>
      <c r="W20" s="6" t="str">
        <f aca="false">IF($J20="NA","NA",IF(AND($J20&gt;1989,V20&gt;0),"ERRO","OK"))</f>
        <v>OK</v>
      </c>
      <c r="X20" s="6" t="n">
        <f aca="false">(10-(LEN(Y20)))+1</f>
        <v>6</v>
      </c>
      <c r="Y20" s="6" t="n">
        <v>13431</v>
      </c>
      <c r="Z20" s="6" t="str">
        <f aca="false">IF($J20="NA","NA",IF(AND($J20&gt;1979,Y20&gt;0),"ERRO","OK"))</f>
        <v>OK</v>
      </c>
      <c r="AA20" s="6" t="n">
        <f aca="false">(10-(LEN(AB20)))+1</f>
        <v>7</v>
      </c>
      <c r="AB20" s="6" t="n">
        <v>9200</v>
      </c>
      <c r="AC20" s="6" t="str">
        <f aca="false">IF($J20="NA","NA",IF(AND($J20&gt;1969,AB20&gt;0),"ERRO","OK"))</f>
        <v>OK</v>
      </c>
      <c r="AD20" s="6" t="n">
        <f aca="false">(10-(LEN(AE20)))+1</f>
        <v>7</v>
      </c>
      <c r="AE20" s="6" t="n">
        <v>7266</v>
      </c>
      <c r="AF20" s="6" t="str">
        <f aca="false">IF($J20="NA","NA",IF(AND($J20&gt;1959,AE20&gt;0),"ERRO","OK"))</f>
        <v>OK</v>
      </c>
      <c r="AG20" s="6" t="n">
        <f aca="false">(10-(LEN(AH20)))+1</f>
        <v>6</v>
      </c>
      <c r="AH20" s="6" t="n">
        <v>12666</v>
      </c>
      <c r="AI20" s="6" t="str">
        <f aca="false">IF($J20="NA","NA",IF(AND($J20&gt;1949,AH20&gt;0),"ERRO","OK"))</f>
        <v>OK</v>
      </c>
      <c r="AJ20" s="6" t="n">
        <f aca="false">(10-(LEN(AK20)))+1</f>
        <v>6</v>
      </c>
      <c r="AK20" s="6" t="n">
        <v>20471</v>
      </c>
      <c r="AL20" s="6" t="str">
        <f aca="false">IF($J20="NA","NA",IF(AND($J20&gt;1939,AK20&gt;0),"ERRO","OK"))</f>
        <v>OK</v>
      </c>
      <c r="AM20" s="6" t="n">
        <f aca="false">(10-(LEN(AN20)))+1</f>
        <v>7</v>
      </c>
      <c r="AN20" s="6" t="n">
        <v>8531</v>
      </c>
      <c r="AO20" s="6" t="str">
        <f aca="false">IF($J20="NA","NA",IF(AND($J20&gt;1929,AN20&gt;0),"ERRO","OK"))</f>
        <v>OK</v>
      </c>
      <c r="AP20" s="6" t="n">
        <f aca="false">(10-(LEN(AQ20)))+1</f>
        <v>7</v>
      </c>
      <c r="AQ20" s="6" t="n">
        <v>1402</v>
      </c>
      <c r="AR20" s="6" t="str">
        <f aca="false">IF($J20="NA","NA",IF(AND($J20&gt;1919,AQ20&gt;0),"ERRO","OK"))</f>
        <v>OK</v>
      </c>
      <c r="AS20" s="6" t="n">
        <f aca="false">(10-(LEN(AT20)))+1</f>
        <v>7</v>
      </c>
      <c r="AT20" s="6" t="n">
        <v>1547</v>
      </c>
      <c r="AU20" s="6" t="str">
        <f aca="false">IF($J20="NA","NA",IF(AND($J20&gt;1909,AT20&gt;0),"ERRO","OK"))</f>
        <v>OK</v>
      </c>
      <c r="AV20" s="6" t="n">
        <f aca="false">(10-(LEN(AW20)))+1</f>
        <v>10</v>
      </c>
      <c r="AW20" s="6" t="n">
        <v>0</v>
      </c>
      <c r="AX20" s="6" t="str">
        <f aca="false">IF($J20="NA","NA",IF(AND($J20&gt;1899,AW20&gt;0),"ERRO","OK"))</f>
        <v>OK</v>
      </c>
    </row>
    <row r="21" customFormat="false" ht="15" hidden="false" customHeight="false" outlineLevel="0" collapsed="false">
      <c r="A21" s="7" t="n">
        <v>18</v>
      </c>
      <c r="B21" s="0" t="s">
        <v>37</v>
      </c>
      <c r="C21" s="8" t="n">
        <v>45301</v>
      </c>
      <c r="D21" s="6" t="n">
        <v>0</v>
      </c>
      <c r="E21" s="0" t="s">
        <v>16</v>
      </c>
      <c r="F21" s="0" t="s">
        <v>17</v>
      </c>
      <c r="G21" s="9" t="str">
        <f aca="false">IF(OR(N21="ERRO",Q21="ERRO",T21="ERRO",W21="ERRO",Z21="ERRO",AC21="ERRO",AF21="ERRO",AI21="ERRO",AL21="ERRO",AO21="ERRO",AR21="ERRO",AU21="ERRO",AX21="ERRO"),"ERRO","OK")</f>
        <v>OK</v>
      </c>
      <c r="H21" s="9" t="n">
        <f aca="false">COUNTIF(L21:AX21,"ERRO")</f>
        <v>0</v>
      </c>
      <c r="I21" s="9" t="s">
        <v>18</v>
      </c>
      <c r="J21" s="10" t="n">
        <v>1884</v>
      </c>
      <c r="K21" s="10" t="n">
        <v>1945</v>
      </c>
      <c r="L21" s="6" t="n">
        <f aca="false">(10-(LEN(M21)))+1</f>
        <v>10</v>
      </c>
      <c r="M21" s="6" t="n">
        <v>0</v>
      </c>
      <c r="N21" s="6" t="str">
        <f aca="false">IF($J21="NA","NA",IF(AND($J21&gt;2019,M21&gt;0),"ERRO","OK"))</f>
        <v>OK</v>
      </c>
      <c r="O21" s="6" t="n">
        <f aca="false">(10-(LEN(P21)))+1</f>
        <v>10</v>
      </c>
      <c r="P21" s="6" t="n">
        <v>0</v>
      </c>
      <c r="Q21" s="6" t="str">
        <f aca="false">IF($J21="NA","NA",IF(AND($J21&gt;2009,P21&gt;0),"ERRO","OK"))</f>
        <v>OK</v>
      </c>
      <c r="R21" s="6" t="n">
        <f aca="false">(10-(LEN(S21)))+1</f>
        <v>10</v>
      </c>
      <c r="S21" s="6" t="n">
        <v>0</v>
      </c>
      <c r="T21" s="6" t="str">
        <f aca="false">IF($J21="NA","NA",IF(AND($J21&gt;1999,S21&gt;0),"ERRO","OK"))</f>
        <v>OK</v>
      </c>
      <c r="U21" s="6" t="n">
        <f aca="false">(10-(LEN(V21)))+1</f>
        <v>10</v>
      </c>
      <c r="V21" s="6" t="n">
        <v>0</v>
      </c>
      <c r="W21" s="6" t="str">
        <f aca="false">IF($J21="NA","NA",IF(AND($J21&gt;1989,V21&gt;0),"ERRO","OK"))</f>
        <v>OK</v>
      </c>
      <c r="X21" s="6" t="n">
        <f aca="false">(10-(LEN(Y21)))+1</f>
        <v>10</v>
      </c>
      <c r="Y21" s="6" t="n">
        <v>0</v>
      </c>
      <c r="Z21" s="6" t="str">
        <f aca="false">IF($J21="NA","NA",IF(AND($J21&gt;1979,Y21&gt;0),"ERRO","OK"))</f>
        <v>OK</v>
      </c>
      <c r="AA21" s="6" t="n">
        <f aca="false">(10-(LEN(AB21)))+1</f>
        <v>10</v>
      </c>
      <c r="AB21" s="6" t="n">
        <v>0</v>
      </c>
      <c r="AC21" s="6" t="str">
        <f aca="false">IF($J21="NA","NA",IF(AND($J21&gt;1969,AB21&gt;0),"ERRO","OK"))</f>
        <v>OK</v>
      </c>
      <c r="AD21" s="6" t="n">
        <f aca="false">(10-(LEN(AE21)))+1</f>
        <v>10</v>
      </c>
      <c r="AE21" s="6" t="n">
        <v>0</v>
      </c>
      <c r="AF21" s="6" t="str">
        <f aca="false">IF($J21="NA","NA",IF(AND($J21&gt;1959,AE21&gt;0),"ERRO","OK"))</f>
        <v>OK</v>
      </c>
      <c r="AG21" s="6" t="n">
        <f aca="false">(10-(LEN(AH21)))+1</f>
        <v>10</v>
      </c>
      <c r="AH21" s="6" t="n">
        <v>0</v>
      </c>
      <c r="AI21" s="6" t="str">
        <f aca="false">IF($J21="NA","NA",IF(AND($J21&gt;1949,AH21&gt;0),"ERRO","OK"))</f>
        <v>OK</v>
      </c>
      <c r="AJ21" s="6" t="n">
        <f aca="false">(10-(LEN(AK21)))+1</f>
        <v>10</v>
      </c>
      <c r="AK21" s="6" t="n">
        <v>0</v>
      </c>
      <c r="AL21" s="6" t="str">
        <f aca="false">IF($J21="NA","NA",IF(AND($J21&gt;1939,AK21&gt;0),"ERRO","OK"))</f>
        <v>OK</v>
      </c>
      <c r="AM21" s="6" t="n">
        <f aca="false">(10-(LEN(AN21)))+1</f>
        <v>10</v>
      </c>
      <c r="AN21" s="6" t="n">
        <v>0</v>
      </c>
      <c r="AO21" s="6" t="str">
        <f aca="false">IF($J21="NA","NA",IF(AND($J21&gt;1929,AN21&gt;0),"ERRO","OK"))</f>
        <v>OK</v>
      </c>
      <c r="AP21" s="6" t="n">
        <f aca="false">(10-(LEN(AQ21)))+1</f>
        <v>10</v>
      </c>
      <c r="AQ21" s="6" t="n">
        <v>0</v>
      </c>
      <c r="AR21" s="6" t="str">
        <f aca="false">IF($J21="NA","NA",IF(AND($J21&gt;1919,AQ21&gt;0),"ERRO","OK"))</f>
        <v>OK</v>
      </c>
      <c r="AS21" s="6" t="n">
        <f aca="false">(10-(LEN(AT21)))+1</f>
        <v>10</v>
      </c>
      <c r="AT21" s="6" t="n">
        <v>0</v>
      </c>
      <c r="AU21" s="6" t="str">
        <f aca="false">IF($J21="NA","NA",IF(AND($J21&gt;1909,AT21&gt;0),"ERRO","OK"))</f>
        <v>OK</v>
      </c>
      <c r="AV21" s="6" t="n">
        <f aca="false">(10-(LEN(AW21)))+1</f>
        <v>10</v>
      </c>
      <c r="AW21" s="6" t="n">
        <v>0</v>
      </c>
      <c r="AX21" s="6" t="str">
        <f aca="false">IF($J21="NA","NA",IF(AND($J21&gt;1899,AW21&gt;0),"ERRO","OK"))</f>
        <v>OK</v>
      </c>
    </row>
    <row r="22" customFormat="false" ht="15" hidden="false" customHeight="false" outlineLevel="0" collapsed="false">
      <c r="A22" s="7" t="n">
        <v>19</v>
      </c>
      <c r="B22" s="0" t="s">
        <v>38</v>
      </c>
      <c r="C22" s="8" t="n">
        <v>45301</v>
      </c>
      <c r="D22" s="6" t="n">
        <v>0</v>
      </c>
      <c r="E22" s="0" t="s">
        <v>16</v>
      </c>
      <c r="F22" s="0" t="s">
        <v>17</v>
      </c>
      <c r="G22" s="9" t="str">
        <f aca="false">IF(OR(N22="ERRO",Q22="ERRO",T22="ERRO",W22="ERRO",Z22="ERRO",AC22="ERRO",AF22="ERRO",AI22="ERRO",AL22="ERRO",AO22="ERRO",AR22="ERRO",AU22="ERRO",AX22="ERRO"),"ERRO","OK")</f>
        <v>OK</v>
      </c>
      <c r="H22" s="9" t="n">
        <f aca="false">COUNTIF(L22:AX22,"ERRO")</f>
        <v>0</v>
      </c>
      <c r="I22" s="9" t="s">
        <v>18</v>
      </c>
      <c r="J22" s="10" t="n">
        <v>1881</v>
      </c>
      <c r="K22" s="10" t="n">
        <v>1953</v>
      </c>
      <c r="L22" s="6" t="n">
        <f aca="false">(10-(LEN(M22)))+1</f>
        <v>7</v>
      </c>
      <c r="M22" s="6" t="n">
        <v>4539</v>
      </c>
      <c r="N22" s="6" t="str">
        <f aca="false">IF($J22="NA","NA",IF(AND($J22&gt;2019,M22&gt;0),"ERRO","OK"))</f>
        <v>OK</v>
      </c>
      <c r="O22" s="6" t="n">
        <f aca="false">(10-(LEN(P22)))+1</f>
        <v>7</v>
      </c>
      <c r="P22" s="6" t="n">
        <v>9674</v>
      </c>
      <c r="Q22" s="6" t="str">
        <f aca="false">IF($J22="NA","NA",IF(AND($J22&gt;2009,P22&gt;0),"ERRO","OK"))</f>
        <v>OK</v>
      </c>
      <c r="R22" s="6" t="n">
        <f aca="false">(10-(LEN(S22)))+1</f>
        <v>7</v>
      </c>
      <c r="S22" s="6" t="n">
        <v>8907</v>
      </c>
      <c r="T22" s="6" t="str">
        <f aca="false">IF($J22="NA","NA",IF(AND($J22&gt;1999,S22&gt;0),"ERRO","OK"))</f>
        <v>OK</v>
      </c>
      <c r="U22" s="6" t="n">
        <f aca="false">(10-(LEN(V22)))+1</f>
        <v>7</v>
      </c>
      <c r="V22" s="6" t="n">
        <v>7497</v>
      </c>
      <c r="W22" s="6" t="str">
        <f aca="false">IF($J22="NA","NA",IF(AND($J22&gt;1989,V22&gt;0),"ERRO","OK"))</f>
        <v>OK</v>
      </c>
      <c r="X22" s="6" t="n">
        <f aca="false">(10-(LEN(Y22)))+1</f>
        <v>7</v>
      </c>
      <c r="Y22" s="6" t="n">
        <v>5672</v>
      </c>
      <c r="Z22" s="6" t="str">
        <f aca="false">IF($J22="NA","NA",IF(AND($J22&gt;1979,Y22&gt;0),"ERRO","OK"))</f>
        <v>OK</v>
      </c>
      <c r="AA22" s="6" t="n">
        <f aca="false">(10-(LEN(AB22)))+1</f>
        <v>7</v>
      </c>
      <c r="AB22" s="6" t="n">
        <v>8497</v>
      </c>
      <c r="AC22" s="6" t="str">
        <f aca="false">IF($J22="NA","NA",IF(AND($J22&gt;1969,AB22&gt;0),"ERRO","OK"))</f>
        <v>OK</v>
      </c>
      <c r="AD22" s="6" t="n">
        <f aca="false">(10-(LEN(AE22)))+1</f>
        <v>7</v>
      </c>
      <c r="AE22" s="6" t="n">
        <v>5741</v>
      </c>
      <c r="AF22" s="6" t="str">
        <f aca="false">IF($J22="NA","NA",IF(AND($J22&gt;1959,AE22&gt;0),"ERRO","OK"))</f>
        <v>OK</v>
      </c>
      <c r="AG22" s="6" t="n">
        <f aca="false">(10-(LEN(AH22)))+1</f>
        <v>7</v>
      </c>
      <c r="AH22" s="6" t="n">
        <v>5397</v>
      </c>
      <c r="AI22" s="6" t="str">
        <f aca="false">IF($J22="NA","NA",IF(AND($J22&gt;1949,AH22&gt;0),"ERRO","OK"))</f>
        <v>OK</v>
      </c>
      <c r="AJ22" s="6" t="n">
        <f aca="false">(10-(LEN(AK22)))+1</f>
        <v>7</v>
      </c>
      <c r="AK22" s="6" t="n">
        <v>2646</v>
      </c>
      <c r="AL22" s="6" t="str">
        <f aca="false">IF($J22="NA","NA",IF(AND($J22&gt;1939,AK22&gt;0),"ERRO","OK"))</f>
        <v>OK</v>
      </c>
      <c r="AM22" s="6" t="n">
        <f aca="false">(10-(LEN(AN22)))+1</f>
        <v>7</v>
      </c>
      <c r="AN22" s="6" t="n">
        <v>1066</v>
      </c>
      <c r="AO22" s="6" t="str">
        <f aca="false">IF($J22="NA","NA",IF(AND($J22&gt;1929,AN22&gt;0),"ERRO","OK"))</f>
        <v>OK</v>
      </c>
      <c r="AP22" s="6" t="n">
        <f aca="false">(10-(LEN(AQ22)))+1</f>
        <v>8</v>
      </c>
      <c r="AQ22" s="6" t="n">
        <v>501</v>
      </c>
      <c r="AR22" s="6" t="str">
        <f aca="false">IF($J22="NA","NA",IF(AND($J22&gt;1919,AQ22&gt;0),"ERRO","OK"))</f>
        <v>OK</v>
      </c>
      <c r="AS22" s="6" t="n">
        <f aca="false">(10-(LEN(AT22)))+1</f>
        <v>10</v>
      </c>
      <c r="AT22" s="6" t="n">
        <v>0</v>
      </c>
      <c r="AU22" s="6" t="str">
        <f aca="false">IF($J22="NA","NA",IF(AND($J22&gt;1909,AT22&gt;0),"ERRO","OK"))</f>
        <v>OK</v>
      </c>
      <c r="AV22" s="6" t="n">
        <f aca="false">(10-(LEN(AW22)))+1</f>
        <v>10</v>
      </c>
      <c r="AW22" s="6" t="n">
        <v>0</v>
      </c>
      <c r="AX22" s="6" t="str">
        <f aca="false">IF($J22="NA","NA",IF(AND($J22&gt;1899,AW22&gt;0),"ERRO","OK"))</f>
        <v>OK</v>
      </c>
    </row>
    <row r="23" customFormat="false" ht="15" hidden="false" customHeight="false" outlineLevel="0" collapsed="false">
      <c r="A23" s="7" t="n">
        <v>20</v>
      </c>
      <c r="B23" s="0" t="s">
        <v>39</v>
      </c>
      <c r="C23" s="8" t="n">
        <v>45301</v>
      </c>
      <c r="D23" s="6" t="n">
        <v>0</v>
      </c>
      <c r="E23" s="0" t="s">
        <v>16</v>
      </c>
      <c r="F23" s="0" t="s">
        <v>17</v>
      </c>
      <c r="G23" s="9" t="str">
        <f aca="false">IF(OR(N23="ERRO",Q23="ERRO",T23="ERRO",W23="ERRO",Z23="ERRO",AC23="ERRO",AF23="ERRO",AI23="ERRO",AL23="ERRO",AO23="ERRO",AR23="ERRO",AU23="ERRO",AX23="ERRO"),"ERRO","OK")</f>
        <v>OK</v>
      </c>
      <c r="H23" s="9" t="n">
        <f aca="false">COUNTIF(L23:AX23,"ERRO")</f>
        <v>0</v>
      </c>
      <c r="I23" s="9" t="s">
        <v>18</v>
      </c>
      <c r="J23" s="10" t="n">
        <v>1870</v>
      </c>
      <c r="K23" s="10" t="n">
        <v>1924</v>
      </c>
      <c r="L23" s="6" t="n">
        <f aca="false">(10-(LEN(M23)))+1</f>
        <v>6</v>
      </c>
      <c r="M23" s="6" t="n">
        <v>19989</v>
      </c>
      <c r="N23" s="6" t="str">
        <f aca="false">IF($J23="NA","NA",IF(AND($J23&gt;2019,M23&gt;0),"ERRO","OK"))</f>
        <v>OK</v>
      </c>
      <c r="O23" s="6" t="n">
        <f aca="false">(10-(LEN(P23)))+1</f>
        <v>6</v>
      </c>
      <c r="P23" s="6" t="n">
        <v>36122</v>
      </c>
      <c r="Q23" s="6" t="str">
        <f aca="false">IF($J23="NA","NA",IF(AND($J23&gt;2009,P23&gt;0),"ERRO","OK"))</f>
        <v>OK</v>
      </c>
      <c r="R23" s="6" t="n">
        <f aca="false">(10-(LEN(S23)))+1</f>
        <v>6</v>
      </c>
      <c r="S23" s="6" t="n">
        <v>66889</v>
      </c>
      <c r="T23" s="6" t="str">
        <f aca="false">IF($J23="NA","NA",IF(AND($J23&gt;1999,S23&gt;0),"ERRO","OK"))</f>
        <v>OK</v>
      </c>
      <c r="U23" s="6" t="n">
        <f aca="false">(10-(LEN(V23)))+1</f>
        <v>6</v>
      </c>
      <c r="V23" s="6" t="n">
        <v>57260</v>
      </c>
      <c r="W23" s="6" t="str">
        <f aca="false">IF($J23="NA","NA",IF(AND($J23&gt;1989,V23&gt;0),"ERRO","OK"))</f>
        <v>OK</v>
      </c>
      <c r="X23" s="6" t="n">
        <f aca="false">(10-(LEN(Y23)))+1</f>
        <v>6</v>
      </c>
      <c r="Y23" s="6" t="n">
        <v>50887</v>
      </c>
      <c r="Z23" s="6" t="str">
        <f aca="false">IF($J23="NA","NA",IF(AND($J23&gt;1979,Y23&gt;0),"ERRO","OK"))</f>
        <v>OK</v>
      </c>
      <c r="AA23" s="6" t="n">
        <f aca="false">(10-(LEN(AB23)))+1</f>
        <v>6</v>
      </c>
      <c r="AB23" s="6" t="n">
        <v>53324</v>
      </c>
      <c r="AC23" s="6" t="str">
        <f aca="false">IF($J23="NA","NA",IF(AND($J23&gt;1969,AB23&gt;0),"ERRO","OK"))</f>
        <v>OK</v>
      </c>
      <c r="AD23" s="6" t="n">
        <f aca="false">(10-(LEN(AE23)))+1</f>
        <v>6</v>
      </c>
      <c r="AE23" s="6" t="n">
        <v>38842</v>
      </c>
      <c r="AF23" s="6" t="str">
        <f aca="false">IF($J23="NA","NA",IF(AND($J23&gt;1959,AE23&gt;0),"ERRO","OK"))</f>
        <v>OK</v>
      </c>
      <c r="AG23" s="6" t="n">
        <f aca="false">(10-(LEN(AH23)))+1</f>
        <v>6</v>
      </c>
      <c r="AH23" s="6" t="n">
        <v>26326</v>
      </c>
      <c r="AI23" s="6" t="str">
        <f aca="false">IF($J23="NA","NA",IF(AND($J23&gt;1949,AH23&gt;0),"ERRO","OK"))</f>
        <v>OK</v>
      </c>
      <c r="AJ23" s="6" t="n">
        <f aca="false">(10-(LEN(AK23)))+1</f>
        <v>6</v>
      </c>
      <c r="AK23" s="6" t="n">
        <v>29801</v>
      </c>
      <c r="AL23" s="6" t="str">
        <f aca="false">IF($J23="NA","NA",IF(AND($J23&gt;1939,AK23&gt;0),"ERRO","OK"))</f>
        <v>OK</v>
      </c>
      <c r="AM23" s="6" t="n">
        <f aca="false">(10-(LEN(AN23)))+1</f>
        <v>6</v>
      </c>
      <c r="AN23" s="6" t="n">
        <v>35645</v>
      </c>
      <c r="AO23" s="6" t="str">
        <f aca="false">IF($J23="NA","NA",IF(AND($J23&gt;1929,AN23&gt;0),"ERRO","OK"))</f>
        <v>OK</v>
      </c>
      <c r="AP23" s="6" t="n">
        <f aca="false">(10-(LEN(AQ23)))+1</f>
        <v>6</v>
      </c>
      <c r="AQ23" s="6" t="n">
        <v>30441</v>
      </c>
      <c r="AR23" s="6" t="str">
        <f aca="false">IF($J23="NA","NA",IF(AND($J23&gt;1919,AQ23&gt;0),"ERRO","OK"))</f>
        <v>OK</v>
      </c>
      <c r="AS23" s="6" t="n">
        <f aca="false">(10-(LEN(AT23)))+1</f>
        <v>6</v>
      </c>
      <c r="AT23" s="6" t="n">
        <v>21347</v>
      </c>
      <c r="AU23" s="6" t="str">
        <f aca="false">IF($J23="NA","NA",IF(AND($J23&gt;1909,AT23&gt;0),"ERRO","OK"))</f>
        <v>OK</v>
      </c>
      <c r="AV23" s="6" t="n">
        <f aca="false">(10-(LEN(AW23)))+1</f>
        <v>6</v>
      </c>
      <c r="AW23" s="6" t="n">
        <v>27345</v>
      </c>
      <c r="AX23" s="6" t="str">
        <f aca="false">IF($J23="NA","NA",IF(AND($J23&gt;1899,AW23&gt;0),"ERRO","OK"))</f>
        <v>OK</v>
      </c>
    </row>
    <row r="24" customFormat="false" ht="15" hidden="false" customHeight="false" outlineLevel="0" collapsed="false">
      <c r="A24" s="7" t="n">
        <v>21</v>
      </c>
      <c r="B24" s="0" t="s">
        <v>40</v>
      </c>
      <c r="C24" s="8" t="n">
        <v>45301</v>
      </c>
      <c r="D24" s="6" t="n">
        <v>0</v>
      </c>
      <c r="E24" s="0" t="s">
        <v>16</v>
      </c>
      <c r="F24" s="0" t="s">
        <v>17</v>
      </c>
      <c r="G24" s="9" t="str">
        <f aca="false">IF(OR(N24="ERRO",Q24="ERRO",T24="ERRO",W24="ERRO",Z24="ERRO",AC24="ERRO",AF24="ERRO",AI24="ERRO",AL24="ERRO",AO24="ERRO",AR24="ERRO",AU24="ERRO",AX24="ERRO"),"ERRO","OK")</f>
        <v>OK</v>
      </c>
      <c r="H24" s="9" t="n">
        <f aca="false">COUNTIF(L24:AX24,"ERRO")</f>
        <v>0</v>
      </c>
      <c r="I24" s="9" t="s">
        <v>18</v>
      </c>
      <c r="J24" s="10" t="s">
        <v>22</v>
      </c>
      <c r="K24" s="10" t="n">
        <v>1928</v>
      </c>
      <c r="L24" s="6" t="n">
        <f aca="false">(10-(LEN(M24)))+1</f>
        <v>9</v>
      </c>
      <c r="M24" s="6" t="n">
        <v>88</v>
      </c>
      <c r="N24" s="6" t="str">
        <f aca="false">IF($J24="NA","NA",IF(AND($J24&gt;2019,M24&gt;0),"ERRO","OK"))</f>
        <v>NA</v>
      </c>
      <c r="O24" s="6" t="n">
        <f aca="false">(10-(LEN(P24)))+1</f>
        <v>7</v>
      </c>
      <c r="P24" s="6" t="n">
        <v>1189</v>
      </c>
      <c r="Q24" s="6" t="str">
        <f aca="false">IF($J24="NA","NA",IF(AND($J24&gt;2009,P24&gt;0),"ERRO","OK"))</f>
        <v>NA</v>
      </c>
      <c r="R24" s="6" t="n">
        <f aca="false">(10-(LEN(S24)))+1</f>
        <v>8</v>
      </c>
      <c r="S24" s="6" t="n">
        <v>485</v>
      </c>
      <c r="T24" s="6" t="str">
        <f aca="false">IF($J24="NA","NA",IF(AND($J24&gt;1999,S24&gt;0),"ERRO","OK"))</f>
        <v>NA</v>
      </c>
      <c r="U24" s="6" t="n">
        <f aca="false">(10-(LEN(V24)))+1</f>
        <v>8</v>
      </c>
      <c r="V24" s="6" t="n">
        <v>387</v>
      </c>
      <c r="W24" s="6" t="str">
        <f aca="false">IF($J24="NA","NA",IF(AND($J24&gt;1989,V24&gt;0),"ERRO","OK"))</f>
        <v>NA</v>
      </c>
      <c r="X24" s="6" t="n">
        <f aca="false">(10-(LEN(Y24)))+1</f>
        <v>7</v>
      </c>
      <c r="Y24" s="6" t="n">
        <v>1350</v>
      </c>
      <c r="Z24" s="6" t="str">
        <f aca="false">IF($J24="NA","NA",IF(AND($J24&gt;1979,Y24&gt;0),"ERRO","OK"))</f>
        <v>NA</v>
      </c>
      <c r="AA24" s="6" t="n">
        <f aca="false">(10-(LEN(AB24)))+1</f>
        <v>8</v>
      </c>
      <c r="AB24" s="6" t="n">
        <v>492</v>
      </c>
      <c r="AC24" s="6" t="str">
        <f aca="false">IF($J24="NA","NA",IF(AND($J24&gt;1969,AB24&gt;0),"ERRO","OK"))</f>
        <v>NA</v>
      </c>
      <c r="AD24" s="6" t="n">
        <f aca="false">(10-(LEN(AE24)))+1</f>
        <v>8</v>
      </c>
      <c r="AE24" s="6" t="n">
        <v>566</v>
      </c>
      <c r="AF24" s="6" t="str">
        <f aca="false">IF($J24="NA","NA",IF(AND($J24&gt;1959,AE24&gt;0),"ERRO","OK"))</f>
        <v>NA</v>
      </c>
      <c r="AG24" s="6" t="n">
        <f aca="false">(10-(LEN(AH24)))+1</f>
        <v>8</v>
      </c>
      <c r="AH24" s="6" t="n">
        <v>463</v>
      </c>
      <c r="AI24" s="6" t="str">
        <f aca="false">IF($J24="NA","NA",IF(AND($J24&gt;1949,AH24&gt;0),"ERRO","OK"))</f>
        <v>NA</v>
      </c>
      <c r="AJ24" s="6" t="n">
        <f aca="false">(10-(LEN(AK24)))+1</f>
        <v>8</v>
      </c>
      <c r="AK24" s="6" t="n">
        <v>293</v>
      </c>
      <c r="AL24" s="6" t="str">
        <f aca="false">IF($J24="NA","NA",IF(AND($J24&gt;1939,AK24&gt;0),"ERRO","OK"))</f>
        <v>NA</v>
      </c>
      <c r="AM24" s="6" t="n">
        <f aca="false">(10-(LEN(AN24)))+1</f>
        <v>8</v>
      </c>
      <c r="AN24" s="6" t="n">
        <v>802</v>
      </c>
      <c r="AO24" s="6" t="str">
        <f aca="false">IF($J24="NA","NA",IF(AND($J24&gt;1929,AN24&gt;0),"ERRO","OK"))</f>
        <v>NA</v>
      </c>
      <c r="AP24" s="6" t="n">
        <f aca="false">(10-(LEN(AQ24)))+1</f>
        <v>8</v>
      </c>
      <c r="AQ24" s="6" t="n">
        <v>105</v>
      </c>
      <c r="AR24" s="6" t="str">
        <f aca="false">IF($J24="NA","NA",IF(AND($J24&gt;1919,AQ24&gt;0),"ERRO","OK"))</f>
        <v>NA</v>
      </c>
      <c r="AS24" s="6" t="n">
        <f aca="false">(10-(LEN(AT24)))+1</f>
        <v>8</v>
      </c>
      <c r="AT24" s="6" t="n">
        <v>109</v>
      </c>
      <c r="AU24" s="6" t="str">
        <f aca="false">IF($J24="NA","NA",IF(AND($J24&gt;1909,AT24&gt;0),"ERRO","OK"))</f>
        <v>NA</v>
      </c>
      <c r="AV24" s="6" t="n">
        <f aca="false">(10-(LEN(AW24)))+1</f>
        <v>7</v>
      </c>
      <c r="AW24" s="6" t="n">
        <v>3120</v>
      </c>
      <c r="AX24" s="6" t="str">
        <f aca="false">IF($J24="NA","NA",IF(AND($J24&gt;1899,AW24&gt;0),"ERRO","OK"))</f>
        <v>NA</v>
      </c>
    </row>
    <row r="25" customFormat="false" ht="15" hidden="false" customHeight="false" outlineLevel="0" collapsed="false">
      <c r="A25" s="7" t="n">
        <v>22</v>
      </c>
      <c r="B25" s="0" t="s">
        <v>41</v>
      </c>
      <c r="C25" s="8" t="n">
        <v>45301</v>
      </c>
      <c r="D25" s="6" t="n">
        <v>0</v>
      </c>
      <c r="E25" s="0" t="s">
        <v>16</v>
      </c>
      <c r="F25" s="0" t="s">
        <v>17</v>
      </c>
      <c r="G25" s="9" t="str">
        <f aca="false">IF(OR(N25="ERRO",Q25="ERRO",T25="ERRO",W25="ERRO",Z25="ERRO",AC25="ERRO",AF25="ERRO",AI25="ERRO",AL25="ERRO",AO25="ERRO",AR25="ERRO",AU25="ERRO",AX25="ERRO"),"ERRO","OK")</f>
        <v>OK</v>
      </c>
      <c r="H25" s="9" t="n">
        <f aca="false">COUNTIF(L25:AX25,"ERRO")</f>
        <v>0</v>
      </c>
      <c r="I25" s="9" t="s">
        <v>18</v>
      </c>
      <c r="J25" s="10" t="n">
        <v>1883</v>
      </c>
      <c r="K25" s="10" t="n">
        <v>1950</v>
      </c>
      <c r="L25" s="6" t="n">
        <f aca="false">(10-(LEN(M25)))+1</f>
        <v>10</v>
      </c>
      <c r="M25" s="6" t="n">
        <v>0</v>
      </c>
      <c r="N25" s="6" t="str">
        <f aca="false">IF($J25="NA","NA",IF(AND($J25&gt;2019,M25&gt;0),"ERRO","OK"))</f>
        <v>OK</v>
      </c>
      <c r="O25" s="6" t="n">
        <f aca="false">(10-(LEN(P25)))+1</f>
        <v>10</v>
      </c>
      <c r="P25" s="6" t="n">
        <v>0</v>
      </c>
      <c r="Q25" s="6" t="str">
        <f aca="false">IF($J25="NA","NA",IF(AND($J25&gt;2009,P25&gt;0),"ERRO","OK"))</f>
        <v>OK</v>
      </c>
      <c r="R25" s="6" t="n">
        <f aca="false">(10-(LEN(S25)))+1</f>
        <v>10</v>
      </c>
      <c r="S25" s="6" t="n">
        <v>0</v>
      </c>
      <c r="T25" s="6" t="str">
        <f aca="false">IF($J25="NA","NA",IF(AND($J25&gt;1999,S25&gt;0),"ERRO","OK"))</f>
        <v>OK</v>
      </c>
      <c r="U25" s="6" t="n">
        <f aca="false">(10-(LEN(V25)))+1</f>
        <v>10</v>
      </c>
      <c r="V25" s="6" t="n">
        <v>0</v>
      </c>
      <c r="W25" s="6" t="str">
        <f aca="false">IF($J25="NA","NA",IF(AND($J25&gt;1989,V25&gt;0),"ERRO","OK"))</f>
        <v>OK</v>
      </c>
      <c r="X25" s="6" t="n">
        <f aca="false">(10-(LEN(Y25)))+1</f>
        <v>10</v>
      </c>
      <c r="Y25" s="6" t="n">
        <v>0</v>
      </c>
      <c r="Z25" s="6" t="str">
        <f aca="false">IF($J25="NA","NA",IF(AND($J25&gt;1979,Y25&gt;0),"ERRO","OK"))</f>
        <v>OK</v>
      </c>
      <c r="AA25" s="6" t="n">
        <f aca="false">(10-(LEN(AB25)))+1</f>
        <v>10</v>
      </c>
      <c r="AB25" s="6" t="n">
        <v>0</v>
      </c>
      <c r="AC25" s="6" t="str">
        <f aca="false">IF($J25="NA","NA",IF(AND($J25&gt;1969,AB25&gt;0),"ERRO","OK"))</f>
        <v>OK</v>
      </c>
      <c r="AD25" s="6" t="n">
        <f aca="false">(10-(LEN(AE25)))+1</f>
        <v>10</v>
      </c>
      <c r="AE25" s="6" t="n">
        <v>0</v>
      </c>
      <c r="AF25" s="6" t="str">
        <f aca="false">IF($J25="NA","NA",IF(AND($J25&gt;1959,AE25&gt;0),"ERRO","OK"))</f>
        <v>OK</v>
      </c>
      <c r="AG25" s="6" t="n">
        <f aca="false">(10-(LEN(AH25)))+1</f>
        <v>10</v>
      </c>
      <c r="AH25" s="6" t="n">
        <v>0</v>
      </c>
      <c r="AI25" s="6" t="str">
        <f aca="false">IF($J25="NA","NA",IF(AND($J25&gt;1949,AH25&gt;0),"ERRO","OK"))</f>
        <v>OK</v>
      </c>
      <c r="AJ25" s="6" t="n">
        <f aca="false">(10-(LEN(AK25)))+1</f>
        <v>10</v>
      </c>
      <c r="AK25" s="6" t="n">
        <v>0</v>
      </c>
      <c r="AL25" s="6" t="str">
        <f aca="false">IF($J25="NA","NA",IF(AND($J25&gt;1939,AK25&gt;0),"ERRO","OK"))</f>
        <v>OK</v>
      </c>
      <c r="AM25" s="6" t="n">
        <f aca="false">(10-(LEN(AN25)))+1</f>
        <v>10</v>
      </c>
      <c r="AN25" s="6" t="n">
        <v>0</v>
      </c>
      <c r="AO25" s="6" t="str">
        <f aca="false">IF($J25="NA","NA",IF(AND($J25&gt;1929,AN25&gt;0),"ERRO","OK"))</f>
        <v>OK</v>
      </c>
      <c r="AP25" s="6" t="n">
        <f aca="false">(10-(LEN(AQ25)))+1</f>
        <v>10</v>
      </c>
      <c r="AQ25" s="6" t="n">
        <v>0</v>
      </c>
      <c r="AR25" s="6" t="str">
        <f aca="false">IF($J25="NA","NA",IF(AND($J25&gt;1919,AQ25&gt;0),"ERRO","OK"))</f>
        <v>OK</v>
      </c>
      <c r="AS25" s="6" t="n">
        <f aca="false">(10-(LEN(AT25)))+1</f>
        <v>10</v>
      </c>
      <c r="AT25" s="6" t="n">
        <v>0</v>
      </c>
      <c r="AU25" s="6" t="str">
        <f aca="false">IF($J25="NA","NA",IF(AND($J25&gt;1909,AT25&gt;0),"ERRO","OK"))</f>
        <v>OK</v>
      </c>
      <c r="AV25" s="6" t="n">
        <f aca="false">(10-(LEN(AW25)))+1</f>
        <v>10</v>
      </c>
      <c r="AW25" s="6" t="n">
        <v>0</v>
      </c>
      <c r="AX25" s="6" t="str">
        <f aca="false">IF($J25="NA","NA",IF(AND($J25&gt;1899,AW25&gt;0),"ERRO","OK"))</f>
        <v>OK</v>
      </c>
    </row>
    <row r="26" customFormat="false" ht="15" hidden="false" customHeight="false" outlineLevel="0" collapsed="false">
      <c r="A26" s="7" t="n">
        <v>23</v>
      </c>
      <c r="B26" s="0" t="s">
        <v>42</v>
      </c>
      <c r="C26" s="8" t="n">
        <v>45301</v>
      </c>
      <c r="D26" s="6" t="n">
        <v>0</v>
      </c>
      <c r="E26" s="0" t="s">
        <v>16</v>
      </c>
      <c r="F26" s="0" t="s">
        <v>17</v>
      </c>
      <c r="G26" s="9" t="str">
        <f aca="false">IF(OR(N26="ERRO",Q26="ERRO",T26="ERRO",W26="ERRO",Z26="ERRO",AC26="ERRO",AF26="ERRO",AI26="ERRO",AL26="ERRO",AO26="ERRO",AR26="ERRO",AU26="ERRO",AX26="ERRO"),"ERRO","OK")</f>
        <v>OK</v>
      </c>
      <c r="H26" s="9" t="n">
        <f aca="false">COUNTIF(L26:AX26,"ERRO")</f>
        <v>0</v>
      </c>
      <c r="I26" s="9" t="s">
        <v>18</v>
      </c>
      <c r="J26" s="10" t="n">
        <v>1878</v>
      </c>
      <c r="K26" s="10" t="n">
        <v>1958</v>
      </c>
      <c r="L26" s="6" t="n">
        <f aca="false">(10-(LEN(M26)))+1</f>
        <v>7</v>
      </c>
      <c r="M26" s="6" t="n">
        <v>2165</v>
      </c>
      <c r="N26" s="6" t="str">
        <f aca="false">IF($J26="NA","NA",IF(AND($J26&gt;2019,M26&gt;0),"ERRO","OK"))</f>
        <v>OK</v>
      </c>
      <c r="O26" s="6" t="n">
        <f aca="false">(10-(LEN(P26)))+1</f>
        <v>7</v>
      </c>
      <c r="P26" s="6" t="n">
        <v>4734</v>
      </c>
      <c r="Q26" s="6" t="str">
        <f aca="false">IF($J26="NA","NA",IF(AND($J26&gt;2009,P26&gt;0),"ERRO","OK"))</f>
        <v>OK</v>
      </c>
      <c r="R26" s="6" t="n">
        <f aca="false">(10-(LEN(S26)))+1</f>
        <v>7</v>
      </c>
      <c r="S26" s="6" t="n">
        <v>1471</v>
      </c>
      <c r="T26" s="6" t="str">
        <f aca="false">IF($J26="NA","NA",IF(AND($J26&gt;1999,S26&gt;0),"ERRO","OK"))</f>
        <v>OK</v>
      </c>
      <c r="U26" s="6" t="n">
        <f aca="false">(10-(LEN(V26)))+1</f>
        <v>7</v>
      </c>
      <c r="V26" s="6" t="n">
        <v>2116</v>
      </c>
      <c r="W26" s="6" t="str">
        <f aca="false">IF($J26="NA","NA",IF(AND($J26&gt;1989,V26&gt;0),"ERRO","OK"))</f>
        <v>OK</v>
      </c>
      <c r="X26" s="6" t="n">
        <f aca="false">(10-(LEN(Y26)))+1</f>
        <v>7</v>
      </c>
      <c r="Y26" s="6" t="n">
        <v>1766</v>
      </c>
      <c r="Z26" s="6" t="str">
        <f aca="false">IF($J26="NA","NA",IF(AND($J26&gt;1979,Y26&gt;0),"ERRO","OK"))</f>
        <v>OK</v>
      </c>
      <c r="AA26" s="6" t="n">
        <f aca="false">(10-(LEN(AB26)))+1</f>
        <v>7</v>
      </c>
      <c r="AB26" s="6" t="n">
        <v>2110</v>
      </c>
      <c r="AC26" s="6" t="str">
        <f aca="false">IF($J26="NA","NA",IF(AND($J26&gt;1969,AB26&gt;0),"ERRO","OK"))</f>
        <v>OK</v>
      </c>
      <c r="AD26" s="6" t="n">
        <f aca="false">(10-(LEN(AE26)))+1</f>
        <v>7</v>
      </c>
      <c r="AE26" s="6" t="n">
        <v>1435</v>
      </c>
      <c r="AF26" s="6" t="str">
        <f aca="false">IF($J26="NA","NA",IF(AND($J26&gt;1959,AE26&gt;0),"ERRO","OK"))</f>
        <v>OK</v>
      </c>
      <c r="AG26" s="6" t="n">
        <f aca="false">(10-(LEN(AH26)))+1</f>
        <v>8</v>
      </c>
      <c r="AH26" s="6" t="n">
        <v>441</v>
      </c>
      <c r="AI26" s="6" t="str">
        <f aca="false">IF($J26="NA","NA",IF(AND($J26&gt;1949,AH26&gt;0),"ERRO","OK"))</f>
        <v>OK</v>
      </c>
      <c r="AJ26" s="6" t="n">
        <f aca="false">(10-(LEN(AK26)))+1</f>
        <v>8</v>
      </c>
      <c r="AK26" s="6" t="n">
        <v>557</v>
      </c>
      <c r="AL26" s="6" t="str">
        <f aca="false">IF($J26="NA","NA",IF(AND($J26&gt;1939,AK26&gt;0),"ERRO","OK"))</f>
        <v>OK</v>
      </c>
      <c r="AM26" s="6" t="n">
        <f aca="false">(10-(LEN(AN26)))+1</f>
        <v>8</v>
      </c>
      <c r="AN26" s="6" t="n">
        <v>762</v>
      </c>
      <c r="AO26" s="6" t="str">
        <f aca="false">IF($J26="NA","NA",IF(AND($J26&gt;1929,AN26&gt;0),"ERRO","OK"))</f>
        <v>OK</v>
      </c>
      <c r="AP26" s="6" t="n">
        <f aca="false">(10-(LEN(AQ26)))+1</f>
        <v>10</v>
      </c>
      <c r="AQ26" s="6" t="n">
        <v>0</v>
      </c>
      <c r="AR26" s="6" t="str">
        <f aca="false">IF($J26="NA","NA",IF(AND($J26&gt;1919,AQ26&gt;0),"ERRO","OK"))</f>
        <v>OK</v>
      </c>
      <c r="AS26" s="6" t="n">
        <f aca="false">(10-(LEN(AT26)))+1</f>
        <v>10</v>
      </c>
      <c r="AT26" s="6" t="n">
        <v>0</v>
      </c>
      <c r="AU26" s="6" t="str">
        <f aca="false">IF($J26="NA","NA",IF(AND($J26&gt;1909,AT26&gt;0),"ERRO","OK"))</f>
        <v>OK</v>
      </c>
      <c r="AV26" s="6" t="n">
        <f aca="false">(10-(LEN(AW26)))+1</f>
        <v>10</v>
      </c>
      <c r="AW26" s="6" t="n">
        <v>0</v>
      </c>
      <c r="AX26" s="6" t="str">
        <f aca="false">IF($J26="NA","NA",IF(AND($J26&gt;1899,AW26&gt;0),"ERRO","OK"))</f>
        <v>OK</v>
      </c>
    </row>
    <row r="27" customFormat="false" ht="15" hidden="false" customHeight="false" outlineLevel="0" collapsed="false">
      <c r="A27" s="7" t="n">
        <v>24</v>
      </c>
      <c r="B27" s="0" t="s">
        <v>43</v>
      </c>
      <c r="C27" s="8" t="n">
        <v>45301</v>
      </c>
      <c r="D27" s="6" t="n">
        <v>0</v>
      </c>
      <c r="E27" s="0" t="s">
        <v>16</v>
      </c>
      <c r="F27" s="0" t="s">
        <v>17</v>
      </c>
      <c r="G27" s="9" t="str">
        <f aca="false">IF(OR(N27="ERRO",Q27="ERRO",T27="ERRO",W27="ERRO",Z27="ERRO",AC27="ERRO",AF27="ERRO",AI27="ERRO",AL27="ERRO",AO27="ERRO",AR27="ERRO",AU27="ERRO",AX27="ERRO"),"ERRO","OK")</f>
        <v>OK</v>
      </c>
      <c r="H27" s="9" t="n">
        <f aca="false">COUNTIF(L27:AX27,"ERRO")</f>
        <v>0</v>
      </c>
      <c r="I27" s="9" t="s">
        <v>18</v>
      </c>
      <c r="J27" s="10" t="s">
        <v>22</v>
      </c>
      <c r="K27" s="10" t="s">
        <v>22</v>
      </c>
      <c r="L27" s="6" t="n">
        <f aca="false">(10-(LEN(M27)))+1</f>
        <v>10</v>
      </c>
      <c r="M27" s="6" t="n">
        <v>0</v>
      </c>
      <c r="N27" s="6" t="str">
        <f aca="false">IF($J27="NA","NA",IF(AND($J27&gt;2019,M27&gt;0),"ERRO","OK"))</f>
        <v>NA</v>
      </c>
      <c r="O27" s="6" t="n">
        <f aca="false">(10-(LEN(P27)))+1</f>
        <v>8</v>
      </c>
      <c r="P27" s="6" t="n">
        <v>583</v>
      </c>
      <c r="Q27" s="6" t="str">
        <f aca="false">IF($J27="NA","NA",IF(AND($J27&gt;2009,P27&gt;0),"ERRO","OK"))</f>
        <v>NA</v>
      </c>
      <c r="R27" s="6" t="n">
        <f aca="false">(10-(LEN(S27)))+1</f>
        <v>9</v>
      </c>
      <c r="S27" s="6" t="n">
        <v>42</v>
      </c>
      <c r="T27" s="6" t="str">
        <f aca="false">IF($J27="NA","NA",IF(AND($J27&gt;1999,S27&gt;0),"ERRO","OK"))</f>
        <v>NA</v>
      </c>
      <c r="U27" s="6" t="n">
        <f aca="false">(10-(LEN(V27)))+1</f>
        <v>9</v>
      </c>
      <c r="V27" s="6" t="n">
        <v>92</v>
      </c>
      <c r="W27" s="6" t="str">
        <f aca="false">IF($J27="NA","NA",IF(AND($J27&gt;1989,V27&gt;0),"ERRO","OK"))</f>
        <v>NA</v>
      </c>
      <c r="X27" s="6" t="n">
        <f aca="false">(10-(LEN(Y27)))+1</f>
        <v>10</v>
      </c>
      <c r="Y27" s="6" t="n">
        <v>0</v>
      </c>
      <c r="Z27" s="6" t="str">
        <f aca="false">IF($J27="NA","NA",IF(AND($J27&gt;1979,Y27&gt;0),"ERRO","OK"))</f>
        <v>NA</v>
      </c>
      <c r="AA27" s="6" t="n">
        <f aca="false">(10-(LEN(AB27)))+1</f>
        <v>10</v>
      </c>
      <c r="AB27" s="6" t="n">
        <v>0</v>
      </c>
      <c r="AC27" s="6" t="str">
        <f aca="false">IF($J27="NA","NA",IF(AND($J27&gt;1969,AB27&gt;0),"ERRO","OK"))</f>
        <v>NA</v>
      </c>
      <c r="AD27" s="6" t="n">
        <f aca="false">(10-(LEN(AE27)))+1</f>
        <v>10</v>
      </c>
      <c r="AE27" s="6" t="n">
        <v>0</v>
      </c>
      <c r="AF27" s="6" t="str">
        <f aca="false">IF($J27="NA","NA",IF(AND($J27&gt;1959,AE27&gt;0),"ERRO","OK"))</f>
        <v>NA</v>
      </c>
      <c r="AG27" s="6" t="n">
        <f aca="false">(10-(LEN(AH27)))+1</f>
        <v>10</v>
      </c>
      <c r="AH27" s="6" t="n">
        <v>0</v>
      </c>
      <c r="AI27" s="6" t="str">
        <f aca="false">IF($J27="NA","NA",IF(AND($J27&gt;1949,AH27&gt;0),"ERRO","OK"))</f>
        <v>NA</v>
      </c>
      <c r="AJ27" s="6" t="n">
        <f aca="false">(10-(LEN(AK27)))+1</f>
        <v>10</v>
      </c>
      <c r="AK27" s="6" t="n">
        <v>0</v>
      </c>
      <c r="AL27" s="6" t="str">
        <f aca="false">IF($J27="NA","NA",IF(AND($J27&gt;1939,AK27&gt;0),"ERRO","OK"))</f>
        <v>NA</v>
      </c>
      <c r="AM27" s="6" t="n">
        <f aca="false">(10-(LEN(AN27)))+1</f>
        <v>10</v>
      </c>
      <c r="AN27" s="6" t="n">
        <v>0</v>
      </c>
      <c r="AO27" s="6" t="str">
        <f aca="false">IF($J27="NA","NA",IF(AND($J27&gt;1929,AN27&gt;0),"ERRO","OK"))</f>
        <v>NA</v>
      </c>
      <c r="AP27" s="6" t="n">
        <f aca="false">(10-(LEN(AQ27)))+1</f>
        <v>10</v>
      </c>
      <c r="AQ27" s="6" t="n">
        <v>0</v>
      </c>
      <c r="AR27" s="6" t="str">
        <f aca="false">IF($J27="NA","NA",IF(AND($J27&gt;1919,AQ27&gt;0),"ERRO","OK"))</f>
        <v>NA</v>
      </c>
      <c r="AS27" s="6" t="n">
        <f aca="false">(10-(LEN(AT27)))+1</f>
        <v>10</v>
      </c>
      <c r="AT27" s="6" t="n">
        <v>0</v>
      </c>
      <c r="AU27" s="6" t="str">
        <f aca="false">IF($J27="NA","NA",IF(AND($J27&gt;1909,AT27&gt;0),"ERRO","OK"))</f>
        <v>NA</v>
      </c>
      <c r="AV27" s="6" t="n">
        <f aca="false">(10-(LEN(AW27)))+1</f>
        <v>10</v>
      </c>
      <c r="AW27" s="6" t="n">
        <v>0</v>
      </c>
      <c r="AX27" s="6" t="str">
        <f aca="false">IF($J27="NA","NA",IF(AND($J27&gt;1899,AW27&gt;0),"ERRO","OK"))</f>
        <v>NA</v>
      </c>
    </row>
    <row r="28" customFormat="false" ht="15" hidden="false" customHeight="false" outlineLevel="0" collapsed="false">
      <c r="A28" s="7" t="n">
        <v>25</v>
      </c>
      <c r="B28" s="0" t="s">
        <v>44</v>
      </c>
      <c r="C28" s="8" t="n">
        <v>45301</v>
      </c>
      <c r="D28" s="6" t="n">
        <v>0</v>
      </c>
      <c r="E28" s="0" t="s">
        <v>16</v>
      </c>
      <c r="F28" s="0" t="s">
        <v>17</v>
      </c>
      <c r="G28" s="9" t="str">
        <f aca="false">IF(OR(N28="ERRO",Q28="ERRO",T28="ERRO",W28="ERRO",Z28="ERRO",AC28="ERRO",AF28="ERRO",AI28="ERRO",AL28="ERRO",AO28="ERRO",AR28="ERRO",AU28="ERRO",AX28="ERRO"),"ERRO","OK")</f>
        <v>OK</v>
      </c>
      <c r="H28" s="9" t="n">
        <f aca="false">COUNTIF(L28:AX28,"ERRO")</f>
        <v>0</v>
      </c>
      <c r="I28" s="9" t="s">
        <v>18</v>
      </c>
      <c r="J28" s="10" t="n">
        <v>1876</v>
      </c>
      <c r="K28" s="10" t="n">
        <v>1946</v>
      </c>
      <c r="L28" s="6" t="n">
        <f aca="false">(10-(LEN(M28)))+1</f>
        <v>8</v>
      </c>
      <c r="M28" s="6" t="n">
        <v>375</v>
      </c>
      <c r="N28" s="6" t="str">
        <f aca="false">IF($J28="NA","NA",IF(AND($J28&gt;2019,M28&gt;0),"ERRO","OK"))</f>
        <v>OK</v>
      </c>
      <c r="O28" s="6" t="n">
        <f aca="false">(10-(LEN(P28)))+1</f>
        <v>8</v>
      </c>
      <c r="P28" s="6" t="n">
        <v>103</v>
      </c>
      <c r="Q28" s="6" t="str">
        <f aca="false">IF($J28="NA","NA",IF(AND($J28&gt;2009,P28&gt;0),"ERRO","OK"))</f>
        <v>OK</v>
      </c>
      <c r="R28" s="6" t="n">
        <f aca="false">(10-(LEN(S28)))+1</f>
        <v>8</v>
      </c>
      <c r="S28" s="6" t="n">
        <v>168</v>
      </c>
      <c r="T28" s="6" t="str">
        <f aca="false">IF($J28="NA","NA",IF(AND($J28&gt;1999,S28&gt;0),"ERRO","OK"))</f>
        <v>OK</v>
      </c>
      <c r="U28" s="6" t="n">
        <f aca="false">(10-(LEN(V28)))+1</f>
        <v>8</v>
      </c>
      <c r="V28" s="6" t="n">
        <v>230</v>
      </c>
      <c r="W28" s="6" t="str">
        <f aca="false">IF($J28="NA","NA",IF(AND($J28&gt;1989,V28&gt;0),"ERRO","OK"))</f>
        <v>OK</v>
      </c>
      <c r="X28" s="6" t="n">
        <f aca="false">(10-(LEN(Y28)))+1</f>
        <v>8</v>
      </c>
      <c r="Y28" s="6" t="n">
        <v>696</v>
      </c>
      <c r="Z28" s="6" t="str">
        <f aca="false">IF($J28="NA","NA",IF(AND($J28&gt;1979,Y28&gt;0),"ERRO","OK"))</f>
        <v>OK</v>
      </c>
      <c r="AA28" s="6" t="n">
        <f aca="false">(10-(LEN(AB28)))+1</f>
        <v>8</v>
      </c>
      <c r="AB28" s="6" t="n">
        <v>234</v>
      </c>
      <c r="AC28" s="6" t="str">
        <f aca="false">IF($J28="NA","NA",IF(AND($J28&gt;1969,AB28&gt;0),"ERRO","OK"))</f>
        <v>OK</v>
      </c>
      <c r="AD28" s="6" t="n">
        <f aca="false">(10-(LEN(AE28)))+1</f>
        <v>8</v>
      </c>
      <c r="AE28" s="6" t="n">
        <v>538</v>
      </c>
      <c r="AF28" s="6" t="str">
        <f aca="false">IF($J28="NA","NA",IF(AND($J28&gt;1959,AE28&gt;0),"ERRO","OK"))</f>
        <v>OK</v>
      </c>
      <c r="AG28" s="6" t="n">
        <f aca="false">(10-(LEN(AH28)))+1</f>
        <v>8</v>
      </c>
      <c r="AH28" s="6" t="n">
        <v>110</v>
      </c>
      <c r="AI28" s="6" t="str">
        <f aca="false">IF($J28="NA","NA",IF(AND($J28&gt;1949,AH28&gt;0),"ERRO","OK"))</f>
        <v>OK</v>
      </c>
      <c r="AJ28" s="6" t="n">
        <f aca="false">(10-(LEN(AK28)))+1</f>
        <v>8</v>
      </c>
      <c r="AK28" s="6" t="n">
        <v>139</v>
      </c>
      <c r="AL28" s="6" t="str">
        <f aca="false">IF($J28="NA","NA",IF(AND($J28&gt;1939,AK28&gt;0),"ERRO","OK"))</f>
        <v>OK</v>
      </c>
      <c r="AM28" s="6" t="n">
        <f aca="false">(10-(LEN(AN28)))+1</f>
        <v>7</v>
      </c>
      <c r="AN28" s="6" t="n">
        <v>1523</v>
      </c>
      <c r="AO28" s="6" t="str">
        <f aca="false">IF($J28="NA","NA",IF(AND($J28&gt;1929,AN28&gt;0),"ERRO","OK"))</f>
        <v>OK</v>
      </c>
      <c r="AP28" s="6" t="n">
        <f aca="false">(10-(LEN(AQ28)))+1</f>
        <v>7</v>
      </c>
      <c r="AQ28" s="6" t="n">
        <v>7009</v>
      </c>
      <c r="AR28" s="6" t="str">
        <f aca="false">IF($J28="NA","NA",IF(AND($J28&gt;1919,AQ28&gt;0),"ERRO","OK"))</f>
        <v>OK</v>
      </c>
      <c r="AS28" s="6" t="n">
        <f aca="false">(10-(LEN(AT28)))+1</f>
        <v>10</v>
      </c>
      <c r="AT28" s="6" t="n">
        <v>0</v>
      </c>
      <c r="AU28" s="6" t="str">
        <f aca="false">IF($J28="NA","NA",IF(AND($J28&gt;1909,AT28&gt;0),"ERRO","OK"))</f>
        <v>OK</v>
      </c>
      <c r="AV28" s="6" t="n">
        <f aca="false">(10-(LEN(AW28)))+1</f>
        <v>10</v>
      </c>
      <c r="AW28" s="6" t="n">
        <v>0</v>
      </c>
      <c r="AX28" s="6" t="str">
        <f aca="false">IF($J28="NA","NA",IF(AND($J28&gt;1899,AW28&gt;0),"ERRO","OK"))</f>
        <v>OK</v>
      </c>
    </row>
    <row r="29" customFormat="false" ht="15" hidden="false" customHeight="false" outlineLevel="0" collapsed="false">
      <c r="A29" s="7" t="n">
        <v>26</v>
      </c>
      <c r="B29" s="0" t="s">
        <v>45</v>
      </c>
      <c r="C29" s="8" t="n">
        <v>45301</v>
      </c>
      <c r="D29" s="6" t="n">
        <v>0</v>
      </c>
      <c r="E29" s="0" t="s">
        <v>16</v>
      </c>
      <c r="F29" s="0" t="s">
        <v>17</v>
      </c>
      <c r="G29" s="9" t="str">
        <f aca="false">IF(OR(N29="ERRO",Q29="ERRO",T29="ERRO",W29="ERRO",Z29="ERRO",AC29="ERRO",AF29="ERRO",AI29="ERRO",AL29="ERRO",AO29="ERRO",AR29="ERRO",AU29="ERRO",AX29="ERRO"),"ERRO","OK")</f>
        <v>OK</v>
      </c>
      <c r="H29" s="9" t="n">
        <f aca="false">COUNTIF(L29:AX29,"ERRO")</f>
        <v>0</v>
      </c>
      <c r="I29" s="9" t="s">
        <v>18</v>
      </c>
      <c r="J29" s="10" t="n">
        <v>1877</v>
      </c>
      <c r="K29" s="10" t="n">
        <v>1952</v>
      </c>
      <c r="L29" s="6" t="n">
        <f aca="false">(10-(LEN(M29)))+1</f>
        <v>7</v>
      </c>
      <c r="M29" s="6" t="n">
        <v>3915</v>
      </c>
      <c r="N29" s="6" t="str">
        <f aca="false">IF($J29="NA","NA",IF(AND($J29&gt;2019,M29&gt;0),"ERRO","OK"))</f>
        <v>OK</v>
      </c>
      <c r="O29" s="6" t="n">
        <f aca="false">(10-(LEN(P29)))+1</f>
        <v>7</v>
      </c>
      <c r="P29" s="6" t="n">
        <v>7856</v>
      </c>
      <c r="Q29" s="6" t="str">
        <f aca="false">IF($J29="NA","NA",IF(AND($J29&gt;2009,P29&gt;0),"ERRO","OK"))</f>
        <v>OK</v>
      </c>
      <c r="R29" s="6" t="n">
        <f aca="false">(10-(LEN(S29)))+1</f>
        <v>7</v>
      </c>
      <c r="S29" s="6" t="n">
        <v>7983</v>
      </c>
      <c r="T29" s="6" t="str">
        <f aca="false">IF($J29="NA","NA",IF(AND($J29&gt;1999,S29&gt;0),"ERRO","OK"))</f>
        <v>OK</v>
      </c>
      <c r="U29" s="6" t="n">
        <f aca="false">(10-(LEN(V29)))+1</f>
        <v>7</v>
      </c>
      <c r="V29" s="6" t="n">
        <v>9566</v>
      </c>
      <c r="W29" s="6" t="str">
        <f aca="false">IF($J29="NA","NA",IF(AND($J29&gt;1989,V29&gt;0),"ERRO","OK"))</f>
        <v>OK</v>
      </c>
      <c r="X29" s="6" t="n">
        <f aca="false">(10-(LEN(Y29)))+1</f>
        <v>7</v>
      </c>
      <c r="Y29" s="6" t="n">
        <v>8347</v>
      </c>
      <c r="Z29" s="6" t="str">
        <f aca="false">IF($J29="NA","NA",IF(AND($J29&gt;1979,Y29&gt;0),"ERRO","OK"))</f>
        <v>OK</v>
      </c>
      <c r="AA29" s="6" t="n">
        <f aca="false">(10-(LEN(AB29)))+1</f>
        <v>7</v>
      </c>
      <c r="AB29" s="6" t="n">
        <v>2813</v>
      </c>
      <c r="AC29" s="6" t="str">
        <f aca="false">IF($J29="NA","NA",IF(AND($J29&gt;1969,AB29&gt;0),"ERRO","OK"))</f>
        <v>OK</v>
      </c>
      <c r="AD29" s="6" t="n">
        <f aca="false">(10-(LEN(AE29)))+1</f>
        <v>7</v>
      </c>
      <c r="AE29" s="6" t="n">
        <v>1884</v>
      </c>
      <c r="AF29" s="6" t="str">
        <f aca="false">IF($J29="NA","NA",IF(AND($J29&gt;1959,AE29&gt;0),"ERRO","OK"))</f>
        <v>OK</v>
      </c>
      <c r="AG29" s="6" t="n">
        <f aca="false">(10-(LEN(AH29)))+1</f>
        <v>7</v>
      </c>
      <c r="AH29" s="6" t="n">
        <v>3635</v>
      </c>
      <c r="AI29" s="6" t="str">
        <f aca="false">IF($J29="NA","NA",IF(AND($J29&gt;1949,AH29&gt;0),"ERRO","OK"))</f>
        <v>OK</v>
      </c>
      <c r="AJ29" s="6" t="n">
        <f aca="false">(10-(LEN(AK29)))+1</f>
        <v>7</v>
      </c>
      <c r="AK29" s="6" t="n">
        <v>2646</v>
      </c>
      <c r="AL29" s="6" t="str">
        <f aca="false">IF($J29="NA","NA",IF(AND($J29&gt;1939,AK29&gt;0),"ERRO","OK"))</f>
        <v>OK</v>
      </c>
      <c r="AM29" s="6" t="n">
        <f aca="false">(10-(LEN(AN29)))+1</f>
        <v>7</v>
      </c>
      <c r="AN29" s="6" t="n">
        <v>1219</v>
      </c>
      <c r="AO29" s="6" t="str">
        <f aca="false">IF($J29="NA","NA",IF(AND($J29&gt;1929,AN29&gt;0),"ERRO","OK"))</f>
        <v>OK</v>
      </c>
      <c r="AP29" s="6" t="n">
        <f aca="false">(10-(LEN(AQ29)))+1</f>
        <v>10</v>
      </c>
      <c r="AQ29" s="6" t="n">
        <v>0</v>
      </c>
      <c r="AR29" s="6" t="str">
        <f aca="false">IF($J29="NA","NA",IF(AND($J29&gt;1919,AQ29&gt;0),"ERRO","OK"))</f>
        <v>OK</v>
      </c>
      <c r="AS29" s="6" t="n">
        <f aca="false">(10-(LEN(AT29)))+1</f>
        <v>7</v>
      </c>
      <c r="AT29" s="6" t="n">
        <v>1134</v>
      </c>
      <c r="AU29" s="6" t="str">
        <f aca="false">IF($J29="NA","NA",IF(AND($J29&gt;1909,AT29&gt;0),"ERRO","OK"))</f>
        <v>OK</v>
      </c>
      <c r="AV29" s="6" t="n">
        <f aca="false">(10-(LEN(AW29)))+1</f>
        <v>10</v>
      </c>
      <c r="AW29" s="6" t="n">
        <v>0</v>
      </c>
      <c r="AX29" s="6" t="str">
        <f aca="false">IF($J29="NA","NA",IF(AND($J29&gt;1899,AW29&gt;0),"ERRO","OK"))</f>
        <v>OK</v>
      </c>
    </row>
    <row r="30" customFormat="false" ht="15" hidden="false" customHeight="false" outlineLevel="0" collapsed="false">
      <c r="A30" s="7" t="n">
        <v>27</v>
      </c>
      <c r="B30" s="0" t="s">
        <v>46</v>
      </c>
      <c r="C30" s="8" t="n">
        <v>45301</v>
      </c>
      <c r="D30" s="6" t="n">
        <v>0</v>
      </c>
      <c r="E30" s="0" t="s">
        <v>16</v>
      </c>
      <c r="F30" s="0" t="s">
        <v>17</v>
      </c>
      <c r="G30" s="9" t="str">
        <f aca="false">IF(OR(N30="ERRO",Q30="ERRO",T30="ERRO",W30="ERRO",Z30="ERRO",AC30="ERRO",AF30="ERRO",AI30="ERRO",AL30="ERRO",AO30="ERRO",AR30="ERRO",AU30="ERRO",AX30="ERRO"),"ERRO","OK")</f>
        <v>OK</v>
      </c>
      <c r="H30" s="9" t="n">
        <f aca="false">COUNTIF(L30:AX30,"ERRO")</f>
        <v>0</v>
      </c>
      <c r="I30" s="9" t="s">
        <v>18</v>
      </c>
      <c r="J30" s="10" t="n">
        <v>1874</v>
      </c>
      <c r="K30" s="10" t="n">
        <v>1955</v>
      </c>
      <c r="L30" s="6" t="n">
        <f aca="false">(10-(LEN(M30)))+1</f>
        <v>8</v>
      </c>
      <c r="M30" s="6" t="n">
        <v>833</v>
      </c>
      <c r="N30" s="6" t="str">
        <f aca="false">IF($J30="NA","NA",IF(AND($J30&gt;2019,M30&gt;0),"ERRO","OK"))</f>
        <v>OK</v>
      </c>
      <c r="O30" s="6" t="n">
        <f aca="false">(10-(LEN(P30)))+1</f>
        <v>8</v>
      </c>
      <c r="P30" s="6" t="n">
        <v>858</v>
      </c>
      <c r="Q30" s="6" t="str">
        <f aca="false">IF($J30="NA","NA",IF(AND($J30&gt;2009,P30&gt;0),"ERRO","OK"))</f>
        <v>OK</v>
      </c>
      <c r="R30" s="6" t="n">
        <f aca="false">(10-(LEN(S30)))+1</f>
        <v>7</v>
      </c>
      <c r="S30" s="6" t="n">
        <v>1050</v>
      </c>
      <c r="T30" s="6" t="str">
        <f aca="false">IF($J30="NA","NA",IF(AND($J30&gt;1999,S30&gt;0),"ERRO","OK"))</f>
        <v>OK</v>
      </c>
      <c r="U30" s="6" t="n">
        <f aca="false">(10-(LEN(V30)))+1</f>
        <v>7</v>
      </c>
      <c r="V30" s="6" t="n">
        <v>1380</v>
      </c>
      <c r="W30" s="6" t="str">
        <f aca="false">IF($J30="NA","NA",IF(AND($J30&gt;1989,V30&gt;0),"ERRO","OK"))</f>
        <v>OK</v>
      </c>
      <c r="X30" s="6" t="n">
        <f aca="false">(10-(LEN(Y30)))+1</f>
        <v>8</v>
      </c>
      <c r="Y30" s="6" t="n">
        <v>696</v>
      </c>
      <c r="Z30" s="6" t="str">
        <f aca="false">IF($J30="NA","NA",IF(AND($J30&gt;1979,Y30&gt;0),"ERRO","OK"))</f>
        <v>OK</v>
      </c>
      <c r="AA30" s="6" t="n">
        <f aca="false">(10-(LEN(AB30)))+1</f>
        <v>8</v>
      </c>
      <c r="AB30" s="6" t="n">
        <v>762</v>
      </c>
      <c r="AC30" s="6" t="str">
        <f aca="false">IF($J30="NA","NA",IF(AND($J30&gt;1969,AB30&gt;0),"ERRO","OK"))</f>
        <v>OK</v>
      </c>
      <c r="AD30" s="6" t="n">
        <f aca="false">(10-(LEN(AE30)))+1</f>
        <v>7</v>
      </c>
      <c r="AE30" s="6" t="n">
        <v>1794</v>
      </c>
      <c r="AF30" s="6" t="str">
        <f aca="false">IF($J30="NA","NA",IF(AND($J30&gt;1959,AE30&gt;0),"ERRO","OK"))</f>
        <v>OK</v>
      </c>
      <c r="AG30" s="6" t="n">
        <f aca="false">(10-(LEN(AH30)))+1</f>
        <v>7</v>
      </c>
      <c r="AH30" s="6" t="n">
        <v>1652</v>
      </c>
      <c r="AI30" s="6" t="str">
        <f aca="false">IF($J30="NA","NA",IF(AND($J30&gt;1949,AH30&gt;0),"ERRO","OK"))</f>
        <v>OK</v>
      </c>
      <c r="AJ30" s="6" t="n">
        <f aca="false">(10-(LEN(AK30)))+1</f>
        <v>10</v>
      </c>
      <c r="AK30" s="6" t="n">
        <v>0</v>
      </c>
      <c r="AL30" s="6" t="str">
        <f aca="false">IF($J30="NA","NA",IF(AND($J30&gt;1939,AK30&gt;0),"ERRO","OK"))</f>
        <v>OK</v>
      </c>
      <c r="AM30" s="6" t="n">
        <f aca="false">(10-(LEN(AN30)))+1</f>
        <v>10</v>
      </c>
      <c r="AN30" s="6" t="n">
        <v>0</v>
      </c>
      <c r="AO30" s="6" t="str">
        <f aca="false">IF($J30="NA","NA",IF(AND($J30&gt;1929,AN30&gt;0),"ERRO","OK"))</f>
        <v>OK</v>
      </c>
      <c r="AP30" s="6" t="n">
        <f aca="false">(10-(LEN(AQ30)))+1</f>
        <v>10</v>
      </c>
      <c r="AQ30" s="6" t="n">
        <v>0</v>
      </c>
      <c r="AR30" s="6" t="str">
        <f aca="false">IF($J30="NA","NA",IF(AND($J30&gt;1919,AQ30&gt;0),"ERRO","OK"))</f>
        <v>OK</v>
      </c>
      <c r="AS30" s="6" t="n">
        <f aca="false">(10-(LEN(AT30)))+1</f>
        <v>8</v>
      </c>
      <c r="AT30" s="6" t="n">
        <v>928</v>
      </c>
      <c r="AU30" s="6" t="str">
        <f aca="false">IF($J30="NA","NA",IF(AND($J30&gt;1909,AT30&gt;0),"ERRO","OK"))</f>
        <v>OK</v>
      </c>
      <c r="AV30" s="6" t="n">
        <f aca="false">(10-(LEN(AW30)))+1</f>
        <v>10</v>
      </c>
      <c r="AW30" s="6" t="n">
        <v>0</v>
      </c>
      <c r="AX30" s="6" t="str">
        <f aca="false">IF($J30="NA","NA",IF(AND($J30&gt;1899,AW30&gt;0),"ERRO","OK"))</f>
        <v>OK</v>
      </c>
    </row>
    <row r="31" customFormat="false" ht="15" hidden="false" customHeight="false" outlineLevel="0" collapsed="false">
      <c r="A31" s="7" t="n">
        <v>28</v>
      </c>
      <c r="B31" s="0" t="s">
        <v>47</v>
      </c>
      <c r="C31" s="8" t="n">
        <v>45301</v>
      </c>
      <c r="D31" s="6" t="n">
        <v>0</v>
      </c>
      <c r="E31" s="0" t="s">
        <v>16</v>
      </c>
      <c r="F31" s="0" t="s">
        <v>17</v>
      </c>
      <c r="G31" s="9" t="str">
        <f aca="false">IF(OR(N31="ERRO",Q31="ERRO",T31="ERRO",W31="ERRO",Z31="ERRO",AC31="ERRO",AF31="ERRO",AI31="ERRO",AL31="ERRO",AO31="ERRO",AR31="ERRO",AU31="ERRO",AX31="ERRO"),"ERRO","OK")</f>
        <v>OK</v>
      </c>
      <c r="H31" s="9" t="n">
        <f aca="false">COUNTIF(L31:AX31,"ERRO")</f>
        <v>0</v>
      </c>
      <c r="I31" s="9" t="s">
        <v>18</v>
      </c>
      <c r="J31" s="10" t="n">
        <v>1870</v>
      </c>
      <c r="K31" s="10" t="n">
        <v>1944</v>
      </c>
      <c r="L31" s="6" t="n">
        <f aca="false">(10-(LEN(M31)))+1</f>
        <v>9</v>
      </c>
      <c r="M31" s="6" t="n">
        <v>83</v>
      </c>
      <c r="N31" s="6" t="str">
        <f aca="false">IF($J31="NA","NA",IF(AND($J31&gt;2019,M31&gt;0),"ERRO","OK"))</f>
        <v>OK</v>
      </c>
      <c r="O31" s="6" t="n">
        <f aca="false">(10-(LEN(P31)))+1</f>
        <v>9</v>
      </c>
      <c r="P31" s="6" t="n">
        <v>69</v>
      </c>
      <c r="Q31" s="6" t="str">
        <f aca="false">IF($J31="NA","NA",IF(AND($J31&gt;2009,P31&gt;0),"ERRO","OK"))</f>
        <v>OK</v>
      </c>
      <c r="R31" s="6" t="n">
        <f aca="false">(10-(LEN(S31)))+1</f>
        <v>8</v>
      </c>
      <c r="S31" s="6" t="n">
        <v>462</v>
      </c>
      <c r="T31" s="6" t="str">
        <f aca="false">IF($J31="NA","NA",IF(AND($J31&gt;1999,S31&gt;0),"ERRO","OK"))</f>
        <v>OK</v>
      </c>
      <c r="U31" s="6" t="n">
        <f aca="false">(10-(LEN(V31)))+1</f>
        <v>8</v>
      </c>
      <c r="V31" s="6" t="n">
        <v>276</v>
      </c>
      <c r="W31" s="6" t="str">
        <f aca="false">IF($J31="NA","NA",IF(AND($J31&gt;1989,V31&gt;0),"ERRO","OK"))</f>
        <v>OK</v>
      </c>
      <c r="X31" s="6" t="n">
        <f aca="false">(10-(LEN(Y31)))+1</f>
        <v>9</v>
      </c>
      <c r="Y31" s="6" t="n">
        <v>54</v>
      </c>
      <c r="Z31" s="6" t="str">
        <f aca="false">IF($J31="NA","NA",IF(AND($J31&gt;1979,Y31&gt;0),"ERRO","OK"))</f>
        <v>OK</v>
      </c>
      <c r="AA31" s="6" t="n">
        <f aca="false">(10-(LEN(AB31)))+1</f>
        <v>8</v>
      </c>
      <c r="AB31" s="6" t="n">
        <v>293</v>
      </c>
      <c r="AC31" s="6" t="str">
        <f aca="false">IF($J31="NA","NA",IF(AND($J31&gt;1969,AB31&gt;0),"ERRO","OK"))</f>
        <v>OK</v>
      </c>
      <c r="AD31" s="6" t="n">
        <f aca="false">(10-(LEN(AE31)))+1</f>
        <v>8</v>
      </c>
      <c r="AE31" s="6" t="n">
        <v>718</v>
      </c>
      <c r="AF31" s="6" t="str">
        <f aca="false">IF($J31="NA","NA",IF(AND($J31&gt;1959,AE31&gt;0),"ERRO","OK"))</f>
        <v>OK</v>
      </c>
      <c r="AG31" s="6" t="n">
        <f aca="false">(10-(LEN(AH31)))+1</f>
        <v>8</v>
      </c>
      <c r="AH31" s="6" t="n">
        <v>110</v>
      </c>
      <c r="AI31" s="6" t="str">
        <f aca="false">IF($J31="NA","NA",IF(AND($J31&gt;1949,AH31&gt;0),"ERRO","OK"))</f>
        <v>OK</v>
      </c>
      <c r="AJ31" s="6" t="n">
        <f aca="false">(10-(LEN(AK31)))+1</f>
        <v>10</v>
      </c>
      <c r="AK31" s="6" t="n">
        <v>0</v>
      </c>
      <c r="AL31" s="6" t="str">
        <f aca="false">IF($J31="NA","NA",IF(AND($J31&gt;1939,AK31&gt;0),"ERRO","OK"))</f>
        <v>OK</v>
      </c>
      <c r="AM31" s="6" t="n">
        <f aca="false">(10-(LEN(AN31)))+1</f>
        <v>10</v>
      </c>
      <c r="AN31" s="6" t="n">
        <v>0</v>
      </c>
      <c r="AO31" s="6" t="str">
        <f aca="false">IF($J31="NA","NA",IF(AND($J31&gt;1929,AN31&gt;0),"ERRO","OK"))</f>
        <v>OK</v>
      </c>
      <c r="AP31" s="6" t="n">
        <f aca="false">(10-(LEN(AQ31)))+1</f>
        <v>10</v>
      </c>
      <c r="AQ31" s="6" t="n">
        <v>0</v>
      </c>
      <c r="AR31" s="6" t="str">
        <f aca="false">IF($J31="NA","NA",IF(AND($J31&gt;1919,AQ31&gt;0),"ERRO","OK"))</f>
        <v>OK</v>
      </c>
      <c r="AS31" s="6" t="n">
        <f aca="false">(10-(LEN(AT31)))+1</f>
        <v>10</v>
      </c>
      <c r="AT31" s="6" t="n">
        <v>0</v>
      </c>
      <c r="AU31" s="6" t="str">
        <f aca="false">IF($J31="NA","NA",IF(AND($J31&gt;1909,AT31&gt;0),"ERRO","OK"))</f>
        <v>OK</v>
      </c>
      <c r="AV31" s="6" t="n">
        <f aca="false">(10-(LEN(AW31)))+1</f>
        <v>10</v>
      </c>
      <c r="AW31" s="6" t="n">
        <v>0</v>
      </c>
      <c r="AX31" s="6" t="str">
        <f aca="false">IF($J31="NA","NA",IF(AND($J31&gt;1899,AW31&gt;0),"ERRO","OK"))</f>
        <v>OK</v>
      </c>
    </row>
    <row r="32" customFormat="false" ht="15" hidden="false" customHeight="false" outlineLevel="0" collapsed="false">
      <c r="A32" s="7" t="n">
        <v>29</v>
      </c>
      <c r="B32" s="0" t="s">
        <v>48</v>
      </c>
      <c r="C32" s="8" t="n">
        <v>45301</v>
      </c>
      <c r="D32" s="6" t="n">
        <v>0</v>
      </c>
      <c r="E32" s="0" t="s">
        <v>16</v>
      </c>
      <c r="F32" s="0" t="s">
        <v>17</v>
      </c>
      <c r="G32" s="9" t="str">
        <f aca="false">IF(OR(N32="ERRO",Q32="ERRO",T32="ERRO",W32="ERRO",Z32="ERRO",AC32="ERRO",AF32="ERRO",AI32="ERRO",AL32="ERRO",AO32="ERRO",AR32="ERRO",AU32="ERRO",AX32="ERRO"),"ERRO","OK")</f>
        <v>OK</v>
      </c>
      <c r="H32" s="9" t="n">
        <f aca="false">COUNTIF(L32:AX32,"ERRO")</f>
        <v>0</v>
      </c>
      <c r="I32" s="9" t="s">
        <v>18</v>
      </c>
      <c r="J32" s="10" t="n">
        <v>1871</v>
      </c>
      <c r="K32" s="10" t="n">
        <v>1944</v>
      </c>
      <c r="L32" s="6" t="n">
        <f aca="false">(10-(LEN(M32)))+1</f>
        <v>7</v>
      </c>
      <c r="M32" s="6" t="n">
        <v>4081</v>
      </c>
      <c r="N32" s="6" t="str">
        <f aca="false">IF($J32="NA","NA",IF(AND($J32&gt;2019,M32&gt;0),"ERRO","OK"))</f>
        <v>OK</v>
      </c>
      <c r="O32" s="6" t="n">
        <f aca="false">(10-(LEN(P32)))+1</f>
        <v>7</v>
      </c>
      <c r="P32" s="6" t="n">
        <v>4288</v>
      </c>
      <c r="Q32" s="6" t="str">
        <f aca="false">IF($J32="NA","NA",IF(AND($J32&gt;2009,P32&gt;0),"ERRO","OK"))</f>
        <v>OK</v>
      </c>
      <c r="R32" s="6" t="n">
        <f aca="false">(10-(LEN(S32)))+1</f>
        <v>7</v>
      </c>
      <c r="S32" s="6" t="n">
        <v>8487</v>
      </c>
      <c r="T32" s="6" t="str">
        <f aca="false">IF($J32="NA","NA",IF(AND($J32&gt;1999,S32&gt;0),"ERRO","OK"))</f>
        <v>OK</v>
      </c>
      <c r="U32" s="6" t="n">
        <f aca="false">(10-(LEN(V32)))+1</f>
        <v>7</v>
      </c>
      <c r="V32" s="6" t="n">
        <v>3587</v>
      </c>
      <c r="W32" s="6" t="str">
        <f aca="false">IF($J32="NA","NA",IF(AND($J32&gt;1989,V32&gt;0),"ERRO","OK"))</f>
        <v>OK</v>
      </c>
      <c r="X32" s="6" t="n">
        <f aca="false">(10-(LEN(Y32)))+1</f>
        <v>7</v>
      </c>
      <c r="Y32" s="6" t="n">
        <v>2997</v>
      </c>
      <c r="Z32" s="6" t="str">
        <f aca="false">IF($J32="NA","NA",IF(AND($J32&gt;1979,Y32&gt;0),"ERRO","OK"))</f>
        <v>OK</v>
      </c>
      <c r="AA32" s="6" t="n">
        <f aca="false">(10-(LEN(AB32)))+1</f>
        <v>7</v>
      </c>
      <c r="AB32" s="6" t="n">
        <v>2930</v>
      </c>
      <c r="AC32" s="6" t="str">
        <f aca="false">IF($J32="NA","NA",IF(AND($J32&gt;1969,AB32&gt;0),"ERRO","OK"))</f>
        <v>OK</v>
      </c>
      <c r="AD32" s="6" t="n">
        <f aca="false">(10-(LEN(AE32)))+1</f>
        <v>7</v>
      </c>
      <c r="AE32" s="6" t="n">
        <v>4485</v>
      </c>
      <c r="AF32" s="6" t="str">
        <f aca="false">IF($J32="NA","NA",IF(AND($J32&gt;1959,AE32&gt;0),"ERRO","OK"))</f>
        <v>OK</v>
      </c>
      <c r="AG32" s="6" t="n">
        <f aca="false">(10-(LEN(AH32)))+1</f>
        <v>7</v>
      </c>
      <c r="AH32" s="6" t="n">
        <v>4626</v>
      </c>
      <c r="AI32" s="6" t="str">
        <f aca="false">IF($J32="NA","NA",IF(AND($J32&gt;1949,AH32&gt;0),"ERRO","OK"))</f>
        <v>OK</v>
      </c>
      <c r="AJ32" s="6" t="n">
        <f aca="false">(10-(LEN(AK32)))+1</f>
        <v>7</v>
      </c>
      <c r="AK32" s="6" t="n">
        <v>2924</v>
      </c>
      <c r="AL32" s="6" t="str">
        <f aca="false">IF($J32="NA","NA",IF(AND($J32&gt;1939,AK32&gt;0),"ERRO","OK"))</f>
        <v>OK</v>
      </c>
      <c r="AM32" s="6" t="n">
        <f aca="false">(10-(LEN(AN32)))+1</f>
        <v>8</v>
      </c>
      <c r="AN32" s="6" t="n">
        <v>609</v>
      </c>
      <c r="AO32" s="6" t="str">
        <f aca="false">IF($J32="NA","NA",IF(AND($J32&gt;1929,AN32&gt;0),"ERRO","OK"))</f>
        <v>OK</v>
      </c>
      <c r="AP32" s="6" t="n">
        <f aca="false">(10-(LEN(AQ32)))+1</f>
        <v>8</v>
      </c>
      <c r="AQ32" s="6" t="n">
        <v>701</v>
      </c>
      <c r="AR32" s="6" t="str">
        <f aca="false">IF($J32="NA","NA",IF(AND($J32&gt;1919,AQ32&gt;0),"ERRO","OK"))</f>
        <v>OK</v>
      </c>
      <c r="AS32" s="6" t="n">
        <f aca="false">(10-(LEN(AT32)))+1</f>
        <v>10</v>
      </c>
      <c r="AT32" s="6" t="n">
        <v>0</v>
      </c>
      <c r="AU32" s="6" t="str">
        <f aca="false">IF($J32="NA","NA",IF(AND($J32&gt;1909,AT32&gt;0),"ERRO","OK"))</f>
        <v>OK</v>
      </c>
      <c r="AV32" s="6" t="n">
        <f aca="false">(10-(LEN(AW32)))+1</f>
        <v>10</v>
      </c>
      <c r="AW32" s="6" t="n">
        <v>0</v>
      </c>
      <c r="AX32" s="6" t="str">
        <f aca="false">IF($J32="NA","NA",IF(AND($J32&gt;1899,AW32&gt;0),"ERRO","OK"))</f>
        <v>OK</v>
      </c>
    </row>
    <row r="33" customFormat="false" ht="15" hidden="false" customHeight="false" outlineLevel="0" collapsed="false">
      <c r="A33" s="7" t="n">
        <v>30</v>
      </c>
      <c r="B33" s="0" t="s">
        <v>49</v>
      </c>
      <c r="C33" s="8" t="n">
        <v>45301</v>
      </c>
      <c r="D33" s="6" t="n">
        <v>0</v>
      </c>
      <c r="E33" s="0" t="s">
        <v>16</v>
      </c>
      <c r="F33" s="0" t="s">
        <v>17</v>
      </c>
      <c r="G33" s="9" t="str">
        <f aca="false">IF(OR(N33="ERRO",Q33="ERRO",T33="ERRO",W33="ERRO",Z33="ERRO",AC33="ERRO",AF33="ERRO",AI33="ERRO",AL33="ERRO",AO33="ERRO",AR33="ERRO",AU33="ERRO",AX33="ERRO"),"ERRO","OK")</f>
        <v>OK</v>
      </c>
      <c r="H33" s="9" t="n">
        <f aca="false">COUNTIF(L33:AX33,"ERRO")</f>
        <v>0</v>
      </c>
      <c r="I33" s="9" t="s">
        <v>18</v>
      </c>
      <c r="J33" s="10" t="n">
        <v>1882</v>
      </c>
      <c r="K33" s="10" t="n">
        <v>1928</v>
      </c>
      <c r="L33" s="6" t="n">
        <f aca="false">(10-(LEN(M33)))+1</f>
        <v>7</v>
      </c>
      <c r="M33" s="6" t="n">
        <v>3290</v>
      </c>
      <c r="N33" s="6" t="str">
        <f aca="false">IF($J33="NA","NA",IF(AND($J33&gt;2019,M33&gt;0),"ERRO","OK"))</f>
        <v>OK</v>
      </c>
      <c r="O33" s="6" t="n">
        <f aca="false">(10-(LEN(P33)))+1</f>
        <v>7</v>
      </c>
      <c r="P33" s="6" t="n">
        <v>5454</v>
      </c>
      <c r="Q33" s="6" t="str">
        <f aca="false">IF($J33="NA","NA",IF(AND($J33&gt;2009,P33&gt;0),"ERRO","OK"))</f>
        <v>OK</v>
      </c>
      <c r="R33" s="6" t="n">
        <f aca="false">(10-(LEN(S33)))+1</f>
        <v>7</v>
      </c>
      <c r="S33" s="6" t="n">
        <v>6807</v>
      </c>
      <c r="T33" s="6" t="str">
        <f aca="false">IF($J33="NA","NA",IF(AND($J33&gt;1999,S33&gt;0),"ERRO","OK"))</f>
        <v>OK</v>
      </c>
      <c r="U33" s="6" t="n">
        <f aca="false">(10-(LEN(V33)))+1</f>
        <v>6</v>
      </c>
      <c r="V33" s="6" t="n">
        <v>35414</v>
      </c>
      <c r="W33" s="6" t="str">
        <f aca="false">IF($J33="NA","NA",IF(AND($J33&gt;1989,V33&gt;0),"ERRO","OK"))</f>
        <v>OK</v>
      </c>
      <c r="X33" s="6" t="n">
        <f aca="false">(10-(LEN(Y33)))+1</f>
        <v>7</v>
      </c>
      <c r="Y33" s="6" t="n">
        <v>4655</v>
      </c>
      <c r="Z33" s="6" t="str">
        <f aca="false">IF($J33="NA","NA",IF(AND($J33&gt;1979,Y33&gt;0),"ERRO","OK"))</f>
        <v>OK</v>
      </c>
      <c r="AA33" s="6" t="n">
        <f aca="false">(10-(LEN(AB33)))+1</f>
        <v>7</v>
      </c>
      <c r="AB33" s="6" t="n">
        <v>8907</v>
      </c>
      <c r="AC33" s="6" t="str">
        <f aca="false">IF($J33="NA","NA",IF(AND($J33&gt;1969,AB33&gt;0),"ERRO","OK"))</f>
        <v>OK</v>
      </c>
      <c r="AD33" s="6" t="n">
        <f aca="false">(10-(LEN(AE33)))+1</f>
        <v>6</v>
      </c>
      <c r="AE33" s="6" t="n">
        <v>16685</v>
      </c>
      <c r="AF33" s="6" t="str">
        <f aca="false">IF($J33="NA","NA",IF(AND($J33&gt;1959,AE33&gt;0),"ERRO","OK"))</f>
        <v>OK</v>
      </c>
      <c r="AG33" s="6" t="n">
        <f aca="false">(10-(LEN(AH33)))+1</f>
        <v>6</v>
      </c>
      <c r="AH33" s="6" t="n">
        <v>39099</v>
      </c>
      <c r="AI33" s="6" t="str">
        <f aca="false">IF($J33="NA","NA",IF(AND($J33&gt;1949,AH33&gt;0),"ERRO","OK"))</f>
        <v>OK</v>
      </c>
      <c r="AJ33" s="6" t="n">
        <f aca="false">(10-(LEN(AK33)))+1</f>
        <v>6</v>
      </c>
      <c r="AK33" s="6" t="n">
        <v>31333</v>
      </c>
      <c r="AL33" s="6" t="str">
        <f aca="false">IF($J33="NA","NA",IF(AND($J33&gt;1939,AK33&gt;0),"ERRO","OK"))</f>
        <v>OK</v>
      </c>
      <c r="AM33" s="6" t="n">
        <f aca="false">(10-(LEN(AN33)))+1</f>
        <v>6</v>
      </c>
      <c r="AN33" s="6" t="n">
        <v>20565</v>
      </c>
      <c r="AO33" s="6" t="str">
        <f aca="false">IF($J33="NA","NA",IF(AND($J33&gt;1929,AN33&gt;0),"ERRO","OK"))</f>
        <v>OK</v>
      </c>
      <c r="AP33" s="6" t="n">
        <f aca="false">(10-(LEN(AQ33)))+1</f>
        <v>6</v>
      </c>
      <c r="AQ33" s="6" t="n">
        <v>21929</v>
      </c>
      <c r="AR33" s="6" t="str">
        <f aca="false">IF($J33="NA","NA",IF(AND($J33&gt;1919,AQ33&gt;0),"ERRO","OK"))</f>
        <v>OK</v>
      </c>
      <c r="AS33" s="6" t="n">
        <f aca="false">(10-(LEN(AT33)))+1</f>
        <v>6</v>
      </c>
      <c r="AT33" s="6" t="n">
        <v>10622</v>
      </c>
      <c r="AU33" s="6" t="str">
        <f aca="false">IF($J33="NA","NA",IF(AND($J33&gt;1909,AT33&gt;0),"ERRO","OK"))</f>
        <v>OK</v>
      </c>
      <c r="AV33" s="6" t="n">
        <f aca="false">(10-(LEN(AW33)))+1</f>
        <v>10</v>
      </c>
      <c r="AW33" s="6" t="n">
        <v>0</v>
      </c>
      <c r="AX33" s="6" t="str">
        <f aca="false">IF($J33="NA","NA",IF(AND($J33&gt;1899,AW33&gt;0),"ERRO","OK"))</f>
        <v>OK</v>
      </c>
    </row>
    <row r="34" customFormat="false" ht="15" hidden="false" customHeight="false" outlineLevel="0" collapsed="false">
      <c r="A34" s="7" t="n">
        <v>31</v>
      </c>
      <c r="B34" s="0" t="s">
        <v>50</v>
      </c>
      <c r="C34" s="8" t="n">
        <v>45301</v>
      </c>
      <c r="D34" s="6" t="n">
        <v>0</v>
      </c>
      <c r="E34" s="0" t="s">
        <v>16</v>
      </c>
      <c r="F34" s="0" t="s">
        <v>17</v>
      </c>
      <c r="G34" s="9" t="str">
        <f aca="false">IF(OR(N34="ERRO",Q34="ERRO",T34="ERRO",W34="ERRO",Z34="ERRO",AC34="ERRO",AF34="ERRO",AI34="ERRO",AL34="ERRO",AO34="ERRO",AR34="ERRO",AU34="ERRO",AX34="ERRO"),"ERRO","OK")</f>
        <v>OK</v>
      </c>
      <c r="H34" s="9" t="n">
        <f aca="false">COUNTIF(L34:AX34,"ERRO")</f>
        <v>0</v>
      </c>
      <c r="I34" s="9" t="s">
        <v>18</v>
      </c>
      <c r="J34" s="10" t="n">
        <v>1879</v>
      </c>
      <c r="K34" s="10" t="n">
        <v>1953</v>
      </c>
      <c r="L34" s="6" t="n">
        <f aca="false">(10-(LEN(M34)))+1</f>
        <v>8</v>
      </c>
      <c r="M34" s="6" t="n">
        <v>708</v>
      </c>
      <c r="N34" s="6" t="str">
        <f aca="false">IF($J34="NA","NA",IF(AND($J34&gt;2019,M34&gt;0),"ERRO","OK"))</f>
        <v>OK</v>
      </c>
      <c r="O34" s="6" t="n">
        <f aca="false">(10-(LEN(P34)))+1</f>
        <v>7</v>
      </c>
      <c r="P34" s="6" t="n">
        <v>1647</v>
      </c>
      <c r="Q34" s="6" t="str">
        <f aca="false">IF($J34="NA","NA",IF(AND($J34&gt;2009,P34&gt;0),"ERRO","OK"))</f>
        <v>OK</v>
      </c>
      <c r="R34" s="6" t="n">
        <f aca="false">(10-(LEN(S34)))+1</f>
        <v>7</v>
      </c>
      <c r="S34" s="6" t="n">
        <v>2605</v>
      </c>
      <c r="T34" s="6" t="str">
        <f aca="false">IF($J34="NA","NA",IF(AND($J34&gt;1999,S34&gt;0),"ERRO","OK"))</f>
        <v>OK</v>
      </c>
      <c r="U34" s="6" t="n">
        <f aca="false">(10-(LEN(V34)))+1</f>
        <v>7</v>
      </c>
      <c r="V34" s="6" t="n">
        <v>1426</v>
      </c>
      <c r="W34" s="6" t="str">
        <f aca="false">IF($J34="NA","NA",IF(AND($J34&gt;1989,V34&gt;0),"ERRO","OK"))</f>
        <v>OK</v>
      </c>
      <c r="X34" s="6" t="n">
        <f aca="false">(10-(LEN(Y34)))+1</f>
        <v>8</v>
      </c>
      <c r="Y34" s="6" t="n">
        <v>589</v>
      </c>
      <c r="Z34" s="6" t="str">
        <f aca="false">IF($J34="NA","NA",IF(AND($J34&gt;1979,Y34&gt;0),"ERRO","OK"))</f>
        <v>OK</v>
      </c>
      <c r="AA34" s="6" t="n">
        <f aca="false">(10-(LEN(AB34)))+1</f>
        <v>8</v>
      </c>
      <c r="AB34" s="6" t="n">
        <v>762</v>
      </c>
      <c r="AC34" s="6" t="str">
        <f aca="false">IF($J34="NA","NA",IF(AND($J34&gt;1969,AB34&gt;0),"ERRO","OK"))</f>
        <v>OK</v>
      </c>
      <c r="AD34" s="6" t="n">
        <f aca="false">(10-(LEN(AE34)))+1</f>
        <v>8</v>
      </c>
      <c r="AE34" s="6" t="n">
        <v>269</v>
      </c>
      <c r="AF34" s="6" t="str">
        <f aca="false">IF($J34="NA","NA",IF(AND($J34&gt;1959,AE34&gt;0),"ERRO","OK"))</f>
        <v>OK</v>
      </c>
      <c r="AG34" s="6" t="n">
        <f aca="false">(10-(LEN(AH34)))+1</f>
        <v>10</v>
      </c>
      <c r="AH34" s="6" t="n">
        <v>0</v>
      </c>
      <c r="AI34" s="6" t="str">
        <f aca="false">IF($J34="NA","NA",IF(AND($J34&gt;1949,AH34&gt;0),"ERRO","OK"))</f>
        <v>OK</v>
      </c>
      <c r="AJ34" s="6" t="n">
        <f aca="false">(10-(LEN(AK34)))+1</f>
        <v>8</v>
      </c>
      <c r="AK34" s="6" t="n">
        <v>279</v>
      </c>
      <c r="AL34" s="6" t="str">
        <f aca="false">IF($J34="NA","NA",IF(AND($J34&gt;1939,AK34&gt;0),"ERRO","OK"))</f>
        <v>OK</v>
      </c>
      <c r="AM34" s="6" t="n">
        <f aca="false">(10-(LEN(AN34)))+1</f>
        <v>10</v>
      </c>
      <c r="AN34" s="6" t="n">
        <v>0</v>
      </c>
      <c r="AO34" s="6" t="str">
        <f aca="false">IF($J34="NA","NA",IF(AND($J34&gt;1929,AN34&gt;0),"ERRO","OK"))</f>
        <v>OK</v>
      </c>
      <c r="AP34" s="6" t="n">
        <f aca="false">(10-(LEN(AQ34)))+1</f>
        <v>10</v>
      </c>
      <c r="AQ34" s="6" t="n">
        <v>0</v>
      </c>
      <c r="AR34" s="6" t="str">
        <f aca="false">IF($J34="NA","NA",IF(AND($J34&gt;1919,AQ34&gt;0),"ERRO","OK"))</f>
        <v>OK</v>
      </c>
      <c r="AS34" s="6" t="n">
        <f aca="false">(10-(LEN(AT34)))+1</f>
        <v>10</v>
      </c>
      <c r="AT34" s="6" t="n">
        <v>0</v>
      </c>
      <c r="AU34" s="6" t="str">
        <f aca="false">IF($J34="NA","NA",IF(AND($J34&gt;1909,AT34&gt;0),"ERRO","OK"))</f>
        <v>OK</v>
      </c>
      <c r="AV34" s="6" t="n">
        <f aca="false">(10-(LEN(AW34)))+1</f>
        <v>10</v>
      </c>
      <c r="AW34" s="6" t="n">
        <v>0</v>
      </c>
      <c r="AX34" s="6" t="str">
        <f aca="false">IF($J34="NA","NA",IF(AND($J34&gt;1899,AW34&gt;0),"ERRO","OK"))</f>
        <v>OK</v>
      </c>
    </row>
    <row r="35" customFormat="false" ht="15" hidden="false" customHeight="false" outlineLevel="0" collapsed="false">
      <c r="A35" s="7" t="n">
        <v>32</v>
      </c>
      <c r="B35" s="0" t="s">
        <v>51</v>
      </c>
      <c r="C35" s="8" t="n">
        <v>45301</v>
      </c>
      <c r="D35" s="6" t="n">
        <v>0</v>
      </c>
      <c r="E35" s="0" t="s">
        <v>16</v>
      </c>
      <c r="F35" s="0" t="s">
        <v>17</v>
      </c>
      <c r="G35" s="9" t="str">
        <f aca="false">IF(OR(N35="ERRO",Q35="ERRO",T35="ERRO",W35="ERRO",Z35="ERRO",AC35="ERRO",AF35="ERRO",AI35="ERRO",AL35="ERRO",AO35="ERRO",AR35="ERRO",AU35="ERRO",AX35="ERRO"),"ERRO","OK")</f>
        <v>OK</v>
      </c>
      <c r="H35" s="9" t="n">
        <f aca="false">COUNTIF(L35:AX35,"ERRO")</f>
        <v>0</v>
      </c>
      <c r="I35" s="9" t="s">
        <v>18</v>
      </c>
      <c r="J35" s="10" t="n">
        <v>1878</v>
      </c>
      <c r="K35" s="10" t="n">
        <v>1954</v>
      </c>
      <c r="L35" s="6" t="n">
        <f aca="false">(10-(LEN(M35)))+1</f>
        <v>7</v>
      </c>
      <c r="M35" s="6" t="n">
        <v>5455</v>
      </c>
      <c r="N35" s="6" t="str">
        <f aca="false">IF($J35="NA","NA",IF(AND($J35&gt;2019,M35&gt;0),"ERRO","OK"))</f>
        <v>OK</v>
      </c>
      <c r="O35" s="6" t="n">
        <f aca="false">(10-(LEN(P35)))+1</f>
        <v>6</v>
      </c>
      <c r="P35" s="6" t="n">
        <v>10669</v>
      </c>
      <c r="Q35" s="6" t="str">
        <f aca="false">IF($J35="NA","NA",IF(AND($J35&gt;2009,P35&gt;0),"ERRO","OK"))</f>
        <v>OK</v>
      </c>
      <c r="R35" s="6" t="n">
        <f aca="false">(10-(LEN(S35)))+1</f>
        <v>6</v>
      </c>
      <c r="S35" s="6" t="n">
        <v>11134</v>
      </c>
      <c r="T35" s="6" t="str">
        <f aca="false">IF($J35="NA","NA",IF(AND($J35&gt;1999,S35&gt;0),"ERRO","OK"))</f>
        <v>OK</v>
      </c>
      <c r="U35" s="6" t="n">
        <f aca="false">(10-(LEN(V35)))+1</f>
        <v>6</v>
      </c>
      <c r="V35" s="6" t="n">
        <v>12326</v>
      </c>
      <c r="W35" s="6" t="str">
        <f aca="false">IF($J35="NA","NA",IF(AND($J35&gt;1989,V35&gt;0),"ERRO","OK"))</f>
        <v>OK</v>
      </c>
      <c r="X35" s="6" t="n">
        <f aca="false">(10-(LEN(Y35)))+1</f>
        <v>6</v>
      </c>
      <c r="Y35" s="6" t="n">
        <v>11290</v>
      </c>
      <c r="Z35" s="6" t="str">
        <f aca="false">IF($J35="NA","NA",IF(AND($J35&gt;1979,Y35&gt;0),"ERRO","OK"))</f>
        <v>OK</v>
      </c>
      <c r="AA35" s="6" t="n">
        <f aca="false">(10-(LEN(AB35)))+1</f>
        <v>6</v>
      </c>
      <c r="AB35" s="6" t="n">
        <v>14767</v>
      </c>
      <c r="AC35" s="6" t="str">
        <f aca="false">IF($J35="NA","NA",IF(AND($J35&gt;1969,AB35&gt;0),"ERRO","OK"))</f>
        <v>OK</v>
      </c>
      <c r="AD35" s="6" t="n">
        <f aca="false">(10-(LEN(AE35)))+1</f>
        <v>6</v>
      </c>
      <c r="AE35" s="6" t="n">
        <v>14173</v>
      </c>
      <c r="AF35" s="6" t="str">
        <f aca="false">IF($J35="NA","NA",IF(AND($J35&gt;1959,AE35&gt;0),"ERRO","OK"))</f>
        <v>OK</v>
      </c>
      <c r="AG35" s="6" t="n">
        <f aca="false">(10-(LEN(AH35)))+1</f>
        <v>6</v>
      </c>
      <c r="AH35" s="6" t="n">
        <v>10683</v>
      </c>
      <c r="AI35" s="6" t="str">
        <f aca="false">IF($J35="NA","NA",IF(AND($J35&gt;1949,AH35&gt;0),"ERRO","OK"))</f>
        <v>OK</v>
      </c>
      <c r="AJ35" s="6" t="n">
        <f aca="false">(10-(LEN(AK35)))+1</f>
        <v>7</v>
      </c>
      <c r="AK35" s="6" t="n">
        <v>2367</v>
      </c>
      <c r="AL35" s="6" t="str">
        <f aca="false">IF($J35="NA","NA",IF(AND($J35&gt;1939,AK35&gt;0),"ERRO","OK"))</f>
        <v>OK</v>
      </c>
      <c r="AM35" s="6" t="n">
        <f aca="false">(10-(LEN(AN35)))+1</f>
        <v>8</v>
      </c>
      <c r="AN35" s="6" t="n">
        <v>152</v>
      </c>
      <c r="AO35" s="6" t="str">
        <f aca="false">IF($J35="NA","NA",IF(AND($J35&gt;1929,AN35&gt;0),"ERRO","OK"))</f>
        <v>OK</v>
      </c>
      <c r="AP35" s="6" t="n">
        <f aca="false">(10-(LEN(AQ35)))+1</f>
        <v>8</v>
      </c>
      <c r="AQ35" s="6" t="n">
        <v>901</v>
      </c>
      <c r="AR35" s="6" t="str">
        <f aca="false">IF($J35="NA","NA",IF(AND($J35&gt;1919,AQ35&gt;0),"ERRO","OK"))</f>
        <v>OK</v>
      </c>
      <c r="AS35" s="6" t="n">
        <f aca="false">(10-(LEN(AT35)))+1</f>
        <v>8</v>
      </c>
      <c r="AT35" s="6" t="n">
        <v>309</v>
      </c>
      <c r="AU35" s="6" t="str">
        <f aca="false">IF($J35="NA","NA",IF(AND($J35&gt;1909,AT35&gt;0),"ERRO","OK"))</f>
        <v>OK</v>
      </c>
      <c r="AV35" s="6" t="n">
        <f aca="false">(10-(LEN(AW35)))+1</f>
        <v>10</v>
      </c>
      <c r="AW35" s="6" t="n">
        <v>0</v>
      </c>
      <c r="AX35" s="6" t="str">
        <f aca="false">IF($J35="NA","NA",IF(AND($J35&gt;1899,AW35&gt;0),"ERRO","OK"))</f>
        <v>OK</v>
      </c>
    </row>
    <row r="36" customFormat="false" ht="15" hidden="false" customHeight="false" outlineLevel="0" collapsed="false">
      <c r="A36" s="7" t="n">
        <v>33</v>
      </c>
      <c r="B36" s="0" t="s">
        <v>52</v>
      </c>
      <c r="C36" s="8" t="n">
        <v>45301</v>
      </c>
      <c r="D36" s="6" t="n">
        <v>0</v>
      </c>
      <c r="E36" s="0" t="s">
        <v>16</v>
      </c>
      <c r="F36" s="0" t="s">
        <v>17</v>
      </c>
      <c r="G36" s="9" t="str">
        <f aca="false">IF(OR(N36="ERRO",Q36="ERRO",T36="ERRO",W36="ERRO",Z36="ERRO",AC36="ERRO",AF36="ERRO",AI36="ERRO",AL36="ERRO",AO36="ERRO",AR36="ERRO",AU36="ERRO",AX36="ERRO"),"ERRO","OK")</f>
        <v>OK</v>
      </c>
      <c r="H36" s="9" t="n">
        <f aca="false">COUNTIF(L36:AX36,"ERRO")</f>
        <v>0</v>
      </c>
      <c r="I36" s="9" t="s">
        <v>18</v>
      </c>
      <c r="J36" s="10" t="n">
        <v>1889</v>
      </c>
      <c r="K36" s="10" t="n">
        <v>1955</v>
      </c>
      <c r="L36" s="6" t="n">
        <f aca="false">(10-(LEN(M36)))+1</f>
        <v>10</v>
      </c>
      <c r="M36" s="6" t="n">
        <v>0</v>
      </c>
      <c r="N36" s="6" t="str">
        <f aca="false">IF($J36="NA","NA",IF(AND($J36&gt;2019,M36&gt;0),"ERRO","OK"))</f>
        <v>OK</v>
      </c>
      <c r="O36" s="6" t="n">
        <f aca="false">(10-(LEN(P36)))+1</f>
        <v>10</v>
      </c>
      <c r="P36" s="6" t="n">
        <v>0</v>
      </c>
      <c r="Q36" s="6" t="str">
        <f aca="false">IF($J36="NA","NA",IF(AND($J36&gt;2009,P36&gt;0),"ERRO","OK"))</f>
        <v>OK</v>
      </c>
      <c r="R36" s="6" t="n">
        <f aca="false">(10-(LEN(S36)))+1</f>
        <v>10</v>
      </c>
      <c r="S36" s="6" t="n">
        <v>0</v>
      </c>
      <c r="T36" s="6" t="str">
        <f aca="false">IF($J36="NA","NA",IF(AND($J36&gt;1999,S36&gt;0),"ERRO","OK"))</f>
        <v>OK</v>
      </c>
      <c r="U36" s="6" t="n">
        <f aca="false">(10-(LEN(V36)))+1</f>
        <v>8</v>
      </c>
      <c r="V36" s="6" t="n">
        <v>184</v>
      </c>
      <c r="W36" s="6" t="str">
        <f aca="false">IF($J36="NA","NA",IF(AND($J36&gt;1989,V36&gt;0),"ERRO","OK"))</f>
        <v>OK</v>
      </c>
      <c r="X36" s="6" t="n">
        <f aca="false">(10-(LEN(Y36)))+1</f>
        <v>10</v>
      </c>
      <c r="Y36" s="6" t="n">
        <v>0</v>
      </c>
      <c r="Z36" s="6" t="str">
        <f aca="false">IF($J36="NA","NA",IF(AND($J36&gt;1979,Y36&gt;0),"ERRO","OK"))</f>
        <v>OK</v>
      </c>
      <c r="AA36" s="6" t="n">
        <f aca="false">(10-(LEN(AB36)))+1</f>
        <v>10</v>
      </c>
      <c r="AB36" s="6" t="n">
        <v>0</v>
      </c>
      <c r="AC36" s="6" t="str">
        <f aca="false">IF($J36="NA","NA",IF(AND($J36&gt;1969,AB36&gt;0),"ERRO","OK"))</f>
        <v>OK</v>
      </c>
      <c r="AD36" s="6" t="n">
        <f aca="false">(10-(LEN(AE36)))+1</f>
        <v>10</v>
      </c>
      <c r="AE36" s="6" t="n">
        <v>0</v>
      </c>
      <c r="AF36" s="6" t="str">
        <f aca="false">IF($J36="NA","NA",IF(AND($J36&gt;1959,AE36&gt;0),"ERRO","OK"))</f>
        <v>OK</v>
      </c>
      <c r="AG36" s="6" t="n">
        <f aca="false">(10-(LEN(AH36)))+1</f>
        <v>10</v>
      </c>
      <c r="AH36" s="6" t="n">
        <v>0</v>
      </c>
      <c r="AI36" s="6" t="str">
        <f aca="false">IF($J36="NA","NA",IF(AND($J36&gt;1949,AH36&gt;0),"ERRO","OK"))</f>
        <v>OK</v>
      </c>
      <c r="AJ36" s="6" t="n">
        <f aca="false">(10-(LEN(AK36)))+1</f>
        <v>10</v>
      </c>
      <c r="AK36" s="6" t="n">
        <v>0</v>
      </c>
      <c r="AL36" s="6" t="str">
        <f aca="false">IF($J36="NA","NA",IF(AND($J36&gt;1939,AK36&gt;0),"ERRO","OK"))</f>
        <v>OK</v>
      </c>
      <c r="AM36" s="6" t="n">
        <f aca="false">(10-(LEN(AN36)))+1</f>
        <v>10</v>
      </c>
      <c r="AN36" s="6" t="n">
        <v>0</v>
      </c>
      <c r="AO36" s="6" t="str">
        <f aca="false">IF($J36="NA","NA",IF(AND($J36&gt;1929,AN36&gt;0),"ERRO","OK"))</f>
        <v>OK</v>
      </c>
      <c r="AP36" s="6" t="n">
        <f aca="false">(10-(LEN(AQ36)))+1</f>
        <v>8</v>
      </c>
      <c r="AQ36" s="6" t="n">
        <v>100</v>
      </c>
      <c r="AR36" s="6" t="str">
        <f aca="false">IF($J36="NA","NA",IF(AND($J36&gt;1919,AQ36&gt;0),"ERRO","OK"))</f>
        <v>OK</v>
      </c>
      <c r="AS36" s="6" t="n">
        <f aca="false">(10-(LEN(AT36)))+1</f>
        <v>10</v>
      </c>
      <c r="AT36" s="6" t="n">
        <v>0</v>
      </c>
      <c r="AU36" s="6" t="str">
        <f aca="false">IF($J36="NA","NA",IF(AND($J36&gt;1909,AT36&gt;0),"ERRO","OK"))</f>
        <v>OK</v>
      </c>
      <c r="AV36" s="6" t="n">
        <f aca="false">(10-(LEN(AW36)))+1</f>
        <v>10</v>
      </c>
      <c r="AW36" s="6" t="n">
        <v>0</v>
      </c>
      <c r="AX36" s="6" t="str">
        <f aca="false">IF($J36="NA","NA",IF(AND($J36&gt;1899,AW36&gt;0),"ERRO","OK"))</f>
        <v>OK</v>
      </c>
    </row>
    <row r="37" customFormat="false" ht="15" hidden="false" customHeight="false" outlineLevel="0" collapsed="false">
      <c r="A37" s="7" t="n">
        <v>34</v>
      </c>
      <c r="B37" s="0" t="s">
        <v>53</v>
      </c>
      <c r="C37" s="8" t="n">
        <v>45301</v>
      </c>
      <c r="D37" s="6" t="n">
        <v>0</v>
      </c>
      <c r="E37" s="0" t="s">
        <v>16</v>
      </c>
      <c r="F37" s="0" t="s">
        <v>17</v>
      </c>
      <c r="G37" s="9" t="str">
        <f aca="false">IF(OR(N37="ERRO",Q37="ERRO",T37="ERRO",W37="ERRO",Z37="ERRO",AC37="ERRO",AF37="ERRO",AI37="ERRO",AL37="ERRO",AO37="ERRO",AR37="ERRO",AU37="ERRO",AX37="ERRO"),"ERRO","OK")</f>
        <v>OK</v>
      </c>
      <c r="H37" s="9" t="n">
        <f aca="false">COUNTIF(L37:AX37,"ERRO")</f>
        <v>0</v>
      </c>
      <c r="I37" s="9" t="s">
        <v>18</v>
      </c>
      <c r="J37" s="10" t="n">
        <v>1893</v>
      </c>
      <c r="K37" s="10" t="n">
        <v>1998</v>
      </c>
      <c r="L37" s="6" t="n">
        <f aca="false">(10-(LEN(M37)))+1</f>
        <v>7</v>
      </c>
      <c r="M37" s="6" t="n">
        <v>3873</v>
      </c>
      <c r="N37" s="6" t="str">
        <f aca="false">IF($J37="NA","NA",IF(AND($J37&gt;2019,M37&gt;0),"ERRO","OK"))</f>
        <v>OK</v>
      </c>
      <c r="O37" s="6" t="n">
        <f aca="false">(10-(LEN(P37)))+1</f>
        <v>7</v>
      </c>
      <c r="P37" s="6" t="n">
        <v>3671</v>
      </c>
      <c r="Q37" s="6" t="str">
        <f aca="false">IF($J37="NA","NA",IF(AND($J37&gt;2009,P37&gt;0),"ERRO","OK"))</f>
        <v>OK</v>
      </c>
      <c r="R37" s="6" t="n">
        <f aca="false">(10-(LEN(S37)))+1</f>
        <v>6</v>
      </c>
      <c r="S37" s="6" t="n">
        <v>11134</v>
      </c>
      <c r="T37" s="6" t="str">
        <f aca="false">IF($J37="NA","NA",IF(AND($J37&gt;1999,S37&gt;0),"ERRO","OK"))</f>
        <v>OK</v>
      </c>
      <c r="U37" s="6" t="n">
        <f aca="false">(10-(LEN(V37)))+1</f>
        <v>6</v>
      </c>
      <c r="V37" s="6" t="n">
        <v>13798</v>
      </c>
      <c r="W37" s="6" t="str">
        <f aca="false">IF($J37="NA","NA",IF(AND($J37&gt;1989,V37&gt;0),"ERRO","OK"))</f>
        <v>OK</v>
      </c>
      <c r="X37" s="6" t="n">
        <f aca="false">(10-(LEN(Y37)))+1</f>
        <v>7</v>
      </c>
      <c r="Y37" s="6" t="n">
        <v>6154</v>
      </c>
      <c r="Z37" s="6" t="str">
        <f aca="false">IF($J37="NA","NA",IF(AND($J37&gt;1979,Y37&gt;0),"ERRO","OK"))</f>
        <v>OK</v>
      </c>
      <c r="AA37" s="6" t="n">
        <f aca="false">(10-(LEN(AB37)))+1</f>
        <v>7</v>
      </c>
      <c r="AB37" s="6" t="n">
        <v>2694</v>
      </c>
      <c r="AC37" s="6" t="str">
        <f aca="false">IF($J37="NA","NA",IF(AND($J37&gt;1969,AB37&gt;0),"ERRO","OK"))</f>
        <v>OK</v>
      </c>
      <c r="AD37" s="6" t="n">
        <f aca="false">(10-(LEN(AE37)))+1</f>
        <v>7</v>
      </c>
      <c r="AE37" s="6" t="n">
        <v>1704</v>
      </c>
      <c r="AF37" s="6" t="str">
        <f aca="false">IF($J37="NA","NA",IF(AND($J37&gt;1959,AE37&gt;0),"ERRO","OK"))</f>
        <v>OK</v>
      </c>
      <c r="AG37" s="6" t="n">
        <f aca="false">(10-(LEN(AH37)))+1</f>
        <v>8</v>
      </c>
      <c r="AH37" s="6" t="n">
        <v>771</v>
      </c>
      <c r="AI37" s="6" t="str">
        <f aca="false">IF($J37="NA","NA",IF(AND($J37&gt;1949,AH37&gt;0),"ERRO","OK"))</f>
        <v>OK</v>
      </c>
      <c r="AJ37" s="6" t="n">
        <f aca="false">(10-(LEN(AK37)))+1</f>
        <v>7</v>
      </c>
      <c r="AK37" s="6" t="n">
        <v>5570</v>
      </c>
      <c r="AL37" s="6" t="str">
        <f aca="false">IF($J37="NA","NA",IF(AND($J37&gt;1939,AK37&gt;0),"ERRO","OK"))</f>
        <v>OK</v>
      </c>
      <c r="AM37" s="6" t="n">
        <f aca="false">(10-(LEN(AN37)))+1</f>
        <v>7</v>
      </c>
      <c r="AN37" s="6" t="n">
        <v>3656</v>
      </c>
      <c r="AO37" s="6" t="str">
        <f aca="false">IF($J37="NA","NA",IF(AND($J37&gt;1929,AN37&gt;0),"ERRO","OK"))</f>
        <v>OK</v>
      </c>
      <c r="AP37" s="6" t="n">
        <f aca="false">(10-(LEN(AQ37)))+1</f>
        <v>8</v>
      </c>
      <c r="AQ37" s="6" t="n">
        <v>501</v>
      </c>
      <c r="AR37" s="6" t="str">
        <f aca="false">IF($J37="NA","NA",IF(AND($J37&gt;1919,AQ37&gt;0),"ERRO","OK"))</f>
        <v>OK</v>
      </c>
      <c r="AS37" s="6" t="n">
        <f aca="false">(10-(LEN(AT37)))+1</f>
        <v>8</v>
      </c>
      <c r="AT37" s="6" t="n">
        <v>206</v>
      </c>
      <c r="AU37" s="6" t="str">
        <f aca="false">IF($J37="NA","NA",IF(AND($J37&gt;1909,AT37&gt;0),"ERRO","OK"))</f>
        <v>OK</v>
      </c>
      <c r="AV37" s="6" t="n">
        <f aca="false">(10-(LEN(AW37)))+1</f>
        <v>8</v>
      </c>
      <c r="AW37" s="6" t="n">
        <v>129</v>
      </c>
      <c r="AX37" s="6" t="str">
        <f aca="false">IF($J37="NA","NA",IF(AND($J37&gt;1899,AW37&gt;0),"ERRO","OK"))</f>
        <v>OK</v>
      </c>
    </row>
    <row r="38" customFormat="false" ht="15" hidden="false" customHeight="false" outlineLevel="0" collapsed="false">
      <c r="A38" s="7" t="n">
        <v>35</v>
      </c>
      <c r="B38" s="0" t="s">
        <v>54</v>
      </c>
      <c r="C38" s="8" t="n">
        <v>45301</v>
      </c>
      <c r="D38" s="6" t="n">
        <v>0</v>
      </c>
      <c r="E38" s="0" t="s">
        <v>16</v>
      </c>
      <c r="F38" s="0" t="s">
        <v>17</v>
      </c>
      <c r="G38" s="9" t="str">
        <f aca="false">IF(OR(N38="ERRO",Q38="ERRO",T38="ERRO",W38="ERRO",Z38="ERRO",AC38="ERRO",AF38="ERRO",AI38="ERRO",AL38="ERRO",AO38="ERRO",AR38="ERRO",AU38="ERRO",AX38="ERRO"),"ERRO","OK")</f>
        <v>OK</v>
      </c>
      <c r="H38" s="9" t="n">
        <f aca="false">COUNTIF(L38:AX38,"ERRO")</f>
        <v>0</v>
      </c>
      <c r="I38" s="9" t="s">
        <v>18</v>
      </c>
      <c r="J38" s="10" t="n">
        <v>1886</v>
      </c>
      <c r="K38" s="10" t="n">
        <v>1960</v>
      </c>
      <c r="L38" s="6" t="n">
        <f aca="false">(10-(LEN(M38)))+1</f>
        <v>8</v>
      </c>
      <c r="M38" s="6" t="n">
        <v>958</v>
      </c>
      <c r="N38" s="6" t="str">
        <f aca="false">IF($J38="NA","NA",IF(AND($J38&gt;2019,M38&gt;0),"ERRO","OK"))</f>
        <v>OK</v>
      </c>
      <c r="O38" s="6" t="n">
        <f aca="false">(10-(LEN(P38)))+1</f>
        <v>7</v>
      </c>
      <c r="P38" s="6" t="n">
        <v>2504</v>
      </c>
      <c r="Q38" s="6" t="str">
        <f aca="false">IF($J38="NA","NA",IF(AND($J38&gt;2009,P38&gt;0),"ERRO","OK"))</f>
        <v>OK</v>
      </c>
      <c r="R38" s="6" t="n">
        <f aca="false">(10-(LEN(S38)))+1</f>
        <v>7</v>
      </c>
      <c r="S38" s="6" t="n">
        <v>1975</v>
      </c>
      <c r="T38" s="6" t="str">
        <f aca="false">IF($J38="NA","NA",IF(AND($J38&gt;1999,S38&gt;0),"ERRO","OK"))</f>
        <v>OK</v>
      </c>
      <c r="U38" s="6" t="n">
        <f aca="false">(10-(LEN(V38)))+1</f>
        <v>7</v>
      </c>
      <c r="V38" s="6" t="n">
        <v>5841</v>
      </c>
      <c r="W38" s="6" t="str">
        <f aca="false">IF($J38="NA","NA",IF(AND($J38&gt;1989,V38&gt;0),"ERRO","OK"))</f>
        <v>OK</v>
      </c>
      <c r="X38" s="6" t="n">
        <f aca="false">(10-(LEN(Y38)))+1</f>
        <v>7</v>
      </c>
      <c r="Y38" s="6" t="n">
        <v>2354</v>
      </c>
      <c r="Z38" s="6" t="str">
        <f aca="false">IF($J38="NA","NA",IF(AND($J38&gt;1979,Y38&gt;0),"ERRO","OK"))</f>
        <v>OK</v>
      </c>
      <c r="AA38" s="6" t="n">
        <f aca="false">(10-(LEN(AB38)))+1</f>
        <v>7</v>
      </c>
      <c r="AB38" s="6" t="n">
        <v>1582</v>
      </c>
      <c r="AC38" s="6" t="str">
        <f aca="false">IF($J38="NA","NA",IF(AND($J38&gt;1969,AB38&gt;0),"ERRO","OK"))</f>
        <v>OK</v>
      </c>
      <c r="AD38" s="6" t="n">
        <f aca="false">(10-(LEN(AE38)))+1</f>
        <v>7</v>
      </c>
      <c r="AE38" s="6" t="n">
        <v>2153</v>
      </c>
      <c r="AF38" s="6" t="str">
        <f aca="false">IF($J38="NA","NA",IF(AND($J38&gt;1959,AE38&gt;0),"ERRO","OK"))</f>
        <v>OK</v>
      </c>
      <c r="AG38" s="6" t="n">
        <f aca="false">(10-(LEN(AH38)))+1</f>
        <v>7</v>
      </c>
      <c r="AH38" s="6" t="n">
        <v>4406</v>
      </c>
      <c r="AI38" s="6" t="str">
        <f aca="false">IF($J38="NA","NA",IF(AND($J38&gt;1949,AH38&gt;0),"ERRO","OK"))</f>
        <v>OK</v>
      </c>
      <c r="AJ38" s="6" t="n">
        <f aca="false">(10-(LEN(AK38)))+1</f>
        <v>7</v>
      </c>
      <c r="AK38" s="6" t="n">
        <v>4038</v>
      </c>
      <c r="AL38" s="6" t="str">
        <f aca="false">IF($J38="NA","NA",IF(AND($J38&gt;1939,AK38&gt;0),"ERRO","OK"))</f>
        <v>OK</v>
      </c>
      <c r="AM38" s="6" t="n">
        <f aca="false">(10-(LEN(AN38)))+1</f>
        <v>6</v>
      </c>
      <c r="AN38" s="6" t="n">
        <v>20869</v>
      </c>
      <c r="AO38" s="6" t="str">
        <f aca="false">IF($J38="NA","NA",IF(AND($J38&gt;1929,AN38&gt;0),"ERRO","OK"))</f>
        <v>OK</v>
      </c>
      <c r="AP38" s="6" t="n">
        <f aca="false">(10-(LEN(AQ38)))+1</f>
        <v>6</v>
      </c>
      <c r="AQ38" s="6" t="n">
        <v>13518</v>
      </c>
      <c r="AR38" s="6" t="str">
        <f aca="false">IF($J38="NA","NA",IF(AND($J38&gt;1919,AQ38&gt;0),"ERRO","OK"))</f>
        <v>OK</v>
      </c>
      <c r="AS38" s="6" t="n">
        <f aca="false">(10-(LEN(AT38)))+1</f>
        <v>7</v>
      </c>
      <c r="AT38" s="6" t="n">
        <v>1650</v>
      </c>
      <c r="AU38" s="6" t="str">
        <f aca="false">IF($J38="NA","NA",IF(AND($J38&gt;1909,AT38&gt;0),"ERRO","OK"))</f>
        <v>OK</v>
      </c>
      <c r="AV38" s="6" t="n">
        <f aca="false">(10-(LEN(AW38)))+1</f>
        <v>8</v>
      </c>
      <c r="AW38" s="6" t="n">
        <v>129</v>
      </c>
      <c r="AX38" s="6" t="str">
        <f aca="false">IF($J38="NA","NA",IF(AND($J38&gt;1899,AW38&gt;0),"ERRO","OK"))</f>
        <v>OK</v>
      </c>
    </row>
    <row r="39" customFormat="false" ht="15" hidden="false" customHeight="false" outlineLevel="0" collapsed="false">
      <c r="A39" s="7" t="n">
        <v>36</v>
      </c>
      <c r="B39" s="0" t="s">
        <v>55</v>
      </c>
      <c r="C39" s="8" t="n">
        <v>45301</v>
      </c>
      <c r="D39" s="6" t="n">
        <v>0</v>
      </c>
      <c r="E39" s="0" t="s">
        <v>16</v>
      </c>
      <c r="F39" s="0" t="s">
        <v>17</v>
      </c>
      <c r="G39" s="9" t="str">
        <f aca="false">IF(OR(N39="ERRO",Q39="ERRO",T39="ERRO",W39="ERRO",Z39="ERRO",AC39="ERRO",AF39="ERRO",AI39="ERRO",AL39="ERRO",AO39="ERRO",AR39="ERRO",AU39="ERRO",AX39="ERRO"),"ERRO","OK")</f>
        <v>OK</v>
      </c>
      <c r="H39" s="9" t="n">
        <f aca="false">COUNTIF(L39:AX39,"ERRO")</f>
        <v>0</v>
      </c>
      <c r="I39" s="9" t="s">
        <v>18</v>
      </c>
      <c r="J39" s="10" t="n">
        <v>1879</v>
      </c>
      <c r="K39" s="10" t="n">
        <v>1959</v>
      </c>
      <c r="L39" s="6" t="n">
        <f aca="false">(10-(LEN(M39)))+1</f>
        <v>7</v>
      </c>
      <c r="M39" s="6" t="n">
        <v>2449</v>
      </c>
      <c r="N39" s="6" t="str">
        <f aca="false">IF($J39="NA","NA",IF(AND($J39&gt;2019,M39&gt;0),"ERRO","OK"))</f>
        <v>OK</v>
      </c>
      <c r="O39" s="6" t="n">
        <f aca="false">(10-(LEN(P39)))+1</f>
        <v>7</v>
      </c>
      <c r="P39" s="6" t="n">
        <v>1100</v>
      </c>
      <c r="Q39" s="6" t="str">
        <f aca="false">IF($J39="NA","NA",IF(AND($J39&gt;2009,P39&gt;0),"ERRO","OK"))</f>
        <v>OK</v>
      </c>
      <c r="R39" s="6" t="n">
        <f aca="false">(10-(LEN(S39)))+1</f>
        <v>8</v>
      </c>
      <c r="S39" s="6" t="n">
        <v>882</v>
      </c>
      <c r="T39" s="6" t="str">
        <f aca="false">IF($J39="NA","NA",IF(AND($J39&gt;1999,S39&gt;0),"ERRO","OK"))</f>
        <v>OK</v>
      </c>
      <c r="U39" s="6" t="n">
        <f aca="false">(10-(LEN(V39)))+1</f>
        <v>8</v>
      </c>
      <c r="V39" s="6" t="n">
        <v>408</v>
      </c>
      <c r="W39" s="6" t="str">
        <f aca="false">IF($J39="NA","NA",IF(AND($J39&gt;1989,V39&gt;0),"ERRO","OK"))</f>
        <v>OK</v>
      </c>
      <c r="X39" s="6" t="n">
        <f aca="false">(10-(LEN(Y39)))+1</f>
        <v>10</v>
      </c>
      <c r="Y39" s="6" t="n">
        <v>0</v>
      </c>
      <c r="Z39" s="6" t="str">
        <f aca="false">IF($J39="NA","NA",IF(AND($J39&gt;1979,Y39&gt;0),"ERRO","OK"))</f>
        <v>OK</v>
      </c>
      <c r="AA39" s="6" t="n">
        <f aca="false">(10-(LEN(AB39)))+1</f>
        <v>9</v>
      </c>
      <c r="AB39" s="6" t="n">
        <v>65</v>
      </c>
      <c r="AC39" s="6" t="str">
        <f aca="false">IF($J39="NA","NA",IF(AND($J39&gt;1969,AB39&gt;0),"ERRO","OK"))</f>
        <v>OK</v>
      </c>
      <c r="AD39" s="6" t="n">
        <f aca="false">(10-(LEN(AE39)))+1</f>
        <v>8</v>
      </c>
      <c r="AE39" s="6" t="n">
        <v>795</v>
      </c>
      <c r="AF39" s="6" t="str">
        <f aca="false">IF($J39="NA","NA",IF(AND($J39&gt;1959,AE39&gt;0),"ERRO","OK"))</f>
        <v>OK</v>
      </c>
      <c r="AG39" s="6" t="n">
        <f aca="false">(10-(LEN(AH39)))+1</f>
        <v>10</v>
      </c>
      <c r="AH39" s="6" t="n">
        <v>0</v>
      </c>
      <c r="AI39" s="6" t="str">
        <f aca="false">IF($J39="NA","NA",IF(AND($J39&gt;1949,AH39&gt;0),"ERRO","OK"))</f>
        <v>OK</v>
      </c>
      <c r="AJ39" s="6" t="n">
        <f aca="false">(10-(LEN(AK39)))+1</f>
        <v>10</v>
      </c>
      <c r="AK39" s="6" t="n">
        <v>0</v>
      </c>
      <c r="AL39" s="6" t="str">
        <f aca="false">IF($J39="NA","NA",IF(AND($J39&gt;1939,AK39&gt;0),"ERRO","OK"))</f>
        <v>OK</v>
      </c>
      <c r="AM39" s="6" t="n">
        <f aca="false">(10-(LEN(AN39)))+1</f>
        <v>10</v>
      </c>
      <c r="AN39" s="6" t="n">
        <v>0</v>
      </c>
      <c r="AO39" s="6" t="str">
        <f aca="false">IF($J39="NA","NA",IF(AND($J39&gt;1929,AN39&gt;0),"ERRO","OK"))</f>
        <v>OK</v>
      </c>
      <c r="AP39" s="6" t="n">
        <f aca="false">(10-(LEN(AQ39)))+1</f>
        <v>10</v>
      </c>
      <c r="AQ39" s="6" t="n">
        <v>0</v>
      </c>
      <c r="AR39" s="6" t="str">
        <f aca="false">IF($J39="NA","NA",IF(AND($J39&gt;1919,AQ39&gt;0),"ERRO","OK"))</f>
        <v>OK</v>
      </c>
      <c r="AS39" s="6" t="n">
        <f aca="false">(10-(LEN(AT39)))+1</f>
        <v>10</v>
      </c>
      <c r="AT39" s="6" t="n">
        <v>0</v>
      </c>
      <c r="AU39" s="6" t="str">
        <f aca="false">IF($J39="NA","NA",IF(AND($J39&gt;1909,AT39&gt;0),"ERRO","OK"))</f>
        <v>OK</v>
      </c>
      <c r="AV39" s="6" t="n">
        <f aca="false">(10-(LEN(AW39)))+1</f>
        <v>10</v>
      </c>
      <c r="AW39" s="6" t="n">
        <v>0</v>
      </c>
      <c r="AX39" s="6" t="str">
        <f aca="false">IF($J39="NA","NA",IF(AND($J39&gt;1899,AW39&gt;0),"ERRO","OK"))</f>
        <v>OK</v>
      </c>
    </row>
    <row r="40" customFormat="false" ht="15" hidden="false" customHeight="false" outlineLevel="0" collapsed="false">
      <c r="A40" s="7" t="n">
        <v>37</v>
      </c>
      <c r="B40" s="0" t="s">
        <v>56</v>
      </c>
      <c r="C40" s="8" t="n">
        <v>45301</v>
      </c>
      <c r="D40" s="6" t="n">
        <v>0</v>
      </c>
      <c r="E40" s="0" t="s">
        <v>16</v>
      </c>
      <c r="F40" s="0" t="s">
        <v>17</v>
      </c>
      <c r="G40" s="9" t="str">
        <f aca="false">IF(OR(N40="ERRO",Q40="ERRO",T40="ERRO",W40="ERRO",Z40="ERRO",AC40="ERRO",AF40="ERRO",AI40="ERRO",AL40="ERRO",AO40="ERRO",AR40="ERRO",AU40="ERRO",AX40="ERRO"),"ERRO","OK")</f>
        <v>OK</v>
      </c>
      <c r="H40" s="9" t="n">
        <f aca="false">COUNTIF(L40:AX40,"ERRO")</f>
        <v>0</v>
      </c>
      <c r="I40" s="9" t="s">
        <v>18</v>
      </c>
      <c r="J40" s="10" t="n">
        <v>1864</v>
      </c>
      <c r="K40" s="10" t="n">
        <v>1946</v>
      </c>
      <c r="L40" s="6" t="n">
        <f aca="false">(10-(LEN(M40)))+1</f>
        <v>6</v>
      </c>
      <c r="M40" s="6" t="n">
        <v>53721</v>
      </c>
      <c r="N40" s="6" t="str">
        <f aca="false">IF($J40="NA","NA",IF(AND($J40&gt;2019,M40&gt;0),"ERRO","OK"))</f>
        <v>OK</v>
      </c>
      <c r="O40" s="6" t="n">
        <f aca="false">(10-(LEN(P40)))+1</f>
        <v>6</v>
      </c>
      <c r="P40" s="6" t="n">
        <v>68162</v>
      </c>
      <c r="Q40" s="6" t="str">
        <f aca="false">IF($J40="NA","NA",IF(AND($J40&gt;2009,P40&gt;0),"ERRO","OK"))</f>
        <v>OK</v>
      </c>
      <c r="R40" s="6" t="n">
        <f aca="false">(10-(LEN(S40)))+1</f>
        <v>5</v>
      </c>
      <c r="S40" s="6" t="n">
        <v>103485</v>
      </c>
      <c r="T40" s="6" t="str">
        <f aca="false">IF($J40="NA","NA",IF(AND($J40&gt;1999,S40&gt;0),"ERRO","OK"))</f>
        <v>OK</v>
      </c>
      <c r="U40" s="6" t="n">
        <f aca="false">(10-(LEN(V40)))+1</f>
        <v>5</v>
      </c>
      <c r="V40" s="6" t="n">
        <v>154487</v>
      </c>
      <c r="W40" s="6" t="str">
        <f aca="false">IF($J40="NA","NA",IF(AND($J40&gt;1989,V40&gt;0),"ERRO","OK"))</f>
        <v>OK</v>
      </c>
      <c r="X40" s="6" t="n">
        <f aca="false">(10-(LEN(Y40)))+1</f>
        <v>5</v>
      </c>
      <c r="Y40" s="6" t="n">
        <v>127031</v>
      </c>
      <c r="Z40" s="6" t="str">
        <f aca="false">IF($J40="NA","NA",IF(AND($J40&gt;1979,Y40&gt;0),"ERRO","OK"))</f>
        <v>OK</v>
      </c>
      <c r="AA40" s="6" t="n">
        <f aca="false">(10-(LEN(AB40)))+1</f>
        <v>6</v>
      </c>
      <c r="AB40" s="6" t="n">
        <v>81099</v>
      </c>
      <c r="AC40" s="6" t="str">
        <f aca="false">IF($J40="NA","NA",IF(AND($J40&gt;1969,AB40&gt;0),"ERRO","OK"))</f>
        <v>OK</v>
      </c>
      <c r="AD40" s="6" t="n">
        <f aca="false">(10-(LEN(AE40)))+1</f>
        <v>6</v>
      </c>
      <c r="AE40" s="6" t="n">
        <v>31038</v>
      </c>
      <c r="AF40" s="6" t="str">
        <f aca="false">IF($J40="NA","NA",IF(AND($J40&gt;1959,AE40&gt;0),"ERRO","OK"))</f>
        <v>OK</v>
      </c>
      <c r="AG40" s="6" t="n">
        <f aca="false">(10-(LEN(AH40)))+1</f>
        <v>6</v>
      </c>
      <c r="AH40" s="6" t="n">
        <v>34033</v>
      </c>
      <c r="AI40" s="6" t="str">
        <f aca="false">IF($J40="NA","NA",IF(AND($J40&gt;1949,AH40&gt;0),"ERRO","OK"))</f>
        <v>OK</v>
      </c>
      <c r="AJ40" s="6" t="n">
        <f aca="false">(10-(LEN(AK40)))+1</f>
        <v>6</v>
      </c>
      <c r="AK40" s="6" t="n">
        <v>38296</v>
      </c>
      <c r="AL40" s="6" t="str">
        <f aca="false">IF($J40="NA","NA",IF(AND($J40&gt;1939,AK40&gt;0),"ERRO","OK"))</f>
        <v>OK</v>
      </c>
      <c r="AM40" s="6" t="n">
        <f aca="false">(10-(LEN(AN40)))+1</f>
        <v>6</v>
      </c>
      <c r="AN40" s="6" t="n">
        <v>17823</v>
      </c>
      <c r="AO40" s="6" t="str">
        <f aca="false">IF($J40="NA","NA",IF(AND($J40&gt;1929,AN40&gt;0),"ERRO","OK"))</f>
        <v>OK</v>
      </c>
      <c r="AP40" s="6" t="n">
        <f aca="false">(10-(LEN(AQ40)))+1</f>
        <v>7</v>
      </c>
      <c r="AQ40" s="6" t="n">
        <v>7410</v>
      </c>
      <c r="AR40" s="6" t="str">
        <f aca="false">IF($J40="NA","NA",IF(AND($J40&gt;1919,AQ40&gt;0),"ERRO","OK"))</f>
        <v>OK</v>
      </c>
      <c r="AS40" s="6" t="n">
        <f aca="false">(10-(LEN(AT40)))+1</f>
        <v>6</v>
      </c>
      <c r="AT40" s="6" t="n">
        <v>18975</v>
      </c>
      <c r="AU40" s="6" t="str">
        <f aca="false">IF($J40="NA","NA",IF(AND($J40&gt;1909,AT40&gt;0),"ERRO","OK"))</f>
        <v>OK</v>
      </c>
      <c r="AV40" s="6" t="n">
        <f aca="false">(10-(LEN(AW40)))+1</f>
        <v>6</v>
      </c>
      <c r="AW40" s="6" t="n">
        <v>32633</v>
      </c>
      <c r="AX40" s="6" t="str">
        <f aca="false">IF($J40="NA","NA",IF(AND($J40&gt;1899,AW40&gt;0),"ERRO","OK"))</f>
        <v>OK</v>
      </c>
    </row>
    <row r="41" customFormat="false" ht="15" hidden="false" customHeight="false" outlineLevel="0" collapsed="false">
      <c r="A41" s="7" t="n">
        <v>38</v>
      </c>
      <c r="B41" s="0" t="s">
        <v>57</v>
      </c>
      <c r="C41" s="8" t="n">
        <v>45301</v>
      </c>
      <c r="D41" s="6" t="n">
        <v>0</v>
      </c>
      <c r="E41" s="0" t="s">
        <v>16</v>
      </c>
      <c r="F41" s="0" t="s">
        <v>17</v>
      </c>
      <c r="G41" s="9" t="str">
        <f aca="false">IF(OR(N41="ERRO",Q41="ERRO",T41="ERRO",W41="ERRO",Z41="ERRO",AC41="ERRO",AF41="ERRO",AI41="ERRO",AL41="ERRO",AO41="ERRO",AR41="ERRO",AU41="ERRO",AX41="ERRO"),"ERRO","OK")</f>
        <v>OK</v>
      </c>
      <c r="H41" s="9" t="n">
        <f aca="false">COUNTIF(L41:AX41,"ERRO")</f>
        <v>0</v>
      </c>
      <c r="I41" s="9" t="s">
        <v>18</v>
      </c>
      <c r="J41" s="10" t="n">
        <v>1883</v>
      </c>
      <c r="K41" s="10" t="n">
        <v>1965</v>
      </c>
      <c r="L41" s="6" t="n">
        <f aca="false">(10-(LEN(M41)))+1</f>
        <v>6</v>
      </c>
      <c r="M41" s="6" t="n">
        <v>15367</v>
      </c>
      <c r="N41" s="6" t="str">
        <f aca="false">IF($J41="NA","NA",IF(AND($J41&gt;2019,M41&gt;0),"ERRO","OK"))</f>
        <v>OK</v>
      </c>
      <c r="O41" s="6" t="n">
        <f aca="false">(10-(LEN(P41)))+1</f>
        <v>7</v>
      </c>
      <c r="P41" s="6" t="n">
        <v>8096</v>
      </c>
      <c r="Q41" s="6" t="str">
        <f aca="false">IF($J41="NA","NA",IF(AND($J41&gt;2009,P41&gt;0),"ERRO","OK"))</f>
        <v>OK</v>
      </c>
      <c r="R41" s="6" t="n">
        <f aca="false">(10-(LEN(S41)))+1</f>
        <v>7</v>
      </c>
      <c r="S41" s="6" t="n">
        <v>3823</v>
      </c>
      <c r="T41" s="6" t="str">
        <f aca="false">IF($J41="NA","NA",IF(AND($J41&gt;1999,S41&gt;0),"ERRO","OK"))</f>
        <v>OK</v>
      </c>
      <c r="U41" s="6" t="n">
        <f aca="false">(10-(LEN(V41)))+1</f>
        <v>7</v>
      </c>
      <c r="V41" s="6" t="n">
        <v>1794</v>
      </c>
      <c r="W41" s="6" t="str">
        <f aca="false">IF($J41="NA","NA",IF(AND($J41&gt;1989,V41&gt;0),"ERRO","OK"))</f>
        <v>OK</v>
      </c>
      <c r="X41" s="6" t="n">
        <f aca="false">(10-(LEN(Y41)))+1</f>
        <v>7</v>
      </c>
      <c r="Y41" s="6" t="n">
        <v>3211</v>
      </c>
      <c r="Z41" s="6" t="str">
        <f aca="false">IF($J41="NA","NA",IF(AND($J41&gt;1979,Y41&gt;0),"ERRO","OK"))</f>
        <v>OK</v>
      </c>
      <c r="AA41" s="6" t="n">
        <f aca="false">(10-(LEN(AB41)))+1</f>
        <v>7</v>
      </c>
      <c r="AB41" s="6" t="n">
        <v>1875</v>
      </c>
      <c r="AC41" s="6" t="str">
        <f aca="false">IF($J41="NA","NA",IF(AND($J41&gt;1969,AB41&gt;0),"ERRO","OK"))</f>
        <v>OK</v>
      </c>
      <c r="AD41" s="6" t="n">
        <f aca="false">(10-(LEN(AE41)))+1</f>
        <v>7</v>
      </c>
      <c r="AE41" s="6" t="n">
        <v>1973</v>
      </c>
      <c r="AF41" s="6" t="str">
        <f aca="false">IF($J41="NA","NA",IF(AND($J41&gt;1959,AE41&gt;0),"ERRO","OK"))</f>
        <v>OK</v>
      </c>
      <c r="AG41" s="6" t="n">
        <f aca="false">(10-(LEN(AH41)))+1</f>
        <v>10</v>
      </c>
      <c r="AH41" s="6" t="n">
        <v>0</v>
      </c>
      <c r="AI41" s="6" t="str">
        <f aca="false">IF($J41="NA","NA",IF(AND($J41&gt;1949,AH41&gt;0),"ERRO","OK"))</f>
        <v>OK</v>
      </c>
      <c r="AJ41" s="6" t="n">
        <f aca="false">(10-(LEN(AK41)))+1</f>
        <v>10</v>
      </c>
      <c r="AK41" s="6" t="n">
        <v>0</v>
      </c>
      <c r="AL41" s="6" t="str">
        <f aca="false">IF($J41="NA","NA",IF(AND($J41&gt;1939,AK41&gt;0),"ERRO","OK"))</f>
        <v>OK</v>
      </c>
      <c r="AM41" s="6" t="n">
        <f aca="false">(10-(LEN(AN41)))+1</f>
        <v>10</v>
      </c>
      <c r="AN41" s="6" t="n">
        <v>0</v>
      </c>
      <c r="AO41" s="6" t="str">
        <f aca="false">IF($J41="NA","NA",IF(AND($J41&gt;1929,AN41&gt;0),"ERRO","OK"))</f>
        <v>OK</v>
      </c>
      <c r="AP41" s="6" t="n">
        <f aca="false">(10-(LEN(AQ41)))+1</f>
        <v>10</v>
      </c>
      <c r="AQ41" s="6" t="n">
        <v>0</v>
      </c>
      <c r="AR41" s="6" t="str">
        <f aca="false">IF($J41="NA","NA",IF(AND($J41&gt;1919,AQ41&gt;0),"ERRO","OK"))</f>
        <v>OK</v>
      </c>
      <c r="AS41" s="6" t="n">
        <f aca="false">(10-(LEN(AT41)))+1</f>
        <v>10</v>
      </c>
      <c r="AT41" s="6" t="n">
        <v>0</v>
      </c>
      <c r="AU41" s="6" t="str">
        <f aca="false">IF($J41="NA","NA",IF(AND($J41&gt;1909,AT41&gt;0),"ERRO","OK"))</f>
        <v>OK</v>
      </c>
      <c r="AV41" s="6" t="n">
        <f aca="false">(10-(LEN(AW41)))+1</f>
        <v>10</v>
      </c>
      <c r="AW41" s="6" t="n">
        <v>0</v>
      </c>
      <c r="AX41" s="6" t="str">
        <f aca="false">IF($J41="NA","NA",IF(AND($J41&gt;1899,AW41&gt;0),"ERRO","OK"))</f>
        <v>OK</v>
      </c>
    </row>
    <row r="42" customFormat="false" ht="15" hidden="false" customHeight="false" outlineLevel="0" collapsed="false">
      <c r="A42" s="7" t="n">
        <v>39</v>
      </c>
      <c r="B42" s="0" t="s">
        <v>58</v>
      </c>
      <c r="C42" s="8" t="n">
        <v>45301</v>
      </c>
      <c r="D42" s="6" t="n">
        <v>0</v>
      </c>
      <c r="E42" s="0" t="s">
        <v>16</v>
      </c>
      <c r="F42" s="0" t="s">
        <v>17</v>
      </c>
      <c r="G42" s="9" t="str">
        <f aca="false">IF(OR(N42="ERRO",Q42="ERRO",T42="ERRO",W42="ERRO",Z42="ERRO",AC42="ERRO",AF42="ERRO",AI42="ERRO",AL42="ERRO",AO42="ERRO",AR42="ERRO",AU42="ERRO",AX42="ERRO"),"ERRO","OK")</f>
        <v>OK</v>
      </c>
      <c r="H42" s="9" t="n">
        <f aca="false">COUNTIF(L42:AX42,"ERRO")</f>
        <v>0</v>
      </c>
      <c r="I42" s="9" t="s">
        <v>18</v>
      </c>
      <c r="J42" s="10" t="n">
        <v>1880</v>
      </c>
      <c r="K42" s="10" t="n">
        <v>1961</v>
      </c>
      <c r="L42" s="6" t="n">
        <f aca="false">(10-(LEN(M42)))+1</f>
        <v>7</v>
      </c>
      <c r="M42" s="6" t="n">
        <v>3724</v>
      </c>
      <c r="N42" s="6" t="str">
        <f aca="false">IF($J42="NA","NA",IF(AND($J42&gt;2019,M42&gt;0),"ERRO","OK"))</f>
        <v>OK</v>
      </c>
      <c r="O42" s="6" t="n">
        <f aca="false">(10-(LEN(P42)))+1</f>
        <v>7</v>
      </c>
      <c r="P42" s="6" t="n">
        <v>7638</v>
      </c>
      <c r="Q42" s="6" t="str">
        <f aca="false">IF($J42="NA","NA",IF(AND($J42&gt;2009,P42&gt;0),"ERRO","OK"))</f>
        <v>OK</v>
      </c>
      <c r="R42" s="6" t="n">
        <f aca="false">(10-(LEN(S42)))+1</f>
        <v>7</v>
      </c>
      <c r="S42" s="6" t="n">
        <v>4103</v>
      </c>
      <c r="T42" s="6" t="str">
        <f aca="false">IF($J42="NA","NA",IF(AND($J42&gt;1999,S42&gt;0),"ERRO","OK"))</f>
        <v>OK</v>
      </c>
      <c r="U42" s="6" t="n">
        <f aca="false">(10-(LEN(V42)))+1</f>
        <v>7</v>
      </c>
      <c r="V42" s="6" t="n">
        <v>5900</v>
      </c>
      <c r="W42" s="6" t="str">
        <f aca="false">IF($J42="NA","NA",IF(AND($J42&gt;1989,V42&gt;0),"ERRO","OK"))</f>
        <v>OK</v>
      </c>
      <c r="X42" s="6" t="n">
        <f aca="false">(10-(LEN(Y42)))+1</f>
        <v>7</v>
      </c>
      <c r="Y42" s="6" t="n">
        <v>5232</v>
      </c>
      <c r="Z42" s="6" t="str">
        <f aca="false">IF($J42="NA","NA",IF(AND($J42&gt;1979,Y42&gt;0),"ERRO","OK"))</f>
        <v>OK</v>
      </c>
      <c r="AA42" s="6" t="n">
        <f aca="false">(10-(LEN(AB42)))+1</f>
        <v>7</v>
      </c>
      <c r="AB42" s="6" t="n">
        <v>4370</v>
      </c>
      <c r="AC42" s="6" t="str">
        <f aca="false">IF($J42="NA","NA",IF(AND($J42&gt;1969,AB42&gt;0),"ERRO","OK"))</f>
        <v>OK</v>
      </c>
      <c r="AD42" s="6" t="n">
        <f aca="false">(10-(LEN(AE42)))+1</f>
        <v>7</v>
      </c>
      <c r="AE42" s="6" t="n">
        <v>1697</v>
      </c>
      <c r="AF42" s="6" t="str">
        <f aca="false">IF($J42="NA","NA",IF(AND($J42&gt;1959,AE42&gt;0),"ERRO","OK"))</f>
        <v>OK</v>
      </c>
      <c r="AG42" s="6" t="n">
        <f aca="false">(10-(LEN(AH42)))+1</f>
        <v>7</v>
      </c>
      <c r="AH42" s="6" t="n">
        <v>1969</v>
      </c>
      <c r="AI42" s="6" t="str">
        <f aca="false">IF($J42="NA","NA",IF(AND($J42&gt;1949,AH42&gt;0),"ERRO","OK"))</f>
        <v>OK</v>
      </c>
      <c r="AJ42" s="6" t="n">
        <f aca="false">(10-(LEN(AK42)))+1</f>
        <v>7</v>
      </c>
      <c r="AK42" s="6" t="n">
        <v>1612</v>
      </c>
      <c r="AL42" s="6" t="str">
        <f aca="false">IF($J42="NA","NA",IF(AND($J42&gt;1939,AK42&gt;0),"ERRO","OK"))</f>
        <v>OK</v>
      </c>
      <c r="AM42" s="6" t="n">
        <f aca="false">(10-(LEN(AN42)))+1</f>
        <v>7</v>
      </c>
      <c r="AN42" s="6" t="n">
        <v>1123</v>
      </c>
      <c r="AO42" s="6" t="str">
        <f aca="false">IF($J42="NA","NA",IF(AND($J42&gt;1929,AN42&gt;0),"ERRO","OK"))</f>
        <v>OK</v>
      </c>
      <c r="AP42" s="6" t="n">
        <f aca="false">(10-(LEN(AQ42)))+1</f>
        <v>8</v>
      </c>
      <c r="AQ42" s="6" t="n">
        <v>738</v>
      </c>
      <c r="AR42" s="6" t="str">
        <f aca="false">IF($J42="NA","NA",IF(AND($J42&gt;1919,AQ42&gt;0),"ERRO","OK"))</f>
        <v>OK</v>
      </c>
      <c r="AS42" s="6" t="n">
        <f aca="false">(10-(LEN(AT42)))+1</f>
        <v>7</v>
      </c>
      <c r="AT42" s="6" t="n">
        <v>2063</v>
      </c>
      <c r="AU42" s="6" t="str">
        <f aca="false">IF($J42="NA","NA",IF(AND($J42&gt;1909,AT42&gt;0),"ERRO","OK"))</f>
        <v>OK</v>
      </c>
      <c r="AV42" s="6" t="n">
        <f aca="false">(10-(LEN(AW42)))+1</f>
        <v>10</v>
      </c>
      <c r="AW42" s="6" t="n">
        <v>0</v>
      </c>
      <c r="AX42" s="6" t="str">
        <f aca="false">IF($J42="NA","NA",IF(AND($J42&gt;1899,AW42&gt;0),"ERRO","OK"))</f>
        <v>OK</v>
      </c>
    </row>
    <row r="43" customFormat="false" ht="15" hidden="false" customHeight="false" outlineLevel="0" collapsed="false">
      <c r="A43" s="7" t="n">
        <v>40</v>
      </c>
      <c r="B43" s="0" t="s">
        <v>59</v>
      </c>
      <c r="C43" s="8" t="n">
        <v>45301</v>
      </c>
      <c r="D43" s="6" t="n">
        <v>0</v>
      </c>
      <c r="E43" s="0" t="s">
        <v>16</v>
      </c>
      <c r="F43" s="0" t="s">
        <v>17</v>
      </c>
      <c r="G43" s="9" t="str">
        <f aca="false">IF(OR(N43="ERRO",Q43="ERRO",T43="ERRO",W43="ERRO",Z43="ERRO",AC43="ERRO",AF43="ERRO",AI43="ERRO",AL43="ERRO",AO43="ERRO",AR43="ERRO",AU43="ERRO",AX43="ERRO"),"ERRO","OK")</f>
        <v>OK</v>
      </c>
      <c r="H43" s="9" t="n">
        <f aca="false">COUNTIF(L43:AX43,"ERRO")</f>
        <v>0</v>
      </c>
      <c r="I43" s="9" t="s">
        <v>18</v>
      </c>
      <c r="J43" s="10" t="n">
        <v>1890</v>
      </c>
      <c r="K43" s="10" t="n">
        <v>1944</v>
      </c>
      <c r="L43" s="6" t="n">
        <f aca="false">(10-(LEN(M43)))+1</f>
        <v>7</v>
      </c>
      <c r="M43" s="6" t="n">
        <v>1041</v>
      </c>
      <c r="N43" s="6" t="str">
        <f aca="false">IF($J43="NA","NA",IF(AND($J43&gt;2019,M43&gt;0),"ERRO","OK"))</f>
        <v>OK</v>
      </c>
      <c r="O43" s="6" t="n">
        <f aca="false">(10-(LEN(P43)))+1</f>
        <v>8</v>
      </c>
      <c r="P43" s="6" t="n">
        <v>892</v>
      </c>
      <c r="Q43" s="6" t="str">
        <f aca="false">IF($J43="NA","NA",IF(AND($J43&gt;2009,P43&gt;0),"ERRO","OK"))</f>
        <v>OK</v>
      </c>
      <c r="R43" s="6" t="n">
        <f aca="false">(10-(LEN(S43)))+1</f>
        <v>8</v>
      </c>
      <c r="S43" s="6" t="n">
        <v>462</v>
      </c>
      <c r="T43" s="6" t="str">
        <f aca="false">IF($J43="NA","NA",IF(AND($J43&gt;1999,S43&gt;0),"ERRO","OK"))</f>
        <v>OK</v>
      </c>
      <c r="U43" s="6" t="n">
        <f aca="false">(10-(LEN(V43)))+1</f>
        <v>8</v>
      </c>
      <c r="V43" s="6" t="n">
        <v>828</v>
      </c>
      <c r="W43" s="6" t="str">
        <f aca="false">IF($J43="NA","NA",IF(AND($J43&gt;1989,V43&gt;0),"ERRO","OK"))</f>
        <v>OK</v>
      </c>
      <c r="X43" s="6" t="n">
        <f aca="false">(10-(LEN(Y43)))+1</f>
        <v>8</v>
      </c>
      <c r="Y43" s="6" t="n">
        <v>589</v>
      </c>
      <c r="Z43" s="6" t="str">
        <f aca="false">IF($J43="NA","NA",IF(AND($J43&gt;1979,Y43&gt;0),"ERRO","OK"))</f>
        <v>OK</v>
      </c>
      <c r="AA43" s="6" t="n">
        <f aca="false">(10-(LEN(AB43)))+1</f>
        <v>8</v>
      </c>
      <c r="AB43" s="6" t="n">
        <v>410</v>
      </c>
      <c r="AC43" s="6" t="str">
        <f aca="false">IF($J43="NA","NA",IF(AND($J43&gt;1969,AB43&gt;0),"ERRO","OK"))</f>
        <v>OK</v>
      </c>
      <c r="AD43" s="6" t="n">
        <f aca="false">(10-(LEN(AE43)))+1</f>
        <v>8</v>
      </c>
      <c r="AE43" s="6" t="n">
        <v>179</v>
      </c>
      <c r="AF43" s="6" t="str">
        <f aca="false">IF($J43="NA","NA",IF(AND($J43&gt;1959,AE43&gt;0),"ERRO","OK"))</f>
        <v>OK</v>
      </c>
      <c r="AG43" s="6" t="n">
        <f aca="false">(10-(LEN(AH43)))+1</f>
        <v>8</v>
      </c>
      <c r="AH43" s="6" t="n">
        <v>551</v>
      </c>
      <c r="AI43" s="6" t="str">
        <f aca="false">IF($J43="NA","NA",IF(AND($J43&gt;1949,AH43&gt;0),"ERRO","OK"))</f>
        <v>OK</v>
      </c>
      <c r="AJ43" s="6" t="n">
        <f aca="false">(10-(LEN(AK43)))+1</f>
        <v>7</v>
      </c>
      <c r="AK43" s="6" t="n">
        <v>1532</v>
      </c>
      <c r="AL43" s="6" t="str">
        <f aca="false">IF($J43="NA","NA",IF(AND($J43&gt;1939,AK43&gt;0),"ERRO","OK"))</f>
        <v>OK</v>
      </c>
      <c r="AM43" s="6" t="n">
        <f aca="false">(10-(LEN(AN43)))+1</f>
        <v>8</v>
      </c>
      <c r="AN43" s="6" t="n">
        <v>305</v>
      </c>
      <c r="AO43" s="6" t="str">
        <f aca="false">IF($J43="NA","NA",IF(AND($J43&gt;1929,AN43&gt;0),"ERRO","OK"))</f>
        <v>OK</v>
      </c>
      <c r="AP43" s="6" t="n">
        <f aca="false">(10-(LEN(AQ43)))+1</f>
        <v>7</v>
      </c>
      <c r="AQ43" s="6" t="n">
        <v>1202</v>
      </c>
      <c r="AR43" s="6" t="str">
        <f aca="false">IF($J43="NA","NA",IF(AND($J43&gt;1919,AQ43&gt;0),"ERRO","OK"))</f>
        <v>OK</v>
      </c>
      <c r="AS43" s="6" t="n">
        <f aca="false">(10-(LEN(AT43)))+1</f>
        <v>8</v>
      </c>
      <c r="AT43" s="6" t="n">
        <v>928</v>
      </c>
      <c r="AU43" s="6" t="str">
        <f aca="false">IF($J43="NA","NA",IF(AND($J43&gt;1909,AT43&gt;0),"ERRO","OK"))</f>
        <v>OK</v>
      </c>
      <c r="AV43" s="6" t="n">
        <f aca="false">(10-(LEN(AW43)))+1</f>
        <v>8</v>
      </c>
      <c r="AW43" s="6" t="n">
        <v>516</v>
      </c>
      <c r="AX43" s="6" t="str">
        <f aca="false">IF($J43="NA","NA",IF(AND($J43&gt;1899,AW43&gt;0),"ERRO","OK"))</f>
        <v>OK</v>
      </c>
    </row>
    <row r="44" customFormat="false" ht="15" hidden="false" customHeight="false" outlineLevel="0" collapsed="false">
      <c r="A44" s="7" t="n">
        <v>41</v>
      </c>
      <c r="B44" s="0" t="s">
        <v>60</v>
      </c>
      <c r="C44" s="8" t="n">
        <v>45302</v>
      </c>
      <c r="D44" s="6" t="n">
        <v>0</v>
      </c>
      <c r="E44" s="0" t="s">
        <v>16</v>
      </c>
      <c r="F44" s="0" t="s">
        <v>17</v>
      </c>
      <c r="G44" s="9" t="str">
        <f aca="false">IF(OR(N44="ERRO",Q44="ERRO",T44="ERRO",W44="ERRO",Z44="ERRO",AC44="ERRO",AF44="ERRO",AI44="ERRO",AL44="ERRO",AO44="ERRO",AR44="ERRO",AU44="ERRO",AX44="ERRO"),"ERRO","OK")</f>
        <v>OK</v>
      </c>
      <c r="H44" s="9" t="n">
        <f aca="false">COUNTIF(L44:AX44,"ERRO")</f>
        <v>0</v>
      </c>
      <c r="I44" s="9" t="s">
        <v>18</v>
      </c>
      <c r="J44" s="10" t="n">
        <v>1890</v>
      </c>
      <c r="K44" s="10" t="n">
        <v>1944</v>
      </c>
      <c r="L44" s="6" t="n">
        <f aca="false">(10-(LEN(M44)))+1</f>
        <v>8</v>
      </c>
      <c r="M44" s="6" t="n">
        <v>323</v>
      </c>
      <c r="N44" s="6" t="str">
        <f aca="false">IF($J44="NA","NA",IF(AND($J44&gt;2019,M44&gt;0),"ERRO","OK"))</f>
        <v>OK</v>
      </c>
      <c r="O44" s="6" t="n">
        <f aca="false">(10-(LEN(P44)))+1</f>
        <v>8</v>
      </c>
      <c r="P44" s="6" t="n">
        <v>683</v>
      </c>
      <c r="Q44" s="6" t="str">
        <f aca="false">IF($J44="NA","NA",IF(AND($J44&gt;2009,P44&gt;0),"ERRO","OK"))</f>
        <v>OK</v>
      </c>
      <c r="R44" s="6" t="n">
        <f aca="false">(10-(LEN(S44)))+1</f>
        <v>8</v>
      </c>
      <c r="S44" s="6" t="n">
        <v>186</v>
      </c>
      <c r="T44" s="6" t="str">
        <f aca="false">IF($J44="NA","NA",IF(AND($J44&gt;1999,S44&gt;0),"ERRO","OK"))</f>
        <v>OK</v>
      </c>
      <c r="U44" s="6" t="n">
        <f aca="false">(10-(LEN(V44)))+1</f>
        <v>8</v>
      </c>
      <c r="V44" s="6" t="n">
        <v>204</v>
      </c>
      <c r="W44" s="6" t="str">
        <f aca="false">IF($J44="NA","NA",IF(AND($J44&gt;1989,V44&gt;0),"ERRO","OK"))</f>
        <v>OK</v>
      </c>
      <c r="X44" s="6" t="n">
        <f aca="false">(10-(LEN(Y44)))+1</f>
        <v>8</v>
      </c>
      <c r="Y44" s="6" t="n">
        <v>356</v>
      </c>
      <c r="Z44" s="6" t="str">
        <f aca="false">IF($J44="NA","NA",IF(AND($J44&gt;1979,Y44&gt;0),"ERRO","OK"))</f>
        <v>OK</v>
      </c>
      <c r="AA44" s="6" t="n">
        <f aca="false">(10-(LEN(AB44)))+1</f>
        <v>8</v>
      </c>
      <c r="AB44" s="6" t="n">
        <v>194</v>
      </c>
      <c r="AC44" s="6" t="str">
        <f aca="false">IF($J44="NA","NA",IF(AND($J44&gt;1969,AB44&gt;0),"ERRO","OK"))</f>
        <v>OK</v>
      </c>
      <c r="AD44" s="6" t="n">
        <f aca="false">(10-(LEN(AE44)))+1</f>
        <v>8</v>
      </c>
      <c r="AE44" s="6" t="n">
        <v>199</v>
      </c>
      <c r="AF44" s="6" t="str">
        <f aca="false">IF($J44="NA","NA",IF(AND($J44&gt;1959,AE44&gt;0),"ERRO","OK"))</f>
        <v>OK</v>
      </c>
      <c r="AG44" s="6" t="n">
        <f aca="false">(10-(LEN(AH44)))+1</f>
        <v>10</v>
      </c>
      <c r="AH44" s="6" t="n">
        <v>0</v>
      </c>
      <c r="AI44" s="6" t="str">
        <f aca="false">IF($J44="NA","NA",IF(AND($J44&gt;1949,AH44&gt;0),"ERRO","OK"))</f>
        <v>OK</v>
      </c>
      <c r="AJ44" s="6" t="n">
        <f aca="false">(10-(LEN(AK44)))+1</f>
        <v>10</v>
      </c>
      <c r="AK44" s="6" t="n">
        <v>0</v>
      </c>
      <c r="AL44" s="6" t="str">
        <f aca="false">IF($J44="NA","NA",IF(AND($J44&gt;1939,AK44&gt;0),"ERRO","OK"))</f>
        <v>OK</v>
      </c>
      <c r="AM44" s="6" t="n">
        <f aca="false">(10-(LEN(AN44)))+1</f>
        <v>10</v>
      </c>
      <c r="AN44" s="6" t="n">
        <v>0</v>
      </c>
      <c r="AO44" s="6" t="str">
        <f aca="false">IF($J44="NA","NA",IF(AND($J44&gt;1929,AN44&gt;0),"ERRO","OK"))</f>
        <v>OK</v>
      </c>
      <c r="AP44" s="6" t="n">
        <f aca="false">(10-(LEN(AQ44)))+1</f>
        <v>7</v>
      </c>
      <c r="AQ44" s="6" t="n">
        <v>4002</v>
      </c>
      <c r="AR44" s="6" t="str">
        <f aca="false">IF($J44="NA","NA",IF(AND($J44&gt;1919,AQ44&gt;0),"ERRO","OK"))</f>
        <v>OK</v>
      </c>
      <c r="AS44" s="6" t="n">
        <f aca="false">(10-(LEN(AT44)))+1</f>
        <v>10</v>
      </c>
      <c r="AT44" s="6" t="n">
        <v>0</v>
      </c>
      <c r="AU44" s="6" t="str">
        <f aca="false">IF($J44="NA","NA",IF(AND($J44&gt;1909,AT44&gt;0),"ERRO","OK"))</f>
        <v>OK</v>
      </c>
      <c r="AV44" s="6" t="n">
        <f aca="false">(10-(LEN(AW44)))+1</f>
        <v>10</v>
      </c>
      <c r="AW44" s="6" t="n">
        <v>0</v>
      </c>
      <c r="AX44" s="6" t="str">
        <f aca="false">IF($J44="NA","NA",IF(AND($J44&gt;1899,AW44&gt;0),"ERRO","OK"))</f>
        <v>OK</v>
      </c>
    </row>
    <row r="45" customFormat="false" ht="15" hidden="false" customHeight="false" outlineLevel="0" collapsed="false">
      <c r="A45" s="7" t="n">
        <v>42</v>
      </c>
      <c r="B45" s="0" t="s">
        <v>61</v>
      </c>
      <c r="C45" s="8" t="n">
        <v>45302</v>
      </c>
      <c r="D45" s="6" t="n">
        <v>0</v>
      </c>
      <c r="E45" s="0" t="s">
        <v>16</v>
      </c>
      <c r="F45" s="0" t="s">
        <v>17</v>
      </c>
      <c r="G45" s="9" t="str">
        <f aca="false">IF(OR(N45="ERRO",Q45="ERRO",T45="ERRO",W45="ERRO",Z45="ERRO",AC45="ERRO",AF45="ERRO",AI45="ERRO",AL45="ERRO",AO45="ERRO",AR45="ERRO",AU45="ERRO",AX45="ERRO"),"ERRO","OK")</f>
        <v>OK</v>
      </c>
      <c r="H45" s="9" t="n">
        <f aca="false">COUNTIF(L45:AX45,"ERRO")</f>
        <v>0</v>
      </c>
      <c r="I45" s="9" t="s">
        <v>18</v>
      </c>
      <c r="J45" s="10" t="n">
        <v>1881</v>
      </c>
      <c r="K45" s="10" t="n">
        <v>1918</v>
      </c>
      <c r="L45" s="6" t="n">
        <f aca="false">(10-(LEN(M45)))+1</f>
        <v>8</v>
      </c>
      <c r="M45" s="6" t="n">
        <v>916</v>
      </c>
      <c r="N45" s="6" t="str">
        <f aca="false">IF($J45="NA","NA",IF(AND($J45&gt;2019,M45&gt;0),"ERRO","OK"))</f>
        <v>OK</v>
      </c>
      <c r="O45" s="6" t="n">
        <f aca="false">(10-(LEN(P45)))+1</f>
        <v>7</v>
      </c>
      <c r="P45" s="6" t="n">
        <v>1063</v>
      </c>
      <c r="Q45" s="6" t="str">
        <f aca="false">IF($J45="NA","NA",IF(AND($J45&gt;2009,P45&gt;0),"ERRO","OK"))</f>
        <v>OK</v>
      </c>
      <c r="R45" s="6" t="n">
        <f aca="false">(10-(LEN(S45)))+1</f>
        <v>7</v>
      </c>
      <c r="S45" s="6" t="n">
        <v>1555</v>
      </c>
      <c r="T45" s="6" t="str">
        <f aca="false">IF($J45="NA","NA",IF(AND($J45&gt;1999,S45&gt;0),"ERRO","OK"))</f>
        <v>OK</v>
      </c>
      <c r="U45" s="6" t="n">
        <f aca="false">(10-(LEN(V45)))+1</f>
        <v>7</v>
      </c>
      <c r="V45" s="6" t="n">
        <v>2760</v>
      </c>
      <c r="W45" s="6" t="str">
        <f aca="false">IF($J45="NA","NA",IF(AND($J45&gt;1989,V45&gt;0),"ERRO","OK"))</f>
        <v>OK</v>
      </c>
      <c r="X45" s="6" t="n">
        <f aca="false">(10-(LEN(Y45)))+1</f>
        <v>7</v>
      </c>
      <c r="Y45" s="6" t="n">
        <v>4013</v>
      </c>
      <c r="Z45" s="6" t="str">
        <f aca="false">IF($J45="NA","NA",IF(AND($J45&gt;1979,Y45&gt;0),"ERRO","OK"))</f>
        <v>OK</v>
      </c>
      <c r="AA45" s="6" t="n">
        <f aca="false">(10-(LEN(AB45)))+1</f>
        <v>7</v>
      </c>
      <c r="AB45" s="6" t="n">
        <v>1113</v>
      </c>
      <c r="AC45" s="6" t="str">
        <f aca="false">IF($J45="NA","NA",IF(AND($J45&gt;1969,AB45&gt;0),"ERRO","OK"))</f>
        <v>OK</v>
      </c>
      <c r="AD45" s="6" t="n">
        <f aca="false">(10-(LEN(AE45)))+1</f>
        <v>8</v>
      </c>
      <c r="AE45" s="6" t="n">
        <v>807</v>
      </c>
      <c r="AF45" s="6" t="str">
        <f aca="false">IF($J45="NA","NA",IF(AND($J45&gt;1959,AE45&gt;0),"ERRO","OK"))</f>
        <v>OK</v>
      </c>
      <c r="AG45" s="6" t="n">
        <f aca="false">(10-(LEN(AH45)))+1</f>
        <v>8</v>
      </c>
      <c r="AH45" s="6" t="n">
        <v>441</v>
      </c>
      <c r="AI45" s="6" t="str">
        <f aca="false">IF($J45="NA","NA",IF(AND($J45&gt;1949,AH45&gt;0),"ERRO","OK"))</f>
        <v>OK</v>
      </c>
      <c r="AJ45" s="6" t="n">
        <f aca="false">(10-(LEN(AK45)))+1</f>
        <v>8</v>
      </c>
      <c r="AK45" s="6" t="n">
        <v>696</v>
      </c>
      <c r="AL45" s="6" t="str">
        <f aca="false">IF($J45="NA","NA",IF(AND($J45&gt;1939,AK45&gt;0),"ERRO","OK"))</f>
        <v>OK</v>
      </c>
      <c r="AM45" s="6" t="n">
        <f aca="false">(10-(LEN(AN45)))+1</f>
        <v>10</v>
      </c>
      <c r="AN45" s="6" t="n">
        <v>0</v>
      </c>
      <c r="AO45" s="6" t="str">
        <f aca="false">IF($J45="NA","NA",IF(AND($J45&gt;1929,AN45&gt;0),"ERRO","OK"))</f>
        <v>OK</v>
      </c>
      <c r="AP45" s="6" t="n">
        <f aca="false">(10-(LEN(AQ45)))+1</f>
        <v>8</v>
      </c>
      <c r="AQ45" s="6" t="n">
        <v>100</v>
      </c>
      <c r="AR45" s="6" t="str">
        <f aca="false">IF($J45="NA","NA",IF(AND($J45&gt;1919,AQ45&gt;0),"ERRO","OK"))</f>
        <v>OK</v>
      </c>
      <c r="AS45" s="6" t="n">
        <f aca="false">(10-(LEN(AT45)))+1</f>
        <v>10</v>
      </c>
      <c r="AT45" s="6" t="n">
        <v>0</v>
      </c>
      <c r="AU45" s="6" t="str">
        <f aca="false">IF($J45="NA","NA",IF(AND($J45&gt;1909,AT45&gt;0),"ERRO","OK"))</f>
        <v>OK</v>
      </c>
      <c r="AV45" s="6" t="n">
        <f aca="false">(10-(LEN(AW45)))+1</f>
        <v>10</v>
      </c>
      <c r="AW45" s="6" t="n">
        <v>0</v>
      </c>
      <c r="AX45" s="6" t="str">
        <f aca="false">IF($J45="NA","NA",IF(AND($J45&gt;1899,AW45&gt;0),"ERRO","OK"))</f>
        <v>OK</v>
      </c>
    </row>
    <row r="46" customFormat="false" ht="15" hidden="false" customHeight="false" outlineLevel="0" collapsed="false">
      <c r="A46" s="7" t="n">
        <v>43</v>
      </c>
      <c r="B46" s="0" t="s">
        <v>62</v>
      </c>
      <c r="C46" s="8" t="n">
        <v>45302</v>
      </c>
      <c r="D46" s="6" t="n">
        <v>0</v>
      </c>
      <c r="E46" s="0" t="s">
        <v>16</v>
      </c>
      <c r="F46" s="0" t="s">
        <v>17</v>
      </c>
      <c r="G46" s="9" t="str">
        <f aca="false">IF(OR(N46="ERRO",Q46="ERRO",T46="ERRO",W46="ERRO",Z46="ERRO",AC46="ERRO",AF46="ERRO",AI46="ERRO",AL46="ERRO",AO46="ERRO",AR46="ERRO",AU46="ERRO",AX46="ERRO"),"ERRO","OK")</f>
        <v>OK</v>
      </c>
      <c r="H46" s="9" t="n">
        <f aca="false">COUNTIF(L46:AX46,"ERRO")</f>
        <v>0</v>
      </c>
      <c r="I46" s="9" t="s">
        <v>18</v>
      </c>
      <c r="J46" s="10" t="n">
        <v>1880</v>
      </c>
      <c r="K46" s="10" t="n">
        <v>1918</v>
      </c>
      <c r="L46" s="6" t="n">
        <f aca="false">(10-(LEN(M46)))+1</f>
        <v>6</v>
      </c>
      <c r="M46" s="6" t="n">
        <v>34648</v>
      </c>
      <c r="N46" s="6" t="str">
        <f aca="false">IF($J46="NA","NA",IF(AND($J46&gt;2019,M46&gt;0),"ERRO","OK"))</f>
        <v>OK</v>
      </c>
      <c r="O46" s="6" t="n">
        <f aca="false">(10-(LEN(P46)))+1</f>
        <v>6</v>
      </c>
      <c r="P46" s="6" t="n">
        <v>38317</v>
      </c>
      <c r="Q46" s="6" t="str">
        <f aca="false">IF($J46="NA","NA",IF(AND($J46&gt;2009,P46&gt;0),"ERRO","OK"))</f>
        <v>OK</v>
      </c>
      <c r="R46" s="6" t="n">
        <f aca="false">(10-(LEN(S46)))+1</f>
        <v>6</v>
      </c>
      <c r="S46" s="6" t="n">
        <v>43864</v>
      </c>
      <c r="T46" s="6" t="str">
        <f aca="false">IF($J46="NA","NA",IF(AND($J46&gt;1999,S46&gt;0),"ERRO","OK"))</f>
        <v>OK</v>
      </c>
      <c r="U46" s="6" t="n">
        <f aca="false">(10-(LEN(V46)))+1</f>
        <v>6</v>
      </c>
      <c r="V46" s="6" t="n">
        <v>40933</v>
      </c>
      <c r="W46" s="6" t="str">
        <f aca="false">IF($J46="NA","NA",IF(AND($J46&gt;1989,V46&gt;0),"ERRO","OK"))</f>
        <v>OK</v>
      </c>
      <c r="X46" s="6" t="n">
        <f aca="false">(10-(LEN(Y46)))+1</f>
        <v>6</v>
      </c>
      <c r="Y46" s="6" t="n">
        <v>33229</v>
      </c>
      <c r="Z46" s="6" t="str">
        <f aca="false">IF($J46="NA","NA",IF(AND($J46&gt;1979,Y46&gt;0),"ERRO","OK"))</f>
        <v>OK</v>
      </c>
      <c r="AA46" s="6" t="n">
        <f aca="false">(10-(LEN(AB46)))+1</f>
        <v>6</v>
      </c>
      <c r="AB46" s="6" t="n">
        <v>51800</v>
      </c>
      <c r="AC46" s="6" t="str">
        <f aca="false">IF($J46="NA","NA",IF(AND($J46&gt;1969,AB46&gt;0),"ERRO","OK"))</f>
        <v>OK</v>
      </c>
      <c r="AD46" s="6" t="n">
        <f aca="false">(10-(LEN(AE46)))+1</f>
        <v>6</v>
      </c>
      <c r="AE46" s="6" t="n">
        <v>33998</v>
      </c>
      <c r="AF46" s="6" t="str">
        <f aca="false">IF($J46="NA","NA",IF(AND($J46&gt;1959,AE46&gt;0),"ERRO","OK"))</f>
        <v>OK</v>
      </c>
      <c r="AG46" s="6" t="n">
        <f aca="false">(10-(LEN(AH46)))+1</f>
        <v>6</v>
      </c>
      <c r="AH46" s="6" t="n">
        <v>35905</v>
      </c>
      <c r="AI46" s="6" t="str">
        <f aca="false">IF($J46="NA","NA",IF(AND($J46&gt;1949,AH46&gt;0),"ERRO","OK"))</f>
        <v>OK</v>
      </c>
      <c r="AJ46" s="6" t="n">
        <f aca="false">(10-(LEN(AK46)))+1</f>
        <v>6</v>
      </c>
      <c r="AK46" s="6" t="n">
        <v>13369</v>
      </c>
      <c r="AL46" s="6" t="str">
        <f aca="false">IF($J46="NA","NA",IF(AND($J46&gt;1939,AK46&gt;0),"ERRO","OK"))</f>
        <v>OK</v>
      </c>
      <c r="AM46" s="6" t="n">
        <f aca="false">(10-(LEN(AN46)))+1</f>
        <v>7</v>
      </c>
      <c r="AN46" s="6" t="n">
        <v>7921</v>
      </c>
      <c r="AO46" s="6" t="str">
        <f aca="false">IF($J46="NA","NA",IF(AND($J46&gt;1929,AN46&gt;0),"ERRO","OK"))</f>
        <v>OK</v>
      </c>
      <c r="AP46" s="6" t="n">
        <f aca="false">(10-(LEN(AQ46)))+1</f>
        <v>7</v>
      </c>
      <c r="AQ46" s="6" t="n">
        <v>9913</v>
      </c>
      <c r="AR46" s="6" t="str">
        <f aca="false">IF($J46="NA","NA",IF(AND($J46&gt;1919,AQ46&gt;0),"ERRO","OK"))</f>
        <v>OK</v>
      </c>
      <c r="AS46" s="6" t="n">
        <f aca="false">(10-(LEN(AT46)))+1</f>
        <v>10</v>
      </c>
      <c r="AT46" s="6" t="n">
        <v>0</v>
      </c>
      <c r="AU46" s="6" t="str">
        <f aca="false">IF($J46="NA","NA",IF(AND($J46&gt;1909,AT46&gt;0),"ERRO","OK"))</f>
        <v>OK</v>
      </c>
      <c r="AV46" s="6" t="n">
        <f aca="false">(10-(LEN(AW46)))+1</f>
        <v>10</v>
      </c>
      <c r="AW46" s="6" t="n">
        <v>0</v>
      </c>
      <c r="AX46" s="6" t="str">
        <f aca="false">IF($J46="NA","NA",IF(AND($J46&gt;1899,AW46&gt;0),"ERRO","OK"))</f>
        <v>OK</v>
      </c>
    </row>
    <row r="47" customFormat="false" ht="15" hidden="false" customHeight="false" outlineLevel="0" collapsed="false">
      <c r="A47" s="7" t="n">
        <v>44</v>
      </c>
      <c r="B47" s="0" t="s">
        <v>63</v>
      </c>
      <c r="C47" s="8" t="n">
        <v>45302</v>
      </c>
      <c r="D47" s="6" t="n">
        <v>0</v>
      </c>
      <c r="E47" s="0" t="s">
        <v>16</v>
      </c>
      <c r="F47" s="0" t="s">
        <v>17</v>
      </c>
      <c r="G47" s="9" t="str">
        <f aca="false">IF(OR(N47="ERRO",Q47="ERRO",T47="ERRO",W47="ERRO",Z47="ERRO",AC47="ERRO",AF47="ERRO",AI47="ERRO",AL47="ERRO",AO47="ERRO",AR47="ERRO",AU47="ERRO",AX47="ERRO"),"ERRO","OK")</f>
        <v>OK</v>
      </c>
      <c r="H47" s="9" t="n">
        <f aca="false">COUNTIF(L47:AX47,"ERRO")</f>
        <v>0</v>
      </c>
      <c r="I47" s="9" t="s">
        <v>18</v>
      </c>
      <c r="J47" s="10" t="n">
        <v>1887</v>
      </c>
      <c r="K47" s="10" t="n">
        <v>1918</v>
      </c>
      <c r="L47" s="6" t="n">
        <f aca="false">(10-(LEN(M47)))+1</f>
        <v>6</v>
      </c>
      <c r="M47" s="6" t="n">
        <v>31441</v>
      </c>
      <c r="N47" s="6" t="str">
        <f aca="false">IF($J47="NA","NA",IF(AND($J47&gt;2019,M47&gt;0),"ERRO","OK"))</f>
        <v>OK</v>
      </c>
      <c r="O47" s="6" t="n">
        <f aca="false">(10-(LEN(P47)))+1</f>
        <v>7</v>
      </c>
      <c r="P47" s="6" t="n">
        <v>2538</v>
      </c>
      <c r="Q47" s="6" t="str">
        <f aca="false">IF($J47="NA","NA",IF(AND($J47&gt;2009,P47&gt;0),"ERRO","OK"))</f>
        <v>OK</v>
      </c>
      <c r="R47" s="6" t="n">
        <f aca="false">(10-(LEN(S47)))+1</f>
        <v>7</v>
      </c>
      <c r="S47" s="6" t="n">
        <v>4832</v>
      </c>
      <c r="T47" s="6" t="str">
        <f aca="false">IF($J47="NA","NA",IF(AND($J47&gt;1999,S47&gt;0),"ERRO","OK"))</f>
        <v>OK</v>
      </c>
      <c r="U47" s="6" t="n">
        <f aca="false">(10-(LEN(V47)))+1</f>
        <v>7</v>
      </c>
      <c r="V47" s="6" t="n">
        <v>3035</v>
      </c>
      <c r="W47" s="6" t="str">
        <f aca="false">IF($J47="NA","NA",IF(AND($J47&gt;1989,V47&gt;0),"ERRO","OK"))</f>
        <v>OK</v>
      </c>
      <c r="X47" s="6" t="n">
        <f aca="false">(10-(LEN(Y47)))+1</f>
        <v>7</v>
      </c>
      <c r="Y47" s="6" t="n">
        <v>3532</v>
      </c>
      <c r="Z47" s="6" t="str">
        <f aca="false">IF($J47="NA","NA",IF(AND($J47&gt;1979,Y47&gt;0),"ERRO","OK"))</f>
        <v>OK</v>
      </c>
      <c r="AA47" s="6" t="n">
        <f aca="false">(10-(LEN(AB47)))+1</f>
        <v>7</v>
      </c>
      <c r="AB47" s="6" t="n">
        <v>2344</v>
      </c>
      <c r="AC47" s="6" t="str">
        <f aca="false">IF($J47="NA","NA",IF(AND($J47&gt;1969,AB47&gt;0),"ERRO","OK"))</f>
        <v>OK</v>
      </c>
      <c r="AD47" s="6" t="n">
        <f aca="false">(10-(LEN(AE47)))+1</f>
        <v>8</v>
      </c>
      <c r="AE47" s="6" t="n">
        <v>538</v>
      </c>
      <c r="AF47" s="6" t="str">
        <f aca="false">IF($J47="NA","NA",IF(AND($J47&gt;1959,AE47&gt;0),"ERRO","OK"))</f>
        <v>OK</v>
      </c>
      <c r="AG47" s="6" t="n">
        <f aca="false">(10-(LEN(AH47)))+1</f>
        <v>8</v>
      </c>
      <c r="AH47" s="6" t="n">
        <v>220</v>
      </c>
      <c r="AI47" s="6" t="str">
        <f aca="false">IF($J47="NA","NA",IF(AND($J47&gt;1949,AH47&gt;0),"ERRO","OK"))</f>
        <v>OK</v>
      </c>
      <c r="AJ47" s="6" t="n">
        <f aca="false">(10-(LEN(AK47)))+1</f>
        <v>10</v>
      </c>
      <c r="AK47" s="6" t="n">
        <v>0</v>
      </c>
      <c r="AL47" s="6" t="str">
        <f aca="false">IF($J47="NA","NA",IF(AND($J47&gt;1939,AK47&gt;0),"ERRO","OK"))</f>
        <v>OK</v>
      </c>
      <c r="AM47" s="6" t="n">
        <f aca="false">(10-(LEN(AN47)))+1</f>
        <v>10</v>
      </c>
      <c r="AN47" s="6" t="n">
        <v>0</v>
      </c>
      <c r="AO47" s="6" t="str">
        <f aca="false">IF($J47="NA","NA",IF(AND($J47&gt;1929,AN47&gt;0),"ERRO","OK"))</f>
        <v>OK</v>
      </c>
      <c r="AP47" s="6" t="n">
        <f aca="false">(10-(LEN(AQ47)))+1</f>
        <v>10</v>
      </c>
      <c r="AQ47" s="6" t="n">
        <v>0</v>
      </c>
      <c r="AR47" s="6" t="str">
        <f aca="false">IF($J47="NA","NA",IF(AND($J47&gt;1919,AQ47&gt;0),"ERRO","OK"))</f>
        <v>OK</v>
      </c>
      <c r="AS47" s="6" t="n">
        <f aca="false">(10-(LEN(AT47)))+1</f>
        <v>10</v>
      </c>
      <c r="AT47" s="6" t="n">
        <v>0</v>
      </c>
      <c r="AU47" s="6" t="str">
        <f aca="false">IF($J47="NA","NA",IF(AND($J47&gt;1909,AT47&gt;0),"ERRO","OK"))</f>
        <v>OK</v>
      </c>
      <c r="AV47" s="6" t="n">
        <f aca="false">(10-(LEN(AW47)))+1</f>
        <v>10</v>
      </c>
      <c r="AW47" s="6" t="n">
        <v>0</v>
      </c>
      <c r="AX47" s="6" t="str">
        <f aca="false">IF($J47="NA","NA",IF(AND($J47&gt;1899,AW47&gt;0),"ERRO","OK"))</f>
        <v>OK</v>
      </c>
    </row>
    <row r="48" customFormat="false" ht="15" hidden="false" customHeight="false" outlineLevel="0" collapsed="false">
      <c r="A48" s="7" t="n">
        <v>45</v>
      </c>
      <c r="B48" s="0" t="s">
        <v>64</v>
      </c>
      <c r="C48" s="8" t="n">
        <v>45302</v>
      </c>
      <c r="D48" s="6" t="n">
        <v>0</v>
      </c>
      <c r="E48" s="0" t="s">
        <v>16</v>
      </c>
      <c r="F48" s="0" t="s">
        <v>17</v>
      </c>
      <c r="G48" s="9" t="str">
        <f aca="false">IF(OR(N48="ERRO",Q48="ERRO",T48="ERRO",W48="ERRO",Z48="ERRO",AC48="ERRO",AF48="ERRO",AI48="ERRO",AL48="ERRO",AO48="ERRO",AR48="ERRO",AU48="ERRO",AX48="ERRO"),"ERRO","OK")</f>
        <v>OK</v>
      </c>
      <c r="H48" s="9" t="n">
        <f aca="false">COUNTIF(L48:AX48,"ERRO")</f>
        <v>0</v>
      </c>
      <c r="I48" s="9" t="s">
        <v>18</v>
      </c>
      <c r="J48" s="10" t="n">
        <v>1882</v>
      </c>
      <c r="K48" s="10" t="n">
        <v>1966</v>
      </c>
      <c r="L48" s="6" t="n">
        <f aca="false">(10-(LEN(M48)))+1</f>
        <v>6</v>
      </c>
      <c r="M48" s="6" t="n">
        <v>22779</v>
      </c>
      <c r="N48" s="6" t="str">
        <f aca="false">IF($J48="NA","NA",IF(AND($J48&gt;2019,M48&gt;0),"ERRO","OK"))</f>
        <v>OK</v>
      </c>
      <c r="O48" s="6" t="n">
        <f aca="false">(10-(LEN(P48)))+1</f>
        <v>6</v>
      </c>
      <c r="P48" s="6" t="n">
        <v>17152</v>
      </c>
      <c r="Q48" s="6" t="str">
        <f aca="false">IF($J48="NA","NA",IF(AND($J48&gt;2009,P48&gt;0),"ERRO","OK"))</f>
        <v>OK</v>
      </c>
      <c r="R48" s="6" t="n">
        <f aca="false">(10-(LEN(S48)))+1</f>
        <v>6</v>
      </c>
      <c r="S48" s="6" t="n">
        <v>24243</v>
      </c>
      <c r="T48" s="6" t="str">
        <f aca="false">IF($J48="NA","NA",IF(AND($J48&gt;1999,S48&gt;0),"ERRO","OK"))</f>
        <v>OK</v>
      </c>
      <c r="U48" s="6" t="n">
        <f aca="false">(10-(LEN(V48)))+1</f>
        <v>7</v>
      </c>
      <c r="V48" s="6" t="n">
        <v>9244</v>
      </c>
      <c r="W48" s="6" t="str">
        <f aca="false">IF($J48="NA","NA",IF(AND($J48&gt;1989,V48&gt;0),"ERRO","OK"))</f>
        <v>OK</v>
      </c>
      <c r="X48" s="6" t="n">
        <f aca="false">(10-(LEN(Y48)))+1</f>
        <v>7</v>
      </c>
      <c r="Y48" s="6" t="n">
        <v>4976</v>
      </c>
      <c r="Z48" s="6" t="str">
        <f aca="false">IF($J48="NA","NA",IF(AND($J48&gt;1979,Y48&gt;0),"ERRO","OK"))</f>
        <v>OK</v>
      </c>
      <c r="AA48" s="6" t="n">
        <f aca="false">(10-(LEN(AB48)))+1</f>
        <v>7</v>
      </c>
      <c r="AB48" s="6" t="n">
        <v>5860</v>
      </c>
      <c r="AC48" s="6" t="str">
        <f aca="false">IF($J48="NA","NA",IF(AND($J48&gt;1969,AB48&gt;0),"ERRO","OK"))</f>
        <v>OK</v>
      </c>
      <c r="AD48" s="6" t="n">
        <f aca="false">(10-(LEN(AE48)))+1</f>
        <v>7</v>
      </c>
      <c r="AE48" s="6" t="n">
        <v>8342</v>
      </c>
      <c r="AF48" s="6" t="str">
        <f aca="false">IF($J48="NA","NA",IF(AND($J48&gt;1959,AE48&gt;0),"ERRO","OK"))</f>
        <v>OK</v>
      </c>
      <c r="AG48" s="6" t="n">
        <f aca="false">(10-(LEN(AH48)))+1</f>
        <v>8</v>
      </c>
      <c r="AH48" s="6" t="n">
        <v>330</v>
      </c>
      <c r="AI48" s="6" t="str">
        <f aca="false">IF($J48="NA","NA",IF(AND($J48&gt;1949,AH48&gt;0),"ERRO","OK"))</f>
        <v>OK</v>
      </c>
      <c r="AJ48" s="6" t="n">
        <f aca="false">(10-(LEN(AK48)))+1</f>
        <v>7</v>
      </c>
      <c r="AK48" s="6" t="n">
        <v>2228</v>
      </c>
      <c r="AL48" s="6" t="str">
        <f aca="false">IF($J48="NA","NA",IF(AND($J48&gt;1939,AK48&gt;0),"ERRO","OK"))</f>
        <v>OK</v>
      </c>
      <c r="AM48" s="6" t="n">
        <f aca="false">(10-(LEN(AN48)))+1</f>
        <v>7</v>
      </c>
      <c r="AN48" s="6" t="n">
        <v>5179</v>
      </c>
      <c r="AO48" s="6" t="str">
        <f aca="false">IF($J48="NA","NA",IF(AND($J48&gt;1929,AN48&gt;0),"ERRO","OK"))</f>
        <v>OK</v>
      </c>
      <c r="AP48" s="6" t="n">
        <f aca="false">(10-(LEN(AQ48)))+1</f>
        <v>7</v>
      </c>
      <c r="AQ48" s="6" t="n">
        <v>3104</v>
      </c>
      <c r="AR48" s="6" t="str">
        <f aca="false">IF($J48="NA","NA",IF(AND($J48&gt;1919,AQ48&gt;0),"ERRO","OK"))</f>
        <v>OK</v>
      </c>
      <c r="AS48" s="6" t="n">
        <f aca="false">(10-(LEN(AT48)))+1</f>
        <v>10</v>
      </c>
      <c r="AT48" s="6" t="n">
        <v>0</v>
      </c>
      <c r="AU48" s="6" t="str">
        <f aca="false">IF($J48="NA","NA",IF(AND($J48&gt;1909,AT48&gt;0),"ERRO","OK"))</f>
        <v>OK</v>
      </c>
      <c r="AV48" s="6" t="n">
        <f aca="false">(10-(LEN(AW48)))+1</f>
        <v>10</v>
      </c>
      <c r="AW48" s="6" t="n">
        <v>0</v>
      </c>
      <c r="AX48" s="6" t="str">
        <f aca="false">IF($J48="NA","NA",IF(AND($J48&gt;1899,AW48&gt;0),"ERRO","OK"))</f>
        <v>OK</v>
      </c>
    </row>
    <row r="49" customFormat="false" ht="15" hidden="false" customHeight="false" outlineLevel="0" collapsed="false">
      <c r="A49" s="7" t="n">
        <v>46</v>
      </c>
      <c r="B49" s="0" t="s">
        <v>65</v>
      </c>
      <c r="C49" s="8" t="n">
        <v>45302</v>
      </c>
      <c r="D49" s="6" t="n">
        <v>0</v>
      </c>
      <c r="E49" s="0" t="s">
        <v>16</v>
      </c>
      <c r="F49" s="0" t="s">
        <v>17</v>
      </c>
      <c r="G49" s="9" t="str">
        <f aca="false">IF(OR(N49="ERRO",Q49="ERRO",T49="ERRO",W49="ERRO",Z49="ERRO",AC49="ERRO",AF49="ERRO",AI49="ERRO",AL49="ERRO",AO49="ERRO",AR49="ERRO",AU49="ERRO",AX49="ERRO"),"ERRO","OK")</f>
        <v>OK</v>
      </c>
      <c r="H49" s="9" t="n">
        <f aca="false">COUNTIF(L49:AX49,"ERRO")</f>
        <v>0</v>
      </c>
      <c r="I49" s="9" t="s">
        <v>18</v>
      </c>
      <c r="J49" s="10" t="n">
        <v>1876</v>
      </c>
      <c r="K49" s="10" t="n">
        <v>1920</v>
      </c>
      <c r="L49" s="6" t="n">
        <f aca="false">(10-(LEN(M49)))+1</f>
        <v>8</v>
      </c>
      <c r="M49" s="6" t="n">
        <v>482</v>
      </c>
      <c r="N49" s="6" t="str">
        <f aca="false">IF($J49="NA","NA",IF(AND($J49&gt;2019,M49&gt;0),"ERRO","OK"))</f>
        <v>OK</v>
      </c>
      <c r="O49" s="6" t="n">
        <f aca="false">(10-(LEN(P49)))+1</f>
        <v>8</v>
      </c>
      <c r="P49" s="6" t="n">
        <v>144</v>
      </c>
      <c r="Q49" s="6" t="str">
        <f aca="false">IF($J49="NA","NA",IF(AND($J49&gt;2009,P49&gt;0),"ERRO","OK"))</f>
        <v>OK</v>
      </c>
      <c r="R49" s="6" t="n">
        <f aca="false">(10-(LEN(S49)))+1</f>
        <v>8</v>
      </c>
      <c r="S49" s="6" t="n">
        <v>309</v>
      </c>
      <c r="T49" s="6" t="str">
        <f aca="false">IF($J49="NA","NA",IF(AND($J49&gt;1999,S49&gt;0),"ERRO","OK"))</f>
        <v>OK</v>
      </c>
      <c r="U49" s="6" t="n">
        <f aca="false">(10-(LEN(V49)))+1</f>
        <v>8</v>
      </c>
      <c r="V49" s="6" t="n">
        <v>193</v>
      </c>
      <c r="W49" s="6" t="str">
        <f aca="false">IF($J49="NA","NA",IF(AND($J49&gt;1989,V49&gt;0),"ERRO","OK"))</f>
        <v>OK</v>
      </c>
      <c r="X49" s="6" t="n">
        <f aca="false">(10-(LEN(Y49)))+1</f>
        <v>8</v>
      </c>
      <c r="Y49" s="6" t="n">
        <v>394</v>
      </c>
      <c r="Z49" s="6" t="str">
        <f aca="false">IF($J49="NA","NA",IF(AND($J49&gt;1979,Y49&gt;0),"ERRO","OK"))</f>
        <v>OK</v>
      </c>
      <c r="AA49" s="6" t="n">
        <f aca="false">(10-(LEN(AB49)))+1</f>
        <v>8</v>
      </c>
      <c r="AB49" s="6" t="n">
        <v>554</v>
      </c>
      <c r="AC49" s="6" t="str">
        <f aca="false">IF($J49="NA","NA",IF(AND($J49&gt;1969,AB49&gt;0),"ERRO","OK"))</f>
        <v>OK</v>
      </c>
      <c r="AD49" s="6" t="n">
        <f aca="false">(10-(LEN(AE49)))+1</f>
        <v>7</v>
      </c>
      <c r="AE49" s="6" t="n">
        <v>3300</v>
      </c>
      <c r="AF49" s="6" t="str">
        <f aca="false">IF($J49="NA","NA",IF(AND($J49&gt;1959,AE49&gt;0),"ERRO","OK"))</f>
        <v>OK</v>
      </c>
      <c r="AG49" s="6" t="n">
        <f aca="false">(10-(LEN(AH49)))+1</f>
        <v>10</v>
      </c>
      <c r="AH49" s="6" t="n">
        <v>0</v>
      </c>
      <c r="AI49" s="6" t="str">
        <f aca="false">IF($J49="NA","NA",IF(AND($J49&gt;1949,AH49&gt;0),"ERRO","OK"))</f>
        <v>OK</v>
      </c>
      <c r="AJ49" s="6" t="n">
        <f aca="false">(10-(LEN(AK49)))+1</f>
        <v>7</v>
      </c>
      <c r="AK49" s="6" t="n">
        <v>8940</v>
      </c>
      <c r="AL49" s="6" t="str">
        <f aca="false">IF($J49="NA","NA",IF(AND($J49&gt;1939,AK49&gt;0),"ERRO","OK"))</f>
        <v>OK</v>
      </c>
      <c r="AM49" s="6" t="n">
        <f aca="false">(10-(LEN(AN49)))+1</f>
        <v>7</v>
      </c>
      <c r="AN49" s="6" t="n">
        <v>8825</v>
      </c>
      <c r="AO49" s="6" t="str">
        <f aca="false">IF($J49="NA","NA",IF(AND($J49&gt;1929,AN49&gt;0),"ERRO","OK"))</f>
        <v>OK</v>
      </c>
      <c r="AP49" s="6" t="n">
        <f aca="false">(10-(LEN(AQ49)))+1</f>
        <v>7</v>
      </c>
      <c r="AQ49" s="6" t="n">
        <v>3372</v>
      </c>
      <c r="AR49" s="6" t="str">
        <f aca="false">IF($J49="NA","NA",IF(AND($J49&gt;1919,AQ49&gt;0),"ERRO","OK"))</f>
        <v>OK</v>
      </c>
      <c r="AS49" s="6" t="n">
        <f aca="false">(10-(LEN(AT49)))+1</f>
        <v>7</v>
      </c>
      <c r="AT49" s="6" t="n">
        <v>1846</v>
      </c>
      <c r="AU49" s="6" t="str">
        <f aca="false">IF($J49="NA","NA",IF(AND($J49&gt;1909,AT49&gt;0),"ERRO","OK"))</f>
        <v>OK</v>
      </c>
      <c r="AV49" s="6" t="n">
        <f aca="false">(10-(LEN(AW49)))+1</f>
        <v>10</v>
      </c>
      <c r="AW49" s="6" t="n">
        <v>0</v>
      </c>
      <c r="AX49" s="6" t="str">
        <f aca="false">IF($J49="NA","NA",IF(AND($J49&gt;1899,AW49&gt;0),"ERRO","OK"))</f>
        <v>OK</v>
      </c>
    </row>
    <row r="50" customFormat="false" ht="15" hidden="false" customHeight="false" outlineLevel="0" collapsed="false">
      <c r="A50" s="7" t="n">
        <v>47</v>
      </c>
      <c r="B50" s="0" t="s">
        <v>66</v>
      </c>
      <c r="C50" s="8" t="n">
        <v>45302</v>
      </c>
      <c r="D50" s="6" t="n">
        <v>0</v>
      </c>
      <c r="E50" s="0" t="s">
        <v>16</v>
      </c>
      <c r="F50" s="0" t="s">
        <v>17</v>
      </c>
      <c r="G50" s="9" t="str">
        <f aca="false">IF(OR(N50="ERRO",Q50="ERRO",T50="ERRO",W50="ERRO",Z50="ERRO",AC50="ERRO",AF50="ERRO",AI50="ERRO",AL50="ERRO",AO50="ERRO",AR50="ERRO",AU50="ERRO",AX50="ERRO"),"ERRO","OK")</f>
        <v>OK</v>
      </c>
      <c r="H50" s="9" t="n">
        <f aca="false">COUNTIF(L50:AX50,"ERRO")</f>
        <v>0</v>
      </c>
      <c r="I50" s="9" t="s">
        <v>18</v>
      </c>
      <c r="J50" s="10" t="s">
        <v>22</v>
      </c>
      <c r="K50" s="10" t="s">
        <v>22</v>
      </c>
      <c r="L50" s="6" t="n">
        <f aca="false">(10-(LEN(M50)))+1</f>
        <v>10</v>
      </c>
      <c r="M50" s="6" t="n">
        <v>0</v>
      </c>
      <c r="N50" s="6" t="str">
        <f aca="false">IF($J50="NA","NA",IF(AND($J50&gt;2019,M50&gt;0),"ERRO","OK"))</f>
        <v>NA</v>
      </c>
      <c r="O50" s="6" t="n">
        <f aca="false">(10-(LEN(P50)))+1</f>
        <v>10</v>
      </c>
      <c r="P50" s="6" t="n">
        <v>0</v>
      </c>
      <c r="Q50" s="6" t="str">
        <f aca="false">IF($J50="NA","NA",IF(AND($J50&gt;2009,P50&gt;0),"ERRO","OK"))</f>
        <v>NA</v>
      </c>
      <c r="R50" s="6" t="n">
        <f aca="false">(10-(LEN(S50)))+1</f>
        <v>10</v>
      </c>
      <c r="S50" s="6" t="n">
        <v>0</v>
      </c>
      <c r="T50" s="6" t="str">
        <f aca="false">IF($J50="NA","NA",IF(AND($J50&gt;1999,S50&gt;0),"ERRO","OK"))</f>
        <v>NA</v>
      </c>
      <c r="U50" s="6" t="n">
        <f aca="false">(10-(LEN(V50)))+1</f>
        <v>10</v>
      </c>
      <c r="V50" s="6" t="n">
        <v>0</v>
      </c>
      <c r="W50" s="6" t="str">
        <f aca="false">IF($J50="NA","NA",IF(AND($J50&gt;1989,V50&gt;0),"ERRO","OK"))</f>
        <v>NA</v>
      </c>
      <c r="X50" s="6" t="n">
        <f aca="false">(10-(LEN(Y50)))+1</f>
        <v>10</v>
      </c>
      <c r="Y50" s="6" t="n">
        <v>0</v>
      </c>
      <c r="Z50" s="6" t="str">
        <f aca="false">IF($J50="NA","NA",IF(AND($J50&gt;1979,Y50&gt;0),"ERRO","OK"))</f>
        <v>NA</v>
      </c>
      <c r="AA50" s="6" t="n">
        <f aca="false">(10-(LEN(AB50)))+1</f>
        <v>10</v>
      </c>
      <c r="AB50" s="6" t="n">
        <v>0</v>
      </c>
      <c r="AC50" s="6" t="str">
        <f aca="false">IF($J50="NA","NA",IF(AND($J50&gt;1969,AB50&gt;0),"ERRO","OK"))</f>
        <v>NA</v>
      </c>
      <c r="AD50" s="6" t="n">
        <f aca="false">(10-(LEN(AE50)))+1</f>
        <v>10</v>
      </c>
      <c r="AE50" s="6" t="n">
        <v>0</v>
      </c>
      <c r="AF50" s="6" t="str">
        <f aca="false">IF($J50="NA","NA",IF(AND($J50&gt;1959,AE50&gt;0),"ERRO","OK"))</f>
        <v>NA</v>
      </c>
      <c r="AG50" s="6" t="n">
        <f aca="false">(10-(LEN(AH50)))+1</f>
        <v>10</v>
      </c>
      <c r="AH50" s="6" t="n">
        <v>0</v>
      </c>
      <c r="AI50" s="6" t="str">
        <f aca="false">IF($J50="NA","NA",IF(AND($J50&gt;1949,AH50&gt;0),"ERRO","OK"))</f>
        <v>NA</v>
      </c>
      <c r="AJ50" s="6" t="n">
        <f aca="false">(10-(LEN(AK50)))+1</f>
        <v>10</v>
      </c>
      <c r="AK50" s="6" t="n">
        <v>0</v>
      </c>
      <c r="AL50" s="6" t="str">
        <f aca="false">IF($J50="NA","NA",IF(AND($J50&gt;1939,AK50&gt;0),"ERRO","OK"))</f>
        <v>NA</v>
      </c>
      <c r="AM50" s="6" t="n">
        <f aca="false">(10-(LEN(AN50)))+1</f>
        <v>10</v>
      </c>
      <c r="AN50" s="6" t="n">
        <v>0</v>
      </c>
      <c r="AO50" s="6" t="str">
        <f aca="false">IF($J50="NA","NA",IF(AND($J50&gt;1929,AN50&gt;0),"ERRO","OK"))</f>
        <v>NA</v>
      </c>
      <c r="AP50" s="6" t="n">
        <f aca="false">(10-(LEN(AQ50)))+1</f>
        <v>10</v>
      </c>
      <c r="AQ50" s="6" t="n">
        <v>0</v>
      </c>
      <c r="AR50" s="6" t="str">
        <f aca="false">IF($J50="NA","NA",IF(AND($J50&gt;1919,AQ50&gt;0),"ERRO","OK"))</f>
        <v>NA</v>
      </c>
      <c r="AS50" s="6" t="n">
        <f aca="false">(10-(LEN(AT50)))+1</f>
        <v>10</v>
      </c>
      <c r="AT50" s="6" t="n">
        <v>0</v>
      </c>
      <c r="AU50" s="6" t="str">
        <f aca="false">IF($J50="NA","NA",IF(AND($J50&gt;1909,AT50&gt;0),"ERRO","OK"))</f>
        <v>NA</v>
      </c>
      <c r="AV50" s="6" t="n">
        <f aca="false">(10-(LEN(AW50)))+1</f>
        <v>10</v>
      </c>
      <c r="AW50" s="6" t="n">
        <v>0</v>
      </c>
      <c r="AX50" s="6" t="str">
        <f aca="false">IF($J50="NA","NA",IF(AND($J50&gt;1899,AW50&gt;0),"ERRO","OK"))</f>
        <v>NA</v>
      </c>
    </row>
    <row r="51" customFormat="false" ht="15" hidden="false" customHeight="false" outlineLevel="0" collapsed="false">
      <c r="A51" s="7" t="n">
        <v>48</v>
      </c>
      <c r="B51" s="0" t="s">
        <v>67</v>
      </c>
      <c r="C51" s="8" t="n">
        <v>45302</v>
      </c>
      <c r="D51" s="6" t="n">
        <v>0</v>
      </c>
      <c r="E51" s="0" t="s">
        <v>16</v>
      </c>
      <c r="F51" s="0" t="s">
        <v>17</v>
      </c>
      <c r="G51" s="9" t="str">
        <f aca="false">IF(OR(N51="ERRO",Q51="ERRO",T51="ERRO",W51="ERRO",Z51="ERRO",AC51="ERRO",AF51="ERRO",AI51="ERRO",AL51="ERRO",AO51="ERRO",AR51="ERRO",AU51="ERRO",AX51="ERRO"),"ERRO","OK")</f>
        <v>OK</v>
      </c>
      <c r="H51" s="9" t="n">
        <f aca="false">COUNTIF(L51:AX51,"ERRO")</f>
        <v>0</v>
      </c>
      <c r="I51" s="9" t="s">
        <v>18</v>
      </c>
      <c r="J51" s="10" t="n">
        <v>1882</v>
      </c>
      <c r="K51" s="10" t="n">
        <v>1946</v>
      </c>
      <c r="L51" s="6" t="n">
        <f aca="false">(10-(LEN(M51)))+1</f>
        <v>8</v>
      </c>
      <c r="M51" s="6" t="n">
        <v>791</v>
      </c>
      <c r="N51" s="6" t="str">
        <f aca="false">IF($J51="NA","NA",IF(AND($J51&gt;2019,M51&gt;0),"ERRO","OK"))</f>
        <v>OK</v>
      </c>
      <c r="O51" s="6" t="n">
        <f aca="false">(10-(LEN(P51)))+1</f>
        <v>7</v>
      </c>
      <c r="P51" s="6" t="n">
        <v>4014</v>
      </c>
      <c r="Q51" s="6" t="str">
        <f aca="false">IF($J51="NA","NA",IF(AND($J51&gt;2009,P51&gt;0),"ERRO","OK"))</f>
        <v>OK</v>
      </c>
      <c r="R51" s="6" t="n">
        <f aca="false">(10-(LEN(S51)))+1</f>
        <v>7</v>
      </c>
      <c r="S51" s="6" t="n">
        <v>8277</v>
      </c>
      <c r="T51" s="6" t="str">
        <f aca="false">IF($J51="NA","NA",IF(AND($J51&gt;1999,S51&gt;0),"ERRO","OK"))</f>
        <v>OK</v>
      </c>
      <c r="U51" s="6" t="n">
        <f aca="false">(10-(LEN(V51)))+1</f>
        <v>6</v>
      </c>
      <c r="V51" s="6" t="n">
        <v>10256</v>
      </c>
      <c r="W51" s="6" t="str">
        <f aca="false">IF($J51="NA","NA",IF(AND($J51&gt;1989,V51&gt;0),"ERRO","OK"))</f>
        <v>OK</v>
      </c>
      <c r="X51" s="6" t="n">
        <f aca="false">(10-(LEN(Y51)))+1</f>
        <v>6</v>
      </c>
      <c r="Y51" s="6" t="n">
        <v>13110</v>
      </c>
      <c r="Z51" s="6" t="str">
        <f aca="false">IF($J51="NA","NA",IF(AND($J51&gt;1979,Y51&gt;0),"ERRO","OK"))</f>
        <v>OK</v>
      </c>
      <c r="AA51" s="6" t="n">
        <f aca="false">(10-(LEN(AB51)))+1</f>
        <v>7</v>
      </c>
      <c r="AB51" s="6" t="n">
        <v>3985</v>
      </c>
      <c r="AC51" s="6" t="str">
        <f aca="false">IF($J51="NA","NA",IF(AND($J51&gt;1969,AB51&gt;0),"ERRO","OK"))</f>
        <v>OK</v>
      </c>
      <c r="AD51" s="6" t="n">
        <f aca="false">(10-(LEN(AE51)))+1</f>
        <v>7</v>
      </c>
      <c r="AE51" s="6" t="n">
        <v>4754</v>
      </c>
      <c r="AF51" s="6" t="str">
        <f aca="false">IF($J51="NA","NA",IF(AND($J51&gt;1959,AE51&gt;0),"ERRO","OK"))</f>
        <v>OK</v>
      </c>
      <c r="AG51" s="6" t="n">
        <f aca="false">(10-(LEN(AH51)))+1</f>
        <v>6</v>
      </c>
      <c r="AH51" s="6" t="n">
        <v>13437</v>
      </c>
      <c r="AI51" s="6" t="str">
        <f aca="false">IF($J51="NA","NA",IF(AND($J51&gt;1949,AH51&gt;0),"ERRO","OK"))</f>
        <v>OK</v>
      </c>
      <c r="AJ51" s="6" t="n">
        <f aca="false">(10-(LEN(AK51)))+1</f>
        <v>7</v>
      </c>
      <c r="AK51" s="6" t="n">
        <v>6127</v>
      </c>
      <c r="AL51" s="6" t="str">
        <f aca="false">IF($J51="NA","NA",IF(AND($J51&gt;1939,AK51&gt;0),"ERRO","OK"))</f>
        <v>OK</v>
      </c>
      <c r="AM51" s="6" t="n">
        <f aca="false">(10-(LEN(AN51)))+1</f>
        <v>7</v>
      </c>
      <c r="AN51" s="6" t="n">
        <v>2133</v>
      </c>
      <c r="AO51" s="6" t="str">
        <f aca="false">IF($J51="NA","NA",IF(AND($J51&gt;1929,AN51&gt;0),"ERRO","OK"))</f>
        <v>OK</v>
      </c>
      <c r="AP51" s="6" t="n">
        <f aca="false">(10-(LEN(AQ51)))+1</f>
        <v>7</v>
      </c>
      <c r="AQ51" s="6" t="n">
        <v>5307</v>
      </c>
      <c r="AR51" s="6" t="str">
        <f aca="false">IF($J51="NA","NA",IF(AND($J51&gt;1919,AQ51&gt;0),"ERRO","OK"))</f>
        <v>OK</v>
      </c>
      <c r="AS51" s="6" t="n">
        <f aca="false">(10-(LEN(AT51)))+1</f>
        <v>8</v>
      </c>
      <c r="AT51" s="6" t="n">
        <v>206</v>
      </c>
      <c r="AU51" s="6" t="str">
        <f aca="false">IF($J51="NA","NA",IF(AND($J51&gt;1909,AT51&gt;0),"ERRO","OK"))</f>
        <v>OK</v>
      </c>
      <c r="AV51" s="6" t="n">
        <f aca="false">(10-(LEN(AW51)))+1</f>
        <v>10</v>
      </c>
      <c r="AW51" s="6" t="n">
        <v>0</v>
      </c>
      <c r="AX51" s="6" t="str">
        <f aca="false">IF($J51="NA","NA",IF(AND($J51&gt;1899,AW51&gt;0),"ERRO","OK"))</f>
        <v>OK</v>
      </c>
    </row>
    <row r="52" customFormat="false" ht="15" hidden="false" customHeight="false" outlineLevel="0" collapsed="false">
      <c r="A52" s="7" t="n">
        <v>49</v>
      </c>
      <c r="B52" s="0" t="s">
        <v>68</v>
      </c>
      <c r="C52" s="8" t="n">
        <v>45302</v>
      </c>
      <c r="D52" s="6" t="n">
        <v>0</v>
      </c>
      <c r="E52" s="0" t="s">
        <v>16</v>
      </c>
      <c r="F52" s="0" t="s">
        <v>17</v>
      </c>
      <c r="G52" s="9" t="str">
        <f aca="false">IF(OR(N52="ERRO",Q52="ERRO",T52="ERRO",W52="ERRO",Z52="ERRO",AC52="ERRO",AF52="ERRO",AI52="ERRO",AL52="ERRO",AO52="ERRO",AR52="ERRO",AU52="ERRO",AX52="ERRO"),"ERRO","OK")</f>
        <v>OK</v>
      </c>
      <c r="H52" s="9" t="n">
        <f aca="false">COUNTIF(L52:AX52,"ERRO")</f>
        <v>0</v>
      </c>
      <c r="I52" s="9" t="s">
        <v>18</v>
      </c>
      <c r="J52" s="10" t="n">
        <v>1880</v>
      </c>
      <c r="K52" s="10" t="n">
        <v>1964</v>
      </c>
      <c r="L52" s="6" t="n">
        <f aca="false">(10-(LEN(M52)))+1</f>
        <v>6</v>
      </c>
      <c r="M52" s="6" t="n">
        <v>49680</v>
      </c>
      <c r="N52" s="6" t="str">
        <f aca="false">IF($J52="NA","NA",IF(AND($J52&gt;2019,M52&gt;0),"ERRO","OK"))</f>
        <v>OK</v>
      </c>
      <c r="O52" s="6" t="n">
        <f aca="false">(10-(LEN(P52)))+1</f>
        <v>6</v>
      </c>
      <c r="P52" s="6" t="n">
        <v>64495</v>
      </c>
      <c r="Q52" s="6" t="str">
        <f aca="false">IF($J52="NA","NA",IF(AND($J52&gt;2009,P52&gt;0),"ERRO","OK"))</f>
        <v>OK</v>
      </c>
      <c r="R52" s="6" t="n">
        <f aca="false">(10-(LEN(S52)))+1</f>
        <v>6</v>
      </c>
      <c r="S52" s="6" t="n">
        <v>55099</v>
      </c>
      <c r="T52" s="6" t="str">
        <f aca="false">IF($J52="NA","NA",IF(AND($J52&gt;1999,S52&gt;0),"ERRO","OK"))</f>
        <v>OK</v>
      </c>
      <c r="U52" s="6" t="n">
        <f aca="false">(10-(LEN(V52)))+1</f>
        <v>6</v>
      </c>
      <c r="V52" s="6" t="n">
        <v>46957</v>
      </c>
      <c r="W52" s="6" t="str">
        <f aca="false">IF($J52="NA","NA",IF(AND($J52&gt;1989,V52&gt;0),"ERRO","OK"))</f>
        <v>OK</v>
      </c>
      <c r="X52" s="6" t="n">
        <f aca="false">(10-(LEN(Y52)))+1</f>
        <v>6</v>
      </c>
      <c r="Y52" s="6" t="n">
        <v>46185</v>
      </c>
      <c r="Z52" s="6" t="str">
        <f aca="false">IF($J52="NA","NA",IF(AND($J52&gt;1979,Y52&gt;0),"ERRO","OK"))</f>
        <v>OK</v>
      </c>
      <c r="AA52" s="6" t="n">
        <f aca="false">(10-(LEN(AB52)))+1</f>
        <v>6</v>
      </c>
      <c r="AB52" s="6" t="n">
        <v>53550</v>
      </c>
      <c r="AC52" s="6" t="str">
        <f aca="false">IF($J52="NA","NA",IF(AND($J52&gt;1969,AB52&gt;0),"ERRO","OK"))</f>
        <v>OK</v>
      </c>
      <c r="AD52" s="6" t="n">
        <f aca="false">(10-(LEN(AE52)))+1</f>
        <v>6</v>
      </c>
      <c r="AE52" s="6" t="n">
        <v>53549</v>
      </c>
      <c r="AF52" s="6" t="str">
        <f aca="false">IF($J52="NA","NA",IF(AND($J52&gt;1959,AE52&gt;0),"ERRO","OK"))</f>
        <v>OK</v>
      </c>
      <c r="AG52" s="6" t="n">
        <f aca="false">(10-(LEN(AH52)))+1</f>
        <v>6</v>
      </c>
      <c r="AH52" s="6" t="n">
        <v>38574</v>
      </c>
      <c r="AI52" s="6" t="str">
        <f aca="false">IF($J52="NA","NA",IF(AND($J52&gt;1949,AH52&gt;0),"ERRO","OK"))</f>
        <v>OK</v>
      </c>
      <c r="AJ52" s="6" t="n">
        <f aca="false">(10-(LEN(AK52)))+1</f>
        <v>6</v>
      </c>
      <c r="AK52" s="6" t="n">
        <v>28726</v>
      </c>
      <c r="AL52" s="6" t="str">
        <f aca="false">IF($J52="NA","NA",IF(AND($J52&gt;1939,AK52&gt;0),"ERRO","OK"))</f>
        <v>OK</v>
      </c>
      <c r="AM52" s="6" t="n">
        <f aca="false">(10-(LEN(AN52)))+1</f>
        <v>6</v>
      </c>
      <c r="AN52" s="6" t="n">
        <v>70763</v>
      </c>
      <c r="AO52" s="6" t="str">
        <f aca="false">IF($J52="NA","NA",IF(AND($J52&gt;1929,AN52&gt;0),"ERRO","OK"))</f>
        <v>OK</v>
      </c>
      <c r="AP52" s="6" t="n">
        <f aca="false">(10-(LEN(AQ52)))+1</f>
        <v>6</v>
      </c>
      <c r="AQ52" s="6" t="n">
        <v>11168</v>
      </c>
      <c r="AR52" s="6" t="str">
        <f aca="false">IF($J52="NA","NA",IF(AND($J52&gt;1919,AQ52&gt;0),"ERRO","OK"))</f>
        <v>OK</v>
      </c>
      <c r="AS52" s="6" t="n">
        <f aca="false">(10-(LEN(AT52)))+1</f>
        <v>10</v>
      </c>
      <c r="AT52" s="6" t="n">
        <v>0</v>
      </c>
      <c r="AU52" s="6" t="str">
        <f aca="false">IF($J52="NA","NA",IF(AND($J52&gt;1909,AT52&gt;0),"ERRO","OK"))</f>
        <v>OK</v>
      </c>
      <c r="AV52" s="6" t="n">
        <f aca="false">(10-(LEN(AW52)))+1</f>
        <v>10</v>
      </c>
      <c r="AW52" s="6" t="n">
        <v>0</v>
      </c>
      <c r="AX52" s="6" t="str">
        <f aca="false">IF($J52="NA","NA",IF(AND($J52&gt;1899,AW52&gt;0),"ERRO","OK"))</f>
        <v>OK</v>
      </c>
    </row>
    <row r="53" customFormat="false" ht="15" hidden="false" customHeight="false" outlineLevel="0" collapsed="false">
      <c r="A53" s="7" t="n">
        <v>50</v>
      </c>
      <c r="B53" s="0" t="s">
        <v>69</v>
      </c>
      <c r="C53" s="8" t="n">
        <v>45302</v>
      </c>
      <c r="D53" s="6" t="n">
        <v>0</v>
      </c>
      <c r="E53" s="0" t="s">
        <v>16</v>
      </c>
      <c r="F53" s="0" t="s">
        <v>17</v>
      </c>
      <c r="G53" s="9" t="str">
        <f aca="false">IF(OR(N53="ERRO",Q53="ERRO",T53="ERRO",W53="ERRO",Z53="ERRO",AC53="ERRO",AF53="ERRO",AI53="ERRO",AL53="ERRO",AO53="ERRO",AR53="ERRO",AU53="ERRO",AX53="ERRO"),"ERRO","OK")</f>
        <v>OK</v>
      </c>
      <c r="H53" s="9" t="n">
        <f aca="false">COUNTIF(L53:AX53,"ERRO")</f>
        <v>0</v>
      </c>
      <c r="I53" s="9" t="s">
        <v>18</v>
      </c>
      <c r="J53" s="10" t="n">
        <v>1890</v>
      </c>
      <c r="K53" s="10" t="n">
        <v>1976</v>
      </c>
      <c r="L53" s="6" t="n">
        <f aca="false">(10-(LEN(M53)))+1</f>
        <v>5</v>
      </c>
      <c r="M53" s="6" t="n">
        <v>134927</v>
      </c>
      <c r="N53" s="6" t="str">
        <f aca="false">IF($J53="NA","NA",IF(AND($J53&gt;2019,M53&gt;0),"ERRO","OK"))</f>
        <v>OK</v>
      </c>
      <c r="O53" s="6" t="n">
        <f aca="false">(10-(LEN(P53)))+1</f>
        <v>5</v>
      </c>
      <c r="P53" s="6" t="n">
        <v>298959</v>
      </c>
      <c r="Q53" s="6" t="str">
        <f aca="false">IF($J53="NA","NA",IF(AND($J53&gt;2009,P53&gt;0),"ERRO","OK"))</f>
        <v>OK</v>
      </c>
      <c r="R53" s="6" t="n">
        <f aca="false">(10-(LEN(S53)))+1</f>
        <v>5</v>
      </c>
      <c r="S53" s="6" t="n">
        <v>172349</v>
      </c>
      <c r="T53" s="6" t="str">
        <f aca="false">IF($J53="NA","NA",IF(AND($J53&gt;1999,S53&gt;0),"ERRO","OK"))</f>
        <v>OK</v>
      </c>
      <c r="U53" s="6" t="n">
        <f aca="false">(10-(LEN(V53)))+1</f>
        <v>5</v>
      </c>
      <c r="V53" s="6" t="n">
        <v>256774</v>
      </c>
      <c r="W53" s="6" t="str">
        <f aca="false">IF($J53="NA","NA",IF(AND($J53&gt;1989,V53&gt;0),"ERRO","OK"))</f>
        <v>OK</v>
      </c>
      <c r="X53" s="6" t="n">
        <f aca="false">(10-(LEN(Y53)))+1</f>
        <v>5</v>
      </c>
      <c r="Y53" s="6" t="n">
        <v>141264</v>
      </c>
      <c r="Z53" s="6" t="str">
        <f aca="false">IF($J53="NA","NA",IF(AND($J53&gt;1979,Y53&gt;0),"ERRO","OK"))</f>
        <v>OK</v>
      </c>
      <c r="AA53" s="6" t="n">
        <f aca="false">(10-(LEN(AB53)))+1</f>
        <v>6</v>
      </c>
      <c r="AB53" s="6" t="n">
        <v>78990</v>
      </c>
      <c r="AC53" s="6" t="str">
        <f aca="false">IF($J53="NA","NA",IF(AND($J53&gt;1969,AB53&gt;0),"ERRO","OK"))</f>
        <v>OK</v>
      </c>
      <c r="AD53" s="6" t="n">
        <f aca="false">(10-(LEN(AE53)))+1</f>
        <v>6</v>
      </c>
      <c r="AE53" s="6" t="n">
        <v>37676</v>
      </c>
      <c r="AF53" s="6" t="str">
        <f aca="false">IF($J53="NA","NA",IF(AND($J53&gt;1959,AE53&gt;0),"ERRO","OK"))</f>
        <v>OK</v>
      </c>
      <c r="AG53" s="6" t="n">
        <f aca="false">(10-(LEN(AH53)))+1</f>
        <v>6</v>
      </c>
      <c r="AH53" s="6" t="n">
        <v>23790</v>
      </c>
      <c r="AI53" s="6" t="str">
        <f aca="false">IF($J53="NA","NA",IF(AND($J53&gt;1949,AH53&gt;0),"ERRO","OK"))</f>
        <v>OK</v>
      </c>
      <c r="AJ53" s="6" t="n">
        <f aca="false">(10-(LEN(AK53)))+1</f>
        <v>6</v>
      </c>
      <c r="AK53" s="6" t="n">
        <v>44980</v>
      </c>
      <c r="AL53" s="6" t="str">
        <f aca="false">IF($J53="NA","NA",IF(AND($J53&gt;1939,AK53&gt;0),"ERRO","OK"))</f>
        <v>OK</v>
      </c>
      <c r="AM53" s="6" t="n">
        <f aca="false">(10-(LEN(AN53)))+1</f>
        <v>6</v>
      </c>
      <c r="AN53" s="6" t="n">
        <v>18889</v>
      </c>
      <c r="AO53" s="6" t="str">
        <f aca="false">IF($J53="NA","NA",IF(AND($J53&gt;1929,AN53&gt;0),"ERRO","OK"))</f>
        <v>OK</v>
      </c>
      <c r="AP53" s="6" t="n">
        <f aca="false">(10-(LEN(AQ53)))+1</f>
        <v>7</v>
      </c>
      <c r="AQ53" s="6" t="n">
        <v>2704</v>
      </c>
      <c r="AR53" s="6" t="str">
        <f aca="false">IF($J53="NA","NA",IF(AND($J53&gt;1919,AQ53&gt;0),"ERRO","OK"))</f>
        <v>OK</v>
      </c>
      <c r="AS53" s="6" t="n">
        <f aca="false">(10-(LEN(AT53)))+1</f>
        <v>10</v>
      </c>
      <c r="AT53" s="6" t="n">
        <v>0</v>
      </c>
      <c r="AU53" s="6" t="str">
        <f aca="false">IF($J53="NA","NA",IF(AND($J53&gt;1909,AT53&gt;0),"ERRO","OK"))</f>
        <v>OK</v>
      </c>
      <c r="AV53" s="6" t="n">
        <f aca="false">(10-(LEN(AW53)))+1</f>
        <v>10</v>
      </c>
      <c r="AW53" s="6" t="n">
        <v>0</v>
      </c>
      <c r="AX53" s="6" t="str">
        <f aca="false">IF($J53="NA","NA",IF(AND($J53&gt;1899,AW53&gt;0),"ERRO","OK"))</f>
        <v>OK</v>
      </c>
    </row>
    <row r="54" customFormat="false" ht="15" hidden="false" customHeight="false" outlineLevel="0" collapsed="false">
      <c r="A54" s="7" t="n">
        <v>51</v>
      </c>
      <c r="B54" s="0" t="s">
        <v>70</v>
      </c>
      <c r="C54" s="8" t="n">
        <v>45302</v>
      </c>
      <c r="D54" s="6" t="n">
        <v>0</v>
      </c>
      <c r="E54" s="0" t="s">
        <v>16</v>
      </c>
      <c r="F54" s="0" t="s">
        <v>17</v>
      </c>
      <c r="G54" s="9" t="str">
        <f aca="false">IF(OR(N54="ERRO",Q54="ERRO",T54="ERRO",W54="ERRO",Z54="ERRO",AC54="ERRO",AF54="ERRO",AI54="ERRO",AL54="ERRO",AO54="ERRO",AR54="ERRO",AU54="ERRO",AX54="ERRO"),"ERRO","OK")</f>
        <v>OK</v>
      </c>
      <c r="H54" s="9" t="n">
        <f aca="false">COUNTIF(L54:AX54,"ERRO")</f>
        <v>0</v>
      </c>
      <c r="I54" s="9" t="s">
        <v>18</v>
      </c>
      <c r="J54" s="10" t="n">
        <v>1886</v>
      </c>
      <c r="K54" s="10" t="n">
        <v>1959</v>
      </c>
      <c r="L54" s="6" t="n">
        <f aca="false">(10-(LEN(M54)))+1</f>
        <v>8</v>
      </c>
      <c r="M54" s="6" t="n">
        <v>789</v>
      </c>
      <c r="N54" s="6" t="str">
        <f aca="false">IF($J54="NA","NA",IF(AND($J54&gt;2019,M54&gt;0),"ERRO","OK"))</f>
        <v>OK</v>
      </c>
      <c r="O54" s="6" t="n">
        <f aca="false">(10-(LEN(P54)))+1</f>
        <v>8</v>
      </c>
      <c r="P54" s="6" t="n">
        <v>144</v>
      </c>
      <c r="Q54" s="6" t="str">
        <f aca="false">IF($J54="NA","NA",IF(AND($J54&gt;2009,P54&gt;0),"ERRO","OK"))</f>
        <v>OK</v>
      </c>
      <c r="R54" s="6" t="n">
        <f aca="false">(10-(LEN(S54)))+1</f>
        <v>8</v>
      </c>
      <c r="S54" s="6" t="n">
        <v>132</v>
      </c>
      <c r="T54" s="6" t="str">
        <f aca="false">IF($J54="NA","NA",IF(AND($J54&gt;1999,S54&gt;0),"ERRO","OK"))</f>
        <v>OK</v>
      </c>
      <c r="U54" s="6" t="n">
        <f aca="false">(10-(LEN(V54)))+1</f>
        <v>8</v>
      </c>
      <c r="V54" s="6" t="n">
        <v>242</v>
      </c>
      <c r="W54" s="6" t="str">
        <f aca="false">IF($J54="NA","NA",IF(AND($J54&gt;1989,V54&gt;0),"ERRO","OK"))</f>
        <v>OK</v>
      </c>
      <c r="X54" s="6" t="n">
        <f aca="false">(10-(LEN(Y54)))+1</f>
        <v>8</v>
      </c>
      <c r="Y54" s="6" t="n">
        <v>169</v>
      </c>
      <c r="Z54" s="6" t="str">
        <f aca="false">IF($J54="NA","NA",IF(AND($J54&gt;1979,Y54&gt;0),"ERRO","OK"))</f>
        <v>OK</v>
      </c>
      <c r="AA54" s="6" t="n">
        <f aca="false">(10-(LEN(AB54)))+1</f>
        <v>7</v>
      </c>
      <c r="AB54" s="6" t="n">
        <v>1354</v>
      </c>
      <c r="AC54" s="6" t="str">
        <f aca="false">IF($J54="NA","NA",IF(AND($J54&gt;1969,AB54&gt;0),"ERRO","OK"))</f>
        <v>OK</v>
      </c>
      <c r="AD54" s="6" t="n">
        <f aca="false">(10-(LEN(AE54)))+1</f>
        <v>8</v>
      </c>
      <c r="AE54" s="6" t="n">
        <v>377</v>
      </c>
      <c r="AF54" s="6" t="str">
        <f aca="false">IF($J54="NA","NA",IF(AND($J54&gt;1959,AE54&gt;0),"ERRO","OK"))</f>
        <v>OK</v>
      </c>
      <c r="AG54" s="6" t="n">
        <f aca="false">(10-(LEN(AH54)))+1</f>
        <v>8</v>
      </c>
      <c r="AH54" s="6" t="n">
        <v>927</v>
      </c>
      <c r="AI54" s="6" t="str">
        <f aca="false">IF($J54="NA","NA",IF(AND($J54&gt;1949,AH54&gt;0),"ERRO","OK"))</f>
        <v>OK</v>
      </c>
      <c r="AJ54" s="6" t="n">
        <f aca="false">(10-(LEN(AK54)))+1</f>
        <v>8</v>
      </c>
      <c r="AK54" s="6" t="n">
        <v>733</v>
      </c>
      <c r="AL54" s="6" t="str">
        <f aca="false">IF($J54="NA","NA",IF(AND($J54&gt;1939,AK54&gt;0),"ERRO","OK"))</f>
        <v>OK</v>
      </c>
      <c r="AM54" s="6" t="n">
        <f aca="false">(10-(LEN(AN54)))+1</f>
        <v>7</v>
      </c>
      <c r="AN54" s="6" t="n">
        <v>1123</v>
      </c>
      <c r="AO54" s="6" t="str">
        <f aca="false">IF($J54="NA","NA",IF(AND($J54&gt;1929,AN54&gt;0),"ERRO","OK"))</f>
        <v>OK</v>
      </c>
      <c r="AP54" s="6" t="n">
        <f aca="false">(10-(LEN(AQ54)))+1</f>
        <v>7</v>
      </c>
      <c r="AQ54" s="6" t="n">
        <v>1686</v>
      </c>
      <c r="AR54" s="6" t="str">
        <f aca="false">IF($J54="NA","NA",IF(AND($J54&gt;1919,AQ54&gt;0),"ERRO","OK"))</f>
        <v>OK</v>
      </c>
      <c r="AS54" s="6" t="n">
        <f aca="false">(10-(LEN(AT54)))+1</f>
        <v>7</v>
      </c>
      <c r="AT54" s="6" t="n">
        <v>1629</v>
      </c>
      <c r="AU54" s="6" t="str">
        <f aca="false">IF($J54="NA","NA",IF(AND($J54&gt;1909,AT54&gt;0),"ERRO","OK"))</f>
        <v>OK</v>
      </c>
      <c r="AV54" s="6" t="n">
        <f aca="false">(10-(LEN(AW54)))+1</f>
        <v>10</v>
      </c>
      <c r="AW54" s="6" t="n">
        <v>0</v>
      </c>
      <c r="AX54" s="6" t="str">
        <f aca="false">IF($J54="NA","NA",IF(AND($J54&gt;1899,AW54&gt;0),"ERRO","OK"))</f>
        <v>OK</v>
      </c>
    </row>
    <row r="55" customFormat="false" ht="15" hidden="false" customHeight="false" outlineLevel="0" collapsed="false">
      <c r="A55" s="7" t="n">
        <v>52</v>
      </c>
      <c r="B55" s="0" t="s">
        <v>71</v>
      </c>
      <c r="C55" s="8" t="n">
        <v>45302</v>
      </c>
      <c r="D55" s="6" t="n">
        <v>0</v>
      </c>
      <c r="E55" s="0" t="s">
        <v>16</v>
      </c>
      <c r="F55" s="0" t="s">
        <v>17</v>
      </c>
      <c r="G55" s="9" t="str">
        <f aca="false">IF(OR(N55="ERRO",Q55="ERRO",T55="ERRO",W55="ERRO",Z55="ERRO",AC55="ERRO",AF55="ERRO",AI55="ERRO",AL55="ERRO",AO55="ERRO",AR55="ERRO",AU55="ERRO",AX55="ERRO"),"ERRO","OK")</f>
        <v>OK</v>
      </c>
      <c r="H55" s="9" t="n">
        <f aca="false">COUNTIF(L55:AX55,"ERRO")</f>
        <v>0</v>
      </c>
      <c r="I55" s="9" t="s">
        <v>18</v>
      </c>
      <c r="J55" s="10" t="n">
        <v>1882</v>
      </c>
      <c r="K55" s="10" t="n">
        <v>1935</v>
      </c>
      <c r="L55" s="6" t="n">
        <f aca="false">(10-(LEN(M55)))+1</f>
        <v>7</v>
      </c>
      <c r="M55" s="6" t="n">
        <v>1458</v>
      </c>
      <c r="N55" s="6" t="str">
        <f aca="false">IF($J55="NA","NA",IF(AND($J55&gt;2019,M55&gt;0),"ERRO","OK"))</f>
        <v>OK</v>
      </c>
      <c r="O55" s="6" t="n">
        <f aca="false">(10-(LEN(P55)))+1</f>
        <v>7</v>
      </c>
      <c r="P55" s="6" t="n">
        <v>2950</v>
      </c>
      <c r="Q55" s="6" t="str">
        <f aca="false">IF($J55="NA","NA",IF(AND($J55&gt;2009,P55&gt;0),"ERRO","OK"))</f>
        <v>OK</v>
      </c>
      <c r="R55" s="6" t="n">
        <f aca="false">(10-(LEN(S55)))+1</f>
        <v>6</v>
      </c>
      <c r="S55" s="6" t="n">
        <v>10252</v>
      </c>
      <c r="T55" s="6" t="str">
        <f aca="false">IF($J55="NA","NA",IF(AND($J55&gt;1999,S55&gt;0),"ERRO","OK"))</f>
        <v>OK</v>
      </c>
      <c r="U55" s="6" t="n">
        <f aca="false">(10-(LEN(V55)))+1</f>
        <v>6</v>
      </c>
      <c r="V55" s="6" t="n">
        <v>10578</v>
      </c>
      <c r="W55" s="6" t="str">
        <f aca="false">IF($J55="NA","NA",IF(AND($J55&gt;1989,V55&gt;0),"ERRO","OK"))</f>
        <v>OK</v>
      </c>
      <c r="X55" s="6" t="n">
        <f aca="false">(10-(LEN(Y55)))+1</f>
        <v>6</v>
      </c>
      <c r="Y55" s="6" t="n">
        <v>15464</v>
      </c>
      <c r="Z55" s="6" t="str">
        <f aca="false">IF($J55="NA","NA",IF(AND($J55&gt;1979,Y55&gt;0),"ERRO","OK"))</f>
        <v>OK</v>
      </c>
      <c r="AA55" s="6" t="n">
        <f aca="false">(10-(LEN(AB55)))+1</f>
        <v>7</v>
      </c>
      <c r="AB55" s="6" t="n">
        <v>8379</v>
      </c>
      <c r="AC55" s="6" t="str">
        <f aca="false">IF($J55="NA","NA",IF(AND($J55&gt;1969,AB55&gt;0),"ERRO","OK"))</f>
        <v>OK</v>
      </c>
      <c r="AD55" s="6" t="n">
        <f aca="false">(10-(LEN(AE55)))+1</f>
        <v>7</v>
      </c>
      <c r="AE55" s="6" t="n">
        <v>8163</v>
      </c>
      <c r="AF55" s="6" t="str">
        <f aca="false">IF($J55="NA","NA",IF(AND($J55&gt;1959,AE55&gt;0),"ERRO","OK"))</f>
        <v>OK</v>
      </c>
      <c r="AG55" s="6" t="n">
        <f aca="false">(10-(LEN(AH55)))+1</f>
        <v>6</v>
      </c>
      <c r="AH55" s="6" t="n">
        <v>10463</v>
      </c>
      <c r="AI55" s="6" t="str">
        <f aca="false">IF($J55="NA","NA",IF(AND($J55&gt;1949,AH55&gt;0),"ERRO","OK"))</f>
        <v>OK</v>
      </c>
      <c r="AJ55" s="6" t="n">
        <f aca="false">(10-(LEN(AK55)))+1</f>
        <v>6</v>
      </c>
      <c r="AK55" s="6" t="n">
        <v>16432</v>
      </c>
      <c r="AL55" s="6" t="str">
        <f aca="false">IF($J55="NA","NA",IF(AND($J55&gt;1939,AK55&gt;0),"ERRO","OK"))</f>
        <v>OK</v>
      </c>
      <c r="AM55" s="6" t="n">
        <f aca="false">(10-(LEN(AN55)))+1</f>
        <v>7</v>
      </c>
      <c r="AN55" s="6" t="n">
        <v>5332</v>
      </c>
      <c r="AO55" s="6" t="str">
        <f aca="false">IF($J55="NA","NA",IF(AND($J55&gt;1929,AN55&gt;0),"ERRO","OK"))</f>
        <v>OK</v>
      </c>
      <c r="AP55" s="6" t="n">
        <f aca="false">(10-(LEN(AQ55)))+1</f>
        <v>7</v>
      </c>
      <c r="AQ55" s="6" t="n">
        <v>5107</v>
      </c>
      <c r="AR55" s="6" t="str">
        <f aca="false">IF($J55="NA","NA",IF(AND($J55&gt;1919,AQ55&gt;0),"ERRO","OK"))</f>
        <v>OK</v>
      </c>
      <c r="AS55" s="6" t="n">
        <f aca="false">(10-(LEN(AT55)))+1</f>
        <v>10</v>
      </c>
      <c r="AT55" s="6" t="n">
        <v>0</v>
      </c>
      <c r="AU55" s="6" t="str">
        <f aca="false">IF($J55="NA","NA",IF(AND($J55&gt;1909,AT55&gt;0),"ERRO","OK"))</f>
        <v>OK</v>
      </c>
      <c r="AV55" s="6" t="n">
        <f aca="false">(10-(LEN(AW55)))+1</f>
        <v>10</v>
      </c>
      <c r="AW55" s="6" t="n">
        <v>0</v>
      </c>
      <c r="AX55" s="6" t="str">
        <f aca="false">IF($J55="NA","NA",IF(AND($J55&gt;1899,AW55&gt;0),"ERRO","OK"))</f>
        <v>OK</v>
      </c>
    </row>
    <row r="56" customFormat="false" ht="15" hidden="false" customHeight="false" outlineLevel="0" collapsed="false">
      <c r="A56" s="7" t="n">
        <v>53</v>
      </c>
      <c r="B56" s="0" t="s">
        <v>72</v>
      </c>
      <c r="C56" s="8" t="n">
        <v>45302</v>
      </c>
      <c r="D56" s="6" t="n">
        <v>0</v>
      </c>
      <c r="E56" s="0" t="s">
        <v>16</v>
      </c>
      <c r="F56" s="0" t="s">
        <v>17</v>
      </c>
      <c r="G56" s="9" t="str">
        <f aca="false">IF(OR(N56="ERRO",Q56="ERRO",T56="ERRO",W56="ERRO",Z56="ERRO",AC56="ERRO",AF56="ERRO",AI56="ERRO",AL56="ERRO",AO56="ERRO",AR56="ERRO",AU56="ERRO",AX56="ERRO"),"ERRO","OK")</f>
        <v>OK</v>
      </c>
      <c r="H56" s="9" t="n">
        <f aca="false">COUNTIF(L56:AX56,"ERRO")</f>
        <v>0</v>
      </c>
      <c r="I56" s="9" t="s">
        <v>18</v>
      </c>
      <c r="J56" s="10" t="n">
        <v>1872</v>
      </c>
      <c r="K56" s="10" t="n">
        <v>1946</v>
      </c>
      <c r="L56" s="6" t="n">
        <f aca="false">(10-(LEN(M56)))+1</f>
        <v>7</v>
      </c>
      <c r="M56" s="6" t="n">
        <v>9453</v>
      </c>
      <c r="N56" s="6" t="str">
        <f aca="false">IF($J56="NA","NA",IF(AND($J56&gt;2019,M56&gt;0),"ERRO","OK"))</f>
        <v>OK</v>
      </c>
      <c r="O56" s="6" t="n">
        <f aca="false">(10-(LEN(P56)))+1</f>
        <v>7</v>
      </c>
      <c r="P56" s="6" t="n">
        <v>9331</v>
      </c>
      <c r="Q56" s="6" t="str">
        <f aca="false">IF($J56="NA","NA",IF(AND($J56&gt;2009,P56&gt;0),"ERRO","OK"))</f>
        <v>OK</v>
      </c>
      <c r="R56" s="6" t="n">
        <f aca="false">(10-(LEN(S56)))+1</f>
        <v>6</v>
      </c>
      <c r="S56" s="6" t="n">
        <v>13151</v>
      </c>
      <c r="T56" s="6" t="str">
        <f aca="false">IF($J56="NA","NA",IF(AND($J56&gt;1999,S56&gt;0),"ERRO","OK"))</f>
        <v>OK</v>
      </c>
      <c r="U56" s="6" t="n">
        <f aca="false">(10-(LEN(V56)))+1</f>
        <v>6</v>
      </c>
      <c r="V56" s="6" t="n">
        <v>10578</v>
      </c>
      <c r="W56" s="6" t="str">
        <f aca="false">IF($J56="NA","NA",IF(AND($J56&gt;1989,V56&gt;0),"ERRO","OK"))</f>
        <v>OK</v>
      </c>
      <c r="X56" s="6" t="n">
        <f aca="false">(10-(LEN(Y56)))+1</f>
        <v>6</v>
      </c>
      <c r="Y56" s="6" t="n">
        <v>14180</v>
      </c>
      <c r="Z56" s="6" t="str">
        <f aca="false">IF($J56="NA","NA",IF(AND($J56&gt;1979,Y56&gt;0),"ERRO","OK"))</f>
        <v>OK</v>
      </c>
      <c r="AA56" s="6" t="n">
        <f aca="false">(10-(LEN(AB56)))+1</f>
        <v>6</v>
      </c>
      <c r="AB56" s="6" t="n">
        <v>11895</v>
      </c>
      <c r="AC56" s="6" t="str">
        <f aca="false">IF($J56="NA","NA",IF(AND($J56&gt;1969,AB56&gt;0),"ERRO","OK"))</f>
        <v>OK</v>
      </c>
      <c r="AD56" s="6" t="n">
        <f aca="false">(10-(LEN(AE56)))+1</f>
        <v>6</v>
      </c>
      <c r="AE56" s="6" t="n">
        <v>22247</v>
      </c>
      <c r="AF56" s="6" t="str">
        <f aca="false">IF($J56="NA","NA",IF(AND($J56&gt;1959,AE56&gt;0),"ERRO","OK"))</f>
        <v>OK</v>
      </c>
      <c r="AG56" s="6" t="n">
        <f aca="false">(10-(LEN(AH56)))+1</f>
        <v>6</v>
      </c>
      <c r="AH56" s="6" t="n">
        <v>15199</v>
      </c>
      <c r="AI56" s="6" t="str">
        <f aca="false">IF($J56="NA","NA",IF(AND($J56&gt;1949,AH56&gt;0),"ERRO","OK"))</f>
        <v>OK</v>
      </c>
      <c r="AJ56" s="6" t="n">
        <f aca="false">(10-(LEN(AK56)))+1</f>
        <v>7</v>
      </c>
      <c r="AK56" s="6" t="n">
        <v>8912</v>
      </c>
      <c r="AL56" s="6" t="str">
        <f aca="false">IF($J56="NA","NA",IF(AND($J56&gt;1939,AK56&gt;0),"ERRO","OK"))</f>
        <v>OK</v>
      </c>
      <c r="AM56" s="6" t="n">
        <f aca="false">(10-(LEN(AN56)))+1</f>
        <v>6</v>
      </c>
      <c r="AN56" s="6" t="n">
        <v>12796</v>
      </c>
      <c r="AO56" s="6" t="str">
        <f aca="false">IF($J56="NA","NA",IF(AND($J56&gt;1929,AN56&gt;0),"ERRO","OK"))</f>
        <v>OK</v>
      </c>
      <c r="AP56" s="6" t="n">
        <f aca="false">(10-(LEN(AQ56)))+1</f>
        <v>7</v>
      </c>
      <c r="AQ56" s="6" t="n">
        <v>7110</v>
      </c>
      <c r="AR56" s="6" t="str">
        <f aca="false">IF($J56="NA","NA",IF(AND($J56&gt;1919,AQ56&gt;0),"ERRO","OK"))</f>
        <v>OK</v>
      </c>
      <c r="AS56" s="6" t="n">
        <f aca="false">(10-(LEN(AT56)))+1</f>
        <v>6</v>
      </c>
      <c r="AT56" s="6" t="n">
        <v>12169</v>
      </c>
      <c r="AU56" s="6" t="str">
        <f aca="false">IF($J56="NA","NA",IF(AND($J56&gt;1909,AT56&gt;0),"ERRO","OK"))</f>
        <v>OK</v>
      </c>
      <c r="AV56" s="6" t="n">
        <f aca="false">(10-(LEN(AW56)))+1</f>
        <v>10</v>
      </c>
      <c r="AW56" s="6" t="n">
        <v>0</v>
      </c>
      <c r="AX56" s="6" t="str">
        <f aca="false">IF($J56="NA","NA",IF(AND($J56&gt;1899,AW56&gt;0),"ERRO","OK"))</f>
        <v>OK</v>
      </c>
    </row>
    <row r="57" customFormat="false" ht="15" hidden="false" customHeight="false" outlineLevel="0" collapsed="false">
      <c r="A57" s="7" t="n">
        <v>54</v>
      </c>
      <c r="B57" s="0" t="s">
        <v>73</v>
      </c>
      <c r="C57" s="8" t="n">
        <v>45302</v>
      </c>
      <c r="D57" s="6" t="n">
        <v>0</v>
      </c>
      <c r="E57" s="0" t="s">
        <v>16</v>
      </c>
      <c r="F57" s="0" t="s">
        <v>17</v>
      </c>
      <c r="G57" s="9" t="str">
        <f aca="false">IF(OR(N57="ERRO",Q57="ERRO",T57="ERRO",W57="ERRO",Z57="ERRO",AC57="ERRO",AF57="ERRO",AI57="ERRO",AL57="ERRO",AO57="ERRO",AR57="ERRO",AU57="ERRO",AX57="ERRO"),"ERRO","OK")</f>
        <v>OK</v>
      </c>
      <c r="H57" s="9" t="n">
        <f aca="false">COUNTIF(L57:AX57,"ERRO")</f>
        <v>0</v>
      </c>
      <c r="I57" s="9" t="s">
        <v>18</v>
      </c>
      <c r="J57" s="10" t="n">
        <v>1876</v>
      </c>
      <c r="K57" s="10" t="n">
        <v>1921</v>
      </c>
      <c r="L57" s="6" t="n">
        <f aca="false">(10-(LEN(M57)))+1</f>
        <v>8</v>
      </c>
      <c r="M57" s="6" t="n">
        <v>789</v>
      </c>
      <c r="N57" s="6" t="str">
        <f aca="false">IF($J57="NA","NA",IF(AND($J57&gt;2019,M57&gt;0),"ERRO","OK"))</f>
        <v>OK</v>
      </c>
      <c r="O57" s="6" t="n">
        <f aca="false">(10-(LEN(P57)))+1</f>
        <v>9</v>
      </c>
      <c r="P57" s="6" t="n">
        <v>72</v>
      </c>
      <c r="Q57" s="6" t="str">
        <f aca="false">IF($J57="NA","NA",IF(AND($J57&gt;2009,P57&gt;0),"ERRO","OK"))</f>
        <v>OK</v>
      </c>
      <c r="R57" s="6" t="n">
        <f aca="false">(10-(LEN(S57)))+1</f>
        <v>9</v>
      </c>
      <c r="S57" s="6" t="n">
        <v>88</v>
      </c>
      <c r="T57" s="6" t="str">
        <f aca="false">IF($J57="NA","NA",IF(AND($J57&gt;1999,S57&gt;0),"ERRO","OK"))</f>
        <v>OK</v>
      </c>
      <c r="U57" s="6" t="n">
        <f aca="false">(10-(LEN(V57)))+1</f>
        <v>8</v>
      </c>
      <c r="V57" s="6" t="n">
        <v>387</v>
      </c>
      <c r="W57" s="6" t="str">
        <f aca="false">IF($J57="NA","NA",IF(AND($J57&gt;1989,V57&gt;0),"ERRO","OK"))</f>
        <v>OK</v>
      </c>
      <c r="X57" s="6" t="n">
        <f aca="false">(10-(LEN(Y57)))+1</f>
        <v>8</v>
      </c>
      <c r="Y57" s="6" t="n">
        <v>281</v>
      </c>
      <c r="Z57" s="6" t="str">
        <f aca="false">IF($J57="NA","NA",IF(AND($J57&gt;1979,Y57&gt;0),"ERRO","OK"))</f>
        <v>OK</v>
      </c>
      <c r="AA57" s="6" t="n">
        <f aca="false">(10-(LEN(AB57)))+1</f>
        <v>8</v>
      </c>
      <c r="AB57" s="6" t="n">
        <v>554</v>
      </c>
      <c r="AC57" s="6" t="str">
        <f aca="false">IF($J57="NA","NA",IF(AND($J57&gt;1969,AB57&gt;0),"ERRO","OK"))</f>
        <v>OK</v>
      </c>
      <c r="AD57" s="6" t="n">
        <f aca="false">(10-(LEN(AE57)))+1</f>
        <v>10</v>
      </c>
      <c r="AE57" s="6" t="n">
        <v>0</v>
      </c>
      <c r="AF57" s="6" t="str">
        <f aca="false">IF($J57="NA","NA",IF(AND($J57&gt;1959,AE57&gt;0),"ERRO","OK"))</f>
        <v>OK</v>
      </c>
      <c r="AG57" s="6" t="n">
        <f aca="false">(10-(LEN(AH57)))+1</f>
        <v>10</v>
      </c>
      <c r="AH57" s="6" t="n">
        <v>0</v>
      </c>
      <c r="AI57" s="6" t="str">
        <f aca="false">IF($J57="NA","NA",IF(AND($J57&gt;1949,AH57&gt;0),"ERRO","OK"))</f>
        <v>OK</v>
      </c>
      <c r="AJ57" s="6" t="n">
        <f aca="false">(10-(LEN(AK57)))+1</f>
        <v>8</v>
      </c>
      <c r="AK57" s="6" t="n">
        <v>147</v>
      </c>
      <c r="AL57" s="6" t="str">
        <f aca="false">IF($J57="NA","NA",IF(AND($J57&gt;1939,AK57&gt;0),"ERRO","OK"))</f>
        <v>OK</v>
      </c>
      <c r="AM57" s="6" t="n">
        <f aca="false">(10-(LEN(AN57)))+1</f>
        <v>8</v>
      </c>
      <c r="AN57" s="6" t="n">
        <v>642</v>
      </c>
      <c r="AO57" s="6" t="str">
        <f aca="false">IF($J57="NA","NA",IF(AND($J57&gt;1929,AN57&gt;0),"ERRO","OK"))</f>
        <v>OK</v>
      </c>
      <c r="AP57" s="6" t="n">
        <f aca="false">(10-(LEN(AQ57)))+1</f>
        <v>10</v>
      </c>
      <c r="AQ57" s="6" t="n">
        <v>0</v>
      </c>
      <c r="AR57" s="6" t="str">
        <f aca="false">IF($J57="NA","NA",IF(AND($J57&gt;1919,AQ57&gt;0),"ERRO","OK"))</f>
        <v>OK</v>
      </c>
      <c r="AS57" s="6" t="n">
        <f aca="false">(10-(LEN(AT57)))+1</f>
        <v>10</v>
      </c>
      <c r="AT57" s="6" t="n">
        <v>0</v>
      </c>
      <c r="AU57" s="6" t="str">
        <f aca="false">IF($J57="NA","NA",IF(AND($J57&gt;1909,AT57&gt;0),"ERRO","OK"))</f>
        <v>OK</v>
      </c>
      <c r="AV57" s="6" t="n">
        <f aca="false">(10-(LEN(AW57)))+1</f>
        <v>10</v>
      </c>
      <c r="AW57" s="6" t="n">
        <v>0</v>
      </c>
      <c r="AX57" s="6" t="str">
        <f aca="false">IF($J57="NA","NA",IF(AND($J57&gt;1899,AW57&gt;0),"ERRO","OK"))</f>
        <v>OK</v>
      </c>
    </row>
    <row r="58" customFormat="false" ht="15" hidden="false" customHeight="false" outlineLevel="0" collapsed="false">
      <c r="A58" s="7" t="n">
        <v>55</v>
      </c>
      <c r="B58" s="0" t="s">
        <v>74</v>
      </c>
      <c r="C58" s="8" t="n">
        <v>45302</v>
      </c>
      <c r="D58" s="6" t="n">
        <v>0</v>
      </c>
      <c r="E58" s="0" t="s">
        <v>16</v>
      </c>
      <c r="F58" s="0" t="s">
        <v>17</v>
      </c>
      <c r="G58" s="9" t="str">
        <f aca="false">IF(OR(N58="ERRO",Q58="ERRO",T58="ERRO",W58="ERRO",Z58="ERRO",AC58="ERRO",AF58="ERRO",AI58="ERRO",AL58="ERRO",AO58="ERRO",AR58="ERRO",AU58="ERRO",AX58="ERRO"),"ERRO","OK")</f>
        <v>OK</v>
      </c>
      <c r="H58" s="9" t="n">
        <f aca="false">COUNTIF(L58:AX58,"ERRO")</f>
        <v>0</v>
      </c>
      <c r="I58" s="9" t="s">
        <v>18</v>
      </c>
      <c r="J58" s="10" t="n">
        <v>1849</v>
      </c>
      <c r="K58" s="10" t="n">
        <v>1932</v>
      </c>
      <c r="L58" s="6" t="n">
        <f aca="false">(10-(LEN(M58)))+1</f>
        <v>10</v>
      </c>
      <c r="M58" s="6" t="n">
        <v>0</v>
      </c>
      <c r="N58" s="6" t="str">
        <f aca="false">IF($J58="NA","NA",IF(AND($J58&gt;2019,M58&gt;0),"ERRO","OK"))</f>
        <v>OK</v>
      </c>
      <c r="O58" s="6" t="n">
        <f aca="false">(10-(LEN(P58)))+1</f>
        <v>9</v>
      </c>
      <c r="P58" s="6" t="n">
        <v>36</v>
      </c>
      <c r="Q58" s="6" t="str">
        <f aca="false">IF($J58="NA","NA",IF(AND($J58&gt;2009,P58&gt;0),"ERRO","OK"))</f>
        <v>OK</v>
      </c>
      <c r="R58" s="6" t="n">
        <f aca="false">(10-(LEN(S58)))+1</f>
        <v>10</v>
      </c>
      <c r="S58" s="6" t="n">
        <v>0</v>
      </c>
      <c r="T58" s="6" t="str">
        <f aca="false">IF($J58="NA","NA",IF(AND($J58&gt;1999,S58&gt;0),"ERRO","OK"))</f>
        <v>OK</v>
      </c>
      <c r="U58" s="6" t="n">
        <f aca="false">(10-(LEN(V58)))+1</f>
        <v>8</v>
      </c>
      <c r="V58" s="6" t="n">
        <v>193</v>
      </c>
      <c r="W58" s="6" t="str">
        <f aca="false">IF($J58="NA","NA",IF(AND($J58&gt;1989,V58&gt;0),"ERRO","OK"))</f>
        <v>OK</v>
      </c>
      <c r="X58" s="6" t="n">
        <f aca="false">(10-(LEN(Y58)))+1</f>
        <v>10</v>
      </c>
      <c r="Y58" s="6" t="n">
        <v>0</v>
      </c>
      <c r="Z58" s="6" t="str">
        <f aca="false">IF($J58="NA","NA",IF(AND($J58&gt;1979,Y58&gt;0),"ERRO","OK"))</f>
        <v>OK</v>
      </c>
      <c r="AA58" s="6" t="n">
        <f aca="false">(10-(LEN(AB58)))+1</f>
        <v>10</v>
      </c>
      <c r="AB58" s="6" t="n">
        <v>0</v>
      </c>
      <c r="AC58" s="6" t="str">
        <f aca="false">IF($J58="NA","NA",IF(AND($J58&gt;1969,AB58&gt;0),"ERRO","OK"))</f>
        <v>OK</v>
      </c>
      <c r="AD58" s="6" t="n">
        <f aca="false">(10-(LEN(AE58)))+1</f>
        <v>10</v>
      </c>
      <c r="AE58" s="6" t="n">
        <v>0</v>
      </c>
      <c r="AF58" s="6" t="str">
        <f aca="false">IF($J58="NA","NA",IF(AND($J58&gt;1959,AE58&gt;0),"ERRO","OK"))</f>
        <v>OK</v>
      </c>
      <c r="AG58" s="6" t="n">
        <f aca="false">(10-(LEN(AH58)))+1</f>
        <v>10</v>
      </c>
      <c r="AH58" s="6" t="n">
        <v>0</v>
      </c>
      <c r="AI58" s="6" t="str">
        <f aca="false">IF($J58="NA","NA",IF(AND($J58&gt;1949,AH58&gt;0),"ERRO","OK"))</f>
        <v>OK</v>
      </c>
      <c r="AJ58" s="6" t="n">
        <f aca="false">(10-(LEN(AK58)))+1</f>
        <v>10</v>
      </c>
      <c r="AK58" s="6" t="n">
        <v>0</v>
      </c>
      <c r="AL58" s="6" t="str">
        <f aca="false">IF($J58="NA","NA",IF(AND($J58&gt;1939,AK58&gt;0),"ERRO","OK"))</f>
        <v>OK</v>
      </c>
      <c r="AM58" s="6" t="n">
        <f aca="false">(10-(LEN(AN58)))+1</f>
        <v>10</v>
      </c>
      <c r="AN58" s="6" t="n">
        <v>0</v>
      </c>
      <c r="AO58" s="6" t="str">
        <f aca="false">IF($J58="NA","NA",IF(AND($J58&gt;1929,AN58&gt;0),"ERRO","OK"))</f>
        <v>OK</v>
      </c>
      <c r="AP58" s="6" t="n">
        <f aca="false">(10-(LEN(AQ58)))+1</f>
        <v>10</v>
      </c>
      <c r="AQ58" s="6" t="n">
        <v>0</v>
      </c>
      <c r="AR58" s="6" t="str">
        <f aca="false">IF($J58="NA","NA",IF(AND($J58&gt;1919,AQ58&gt;0),"ERRO","OK"))</f>
        <v>OK</v>
      </c>
      <c r="AS58" s="6" t="n">
        <f aca="false">(10-(LEN(AT58)))+1</f>
        <v>10</v>
      </c>
      <c r="AT58" s="6" t="n">
        <v>0</v>
      </c>
      <c r="AU58" s="6" t="str">
        <f aca="false">IF($J58="NA","NA",IF(AND($J58&gt;1909,AT58&gt;0),"ERRO","OK"))</f>
        <v>OK</v>
      </c>
      <c r="AV58" s="6" t="n">
        <f aca="false">(10-(LEN(AW58)))+1</f>
        <v>10</v>
      </c>
      <c r="AW58" s="6" t="n">
        <v>0</v>
      </c>
      <c r="AX58" s="6" t="str">
        <f aca="false">IF($J58="NA","NA",IF(AND($J58&gt;1899,AW58&gt;0),"ERRO","OK"))</f>
        <v>OK</v>
      </c>
    </row>
    <row r="59" customFormat="false" ht="15" hidden="false" customHeight="false" outlineLevel="0" collapsed="false">
      <c r="A59" s="7" t="n">
        <v>56</v>
      </c>
      <c r="B59" s="0" t="s">
        <v>75</v>
      </c>
      <c r="C59" s="8" t="n">
        <v>45302</v>
      </c>
      <c r="D59" s="6" t="n">
        <v>0</v>
      </c>
      <c r="E59" s="0" t="s">
        <v>16</v>
      </c>
      <c r="F59" s="0" t="s">
        <v>17</v>
      </c>
      <c r="G59" s="9" t="str">
        <f aca="false">IF(OR(N59="ERRO",Q59="ERRO",T59="ERRO",W59="ERRO",Z59="ERRO",AC59="ERRO",AF59="ERRO",AI59="ERRO",AL59="ERRO",AO59="ERRO",AR59="ERRO",AU59="ERRO",AX59="ERRO"),"ERRO","OK")</f>
        <v>OK</v>
      </c>
      <c r="H59" s="9" t="n">
        <f aca="false">COUNTIF(L59:AX59,"ERRO")</f>
        <v>0</v>
      </c>
      <c r="I59" s="9" t="s">
        <v>18</v>
      </c>
      <c r="J59" s="10" t="n">
        <v>1877</v>
      </c>
      <c r="K59" s="10" t="n">
        <v>1944</v>
      </c>
      <c r="L59" s="6" t="n">
        <f aca="false">(10-(LEN(M59)))+1</f>
        <v>8</v>
      </c>
      <c r="M59" s="6" t="n">
        <v>263</v>
      </c>
      <c r="N59" s="6" t="str">
        <f aca="false">IF($J59="NA","NA",IF(AND($J59&gt;2019,M59&gt;0),"ERRO","OK"))</f>
        <v>OK</v>
      </c>
      <c r="O59" s="6" t="n">
        <f aca="false">(10-(LEN(P59)))+1</f>
        <v>7</v>
      </c>
      <c r="P59" s="6" t="n">
        <v>1585</v>
      </c>
      <c r="Q59" s="6" t="str">
        <f aca="false">IF($J59="NA","NA",IF(AND($J59&gt;2009,P59&gt;0),"ERRO","OK"))</f>
        <v>OK</v>
      </c>
      <c r="R59" s="6" t="n">
        <f aca="false">(10-(LEN(S59)))+1</f>
        <v>8</v>
      </c>
      <c r="S59" s="6" t="n">
        <v>573</v>
      </c>
      <c r="T59" s="6" t="str">
        <f aca="false">IF($J59="NA","NA",IF(AND($J59&gt;1999,S59&gt;0),"ERRO","OK"))</f>
        <v>OK</v>
      </c>
      <c r="U59" s="6" t="n">
        <f aca="false">(10-(LEN(V59)))+1</f>
        <v>8</v>
      </c>
      <c r="V59" s="6" t="n">
        <v>967</v>
      </c>
      <c r="W59" s="6" t="str">
        <f aca="false">IF($J59="NA","NA",IF(AND($J59&gt;1989,V59&gt;0),"ERRO","OK"))</f>
        <v>OK</v>
      </c>
      <c r="X59" s="6" t="n">
        <f aca="false">(10-(LEN(Y59)))+1</f>
        <v>8</v>
      </c>
      <c r="Y59" s="6" t="n">
        <v>394</v>
      </c>
      <c r="Z59" s="6" t="str">
        <f aca="false">IF($J59="NA","NA",IF(AND($J59&gt;1979,Y59&gt;0),"ERRO","OK"))</f>
        <v>OK</v>
      </c>
      <c r="AA59" s="6" t="n">
        <f aca="false">(10-(LEN(AB59)))+1</f>
        <v>8</v>
      </c>
      <c r="AB59" s="6" t="n">
        <v>554</v>
      </c>
      <c r="AC59" s="6" t="str">
        <f aca="false">IF($J59="NA","NA",IF(AND($J59&gt;1969,AB59&gt;0),"ERRO","OK"))</f>
        <v>OK</v>
      </c>
      <c r="AD59" s="6" t="n">
        <f aca="false">(10-(LEN(AE59)))+1</f>
        <v>7</v>
      </c>
      <c r="AE59" s="6" t="n">
        <v>1980</v>
      </c>
      <c r="AF59" s="6" t="str">
        <f aca="false">IF($J59="NA","NA",IF(AND($J59&gt;1959,AE59&gt;0),"ERRO","OK"))</f>
        <v>OK</v>
      </c>
      <c r="AG59" s="6" t="n">
        <f aca="false">(10-(LEN(AH59)))+1</f>
        <v>7</v>
      </c>
      <c r="AH59" s="6" t="n">
        <v>1853</v>
      </c>
      <c r="AI59" s="6" t="str">
        <f aca="false">IF($J59="NA","NA",IF(AND($J59&gt;1949,AH59&gt;0),"ERRO","OK"))</f>
        <v>OK</v>
      </c>
      <c r="AJ59" s="6" t="n">
        <f aca="false">(10-(LEN(AK59)))+1</f>
        <v>7</v>
      </c>
      <c r="AK59" s="6" t="n">
        <v>2638</v>
      </c>
      <c r="AL59" s="6" t="str">
        <f aca="false">IF($J59="NA","NA",IF(AND($J59&gt;1939,AK59&gt;0),"ERRO","OK"))</f>
        <v>OK</v>
      </c>
      <c r="AM59" s="6" t="n">
        <f aca="false">(10-(LEN(AN59)))+1</f>
        <v>7</v>
      </c>
      <c r="AN59" s="6" t="n">
        <v>4814</v>
      </c>
      <c r="AO59" s="6" t="str">
        <f aca="false">IF($J59="NA","NA",IF(AND($J59&gt;1929,AN59&gt;0),"ERRO","OK"))</f>
        <v>OK</v>
      </c>
      <c r="AP59" s="6" t="n">
        <f aca="false">(10-(LEN(AQ59)))+1</f>
        <v>7</v>
      </c>
      <c r="AQ59" s="6" t="n">
        <v>2213</v>
      </c>
      <c r="AR59" s="6" t="str">
        <f aca="false">IF($J59="NA","NA",IF(AND($J59&gt;1919,AQ59&gt;0),"ERRO","OK"))</f>
        <v>OK</v>
      </c>
      <c r="AS59" s="6" t="n">
        <f aca="false">(10-(LEN(AT59)))+1</f>
        <v>7</v>
      </c>
      <c r="AT59" s="6" t="n">
        <v>2607</v>
      </c>
      <c r="AU59" s="6" t="str">
        <f aca="false">IF($J59="NA","NA",IF(AND($J59&gt;1909,AT59&gt;0),"ERRO","OK"))</f>
        <v>OK</v>
      </c>
      <c r="AV59" s="6" t="n">
        <f aca="false">(10-(LEN(AW59)))+1</f>
        <v>7</v>
      </c>
      <c r="AW59" s="6" t="n">
        <v>1764</v>
      </c>
      <c r="AX59" s="6" t="str">
        <f aca="false">IF($J59="NA","NA",IF(AND($J59&gt;1899,AW59&gt;0),"ERRO","OK"))</f>
        <v>OK</v>
      </c>
    </row>
    <row r="60" customFormat="false" ht="15" hidden="false" customHeight="false" outlineLevel="0" collapsed="false">
      <c r="A60" s="7" t="n">
        <v>57</v>
      </c>
      <c r="B60" s="0" t="s">
        <v>76</v>
      </c>
      <c r="C60" s="8" t="n">
        <v>45303</v>
      </c>
      <c r="D60" s="6" t="n">
        <v>0</v>
      </c>
      <c r="E60" s="0" t="s">
        <v>16</v>
      </c>
      <c r="F60" s="0" t="s">
        <v>17</v>
      </c>
      <c r="G60" s="9" t="str">
        <f aca="false">IF(OR(N60="ERRO",Q60="ERRO",T60="ERRO",W60="ERRO",Z60="ERRO",AC60="ERRO",AF60="ERRO",AI60="ERRO",AL60="ERRO",AO60="ERRO",AR60="ERRO",AU60="ERRO",AX60="ERRO"),"ERRO","OK")</f>
        <v>OK</v>
      </c>
      <c r="H60" s="9" t="n">
        <f aca="false">COUNTIF(L60:AX60,"ERRO")</f>
        <v>0</v>
      </c>
      <c r="I60" s="9" t="s">
        <v>18</v>
      </c>
      <c r="J60" s="10" t="n">
        <v>1893</v>
      </c>
      <c r="K60" s="10" t="n">
        <v>1975</v>
      </c>
      <c r="L60" s="6" t="n">
        <f aca="false">(10-(LEN(M60)))+1</f>
        <v>8</v>
      </c>
      <c r="M60" s="6" t="n">
        <v>208</v>
      </c>
      <c r="N60" s="6" t="str">
        <f aca="false">IF($J60="NA","NA",IF(AND($J60&gt;2019,M60&gt;0),"ERRO","OK"))</f>
        <v>OK</v>
      </c>
      <c r="O60" s="6" t="n">
        <f aca="false">(10-(LEN(P60)))+1</f>
        <v>8</v>
      </c>
      <c r="P60" s="6" t="n">
        <v>588</v>
      </c>
      <c r="Q60" s="6" t="str">
        <f aca="false">IF($J60="NA","NA",IF(AND($J60&gt;2009,P60&gt;0),"ERRO","OK"))</f>
        <v>OK</v>
      </c>
      <c r="R60" s="6" t="n">
        <f aca="false">(10-(LEN(S60)))+1</f>
        <v>8</v>
      </c>
      <c r="S60" s="6" t="n">
        <v>552</v>
      </c>
      <c r="T60" s="6" t="str">
        <f aca="false">IF($J60="NA","NA",IF(AND($J60&gt;1999,S60&gt;0),"ERRO","OK"))</f>
        <v>OK</v>
      </c>
      <c r="U60" s="6" t="n">
        <f aca="false">(10-(LEN(V60)))+1</f>
        <v>8</v>
      </c>
      <c r="V60" s="6" t="n">
        <v>375</v>
      </c>
      <c r="W60" s="6" t="str">
        <f aca="false">IF($J60="NA","NA",IF(AND($J60&gt;1989,V60&gt;0),"ERRO","OK"))</f>
        <v>OK</v>
      </c>
      <c r="X60" s="6" t="n">
        <f aca="false">(10-(LEN(Y60)))+1</f>
        <v>8</v>
      </c>
      <c r="Y60" s="6" t="n">
        <v>703</v>
      </c>
      <c r="Z60" s="6" t="str">
        <f aca="false">IF($J60="NA","NA",IF(AND($J60&gt;1979,Y60&gt;0),"ERRO","OK"))</f>
        <v>OK</v>
      </c>
      <c r="AA60" s="6" t="n">
        <f aca="false">(10-(LEN(AB60)))+1</f>
        <v>8</v>
      </c>
      <c r="AB60" s="6" t="n">
        <v>897</v>
      </c>
      <c r="AC60" s="6" t="str">
        <f aca="false">IF($J60="NA","NA",IF(AND($J60&gt;1969,AB60&gt;0),"ERRO","OK"))</f>
        <v>OK</v>
      </c>
      <c r="AD60" s="6" t="n">
        <f aca="false">(10-(LEN(AE60)))+1</f>
        <v>7</v>
      </c>
      <c r="AE60" s="6" t="n">
        <v>7049</v>
      </c>
      <c r="AF60" s="6" t="str">
        <f aca="false">IF($J60="NA","NA",IF(AND($J60&gt;1959,AE60&gt;0),"ERRO","OK"))</f>
        <v>OK</v>
      </c>
      <c r="AG60" s="6" t="n">
        <f aca="false">(10-(LEN(AH60)))+1</f>
        <v>7</v>
      </c>
      <c r="AH60" s="6" t="n">
        <v>6406</v>
      </c>
      <c r="AI60" s="6" t="str">
        <f aca="false">IF($J60="NA","NA",IF(AND($J60&gt;1949,AH60&gt;0),"ERRO","OK"))</f>
        <v>OK</v>
      </c>
      <c r="AJ60" s="6" t="n">
        <f aca="false">(10-(LEN(AK60)))+1</f>
        <v>10</v>
      </c>
      <c r="AK60" s="6" t="n">
        <v>0</v>
      </c>
      <c r="AL60" s="6" t="str">
        <f aca="false">IF($J60="NA","NA",IF(AND($J60&gt;1939,AK60&gt;0),"ERRO","OK"))</f>
        <v>OK</v>
      </c>
      <c r="AM60" s="6" t="n">
        <f aca="false">(10-(LEN(AN60)))+1</f>
        <v>10</v>
      </c>
      <c r="AN60" s="6" t="n">
        <v>0</v>
      </c>
      <c r="AO60" s="6" t="str">
        <f aca="false">IF($J60="NA","NA",IF(AND($J60&gt;1929,AN60&gt;0),"ERRO","OK"))</f>
        <v>OK</v>
      </c>
      <c r="AP60" s="6" t="n">
        <f aca="false">(10-(LEN(AQ60)))+1</f>
        <v>10</v>
      </c>
      <c r="AQ60" s="6" t="n">
        <v>0</v>
      </c>
      <c r="AR60" s="6" t="str">
        <f aca="false">IF($J60="NA","NA",IF(AND($J60&gt;1919,AQ60&gt;0),"ERRO","OK"))</f>
        <v>OK</v>
      </c>
      <c r="AS60" s="6" t="n">
        <f aca="false">(10-(LEN(AT60)))+1</f>
        <v>10</v>
      </c>
      <c r="AT60" s="6" t="n">
        <v>0</v>
      </c>
      <c r="AU60" s="6" t="str">
        <f aca="false">IF($J60="NA","NA",IF(AND($J60&gt;1909,AT60&gt;0),"ERRO","OK"))</f>
        <v>OK</v>
      </c>
      <c r="AV60" s="6" t="n">
        <f aca="false">(10-(LEN(AW60)))+1</f>
        <v>10</v>
      </c>
      <c r="AW60" s="6" t="n">
        <v>0</v>
      </c>
      <c r="AX60" s="6" t="str">
        <f aca="false">IF($J60="NA","NA",IF(AND($J60&gt;1899,AW60&gt;0),"ERRO","OK"))</f>
        <v>OK</v>
      </c>
    </row>
    <row r="61" customFormat="false" ht="15" hidden="false" customHeight="false" outlineLevel="0" collapsed="false">
      <c r="A61" s="7" t="n">
        <v>58</v>
      </c>
      <c r="B61" s="0" t="s">
        <v>77</v>
      </c>
      <c r="C61" s="8" t="n">
        <v>45303</v>
      </c>
      <c r="D61" s="6" t="n">
        <v>0</v>
      </c>
      <c r="E61" s="0" t="s">
        <v>16</v>
      </c>
      <c r="F61" s="0" t="s">
        <v>17</v>
      </c>
      <c r="G61" s="9" t="str">
        <f aca="false">IF(OR(N61="ERRO",Q61="ERRO",T61="ERRO",W61="ERRO",Z61="ERRO",AC61="ERRO",AF61="ERRO",AI61="ERRO",AL61="ERRO",AO61="ERRO",AR61="ERRO",AU61="ERRO",AX61="ERRO"),"ERRO","OK")</f>
        <v>OK</v>
      </c>
      <c r="H61" s="9" t="n">
        <f aca="false">COUNTIF(L61:AX61,"ERRO")</f>
        <v>0</v>
      </c>
      <c r="I61" s="9" t="s">
        <v>18</v>
      </c>
      <c r="J61" s="10" t="n">
        <v>1896</v>
      </c>
      <c r="K61" s="10" t="n">
        <v>1963</v>
      </c>
      <c r="L61" s="6" t="n">
        <f aca="false">(10-(LEN(M61)))+1</f>
        <v>6</v>
      </c>
      <c r="M61" s="6" t="n">
        <v>28443</v>
      </c>
      <c r="N61" s="6" t="str">
        <f aca="false">IF($J61="NA","NA",IF(AND($J61&gt;2019,M61&gt;0),"ERRO","OK"))</f>
        <v>OK</v>
      </c>
      <c r="O61" s="6" t="n">
        <f aca="false">(10-(LEN(P61)))+1</f>
        <v>6</v>
      </c>
      <c r="P61" s="6" t="n">
        <v>48849</v>
      </c>
      <c r="Q61" s="6" t="str">
        <f aca="false">IF($J61="NA","NA",IF(AND($J61&gt;2009,P61&gt;0),"ERRO","OK"))</f>
        <v>OK</v>
      </c>
      <c r="R61" s="6" t="n">
        <f aca="false">(10-(LEN(S61)))+1</f>
        <v>6</v>
      </c>
      <c r="S61" s="6" t="n">
        <v>39579</v>
      </c>
      <c r="T61" s="6" t="str">
        <f aca="false">IF($J61="NA","NA",IF(AND($J61&gt;1999,S61&gt;0),"ERRO","OK"))</f>
        <v>OK</v>
      </c>
      <c r="U61" s="6" t="n">
        <f aca="false">(10-(LEN(V61)))+1</f>
        <v>6</v>
      </c>
      <c r="V61" s="6" t="n">
        <v>46314</v>
      </c>
      <c r="W61" s="6" t="str">
        <f aca="false">IF($J61="NA","NA",IF(AND($J61&gt;1989,V61&gt;0),"ERRO","OK"))</f>
        <v>OK</v>
      </c>
      <c r="X61" s="6" t="n">
        <f aca="false">(10-(LEN(Y61)))+1</f>
        <v>6</v>
      </c>
      <c r="Y61" s="6" t="n">
        <v>31892</v>
      </c>
      <c r="Z61" s="6" t="str">
        <f aca="false">IF($J61="NA","NA",IF(AND($J61&gt;1979,Y61&gt;0),"ERRO","OK"))</f>
        <v>OK</v>
      </c>
      <c r="AA61" s="6" t="n">
        <f aca="false">(10-(LEN(AB61)))+1</f>
        <v>6</v>
      </c>
      <c r="AB61" s="6" t="n">
        <v>28947</v>
      </c>
      <c r="AC61" s="6" t="str">
        <f aca="false">IF($J61="NA","NA",IF(AND($J61&gt;1969,AB61&gt;0),"ERRO","OK"))</f>
        <v>OK</v>
      </c>
      <c r="AD61" s="6" t="n">
        <f aca="false">(10-(LEN(AE61)))+1</f>
        <v>6</v>
      </c>
      <c r="AE61" s="6" t="n">
        <v>17851</v>
      </c>
      <c r="AF61" s="6" t="str">
        <f aca="false">IF($J61="NA","NA",IF(AND($J61&gt;1959,AE61&gt;0),"ERRO","OK"))</f>
        <v>OK</v>
      </c>
      <c r="AG61" s="6" t="n">
        <f aca="false">(10-(LEN(AH61)))+1</f>
        <v>6</v>
      </c>
      <c r="AH61" s="6" t="n">
        <v>15089</v>
      </c>
      <c r="AI61" s="6" t="str">
        <f aca="false">IF($J61="NA","NA",IF(AND($J61&gt;1949,AH61&gt;0),"ERRO","OK"))</f>
        <v>OK</v>
      </c>
      <c r="AJ61" s="6" t="n">
        <f aca="false">(10-(LEN(AK61)))+1</f>
        <v>7</v>
      </c>
      <c r="AK61" s="6" t="n">
        <v>5013</v>
      </c>
      <c r="AL61" s="6" t="str">
        <f aca="false">IF($J61="NA","NA",IF(AND($J61&gt;1939,AK61&gt;0),"ERRO","OK"))</f>
        <v>OK</v>
      </c>
      <c r="AM61" s="6" t="n">
        <f aca="false">(10-(LEN(AN61)))+1</f>
        <v>7</v>
      </c>
      <c r="AN61" s="6" t="n">
        <v>4570</v>
      </c>
      <c r="AO61" s="6" t="str">
        <f aca="false">IF($J61="NA","NA",IF(AND($J61&gt;1929,AN61&gt;0),"ERRO","OK"))</f>
        <v>OK</v>
      </c>
      <c r="AP61" s="6" t="n">
        <f aca="false">(10-(LEN(AQ61)))+1</f>
        <v>7</v>
      </c>
      <c r="AQ61" s="6" t="n">
        <v>1101</v>
      </c>
      <c r="AR61" s="6" t="str">
        <f aca="false">IF($J61="NA","NA",IF(AND($J61&gt;1919,AQ61&gt;0),"ERRO","OK"))</f>
        <v>OK</v>
      </c>
      <c r="AS61" s="6" t="n">
        <f aca="false">(10-(LEN(AT61)))+1</f>
        <v>10</v>
      </c>
      <c r="AT61" s="6" t="n">
        <v>0</v>
      </c>
      <c r="AU61" s="6" t="str">
        <f aca="false">IF($J61="NA","NA",IF(AND($J61&gt;1909,AT61&gt;0),"ERRO","OK"))</f>
        <v>OK</v>
      </c>
      <c r="AV61" s="6" t="n">
        <f aca="false">(10-(LEN(AW61)))+1</f>
        <v>10</v>
      </c>
      <c r="AW61" s="6" t="n">
        <v>0</v>
      </c>
      <c r="AX61" s="6" t="str">
        <f aca="false">IF($J61="NA","NA",IF(AND($J61&gt;1899,AW61&gt;0),"ERRO","OK"))</f>
        <v>OK</v>
      </c>
    </row>
    <row r="62" customFormat="false" ht="15" hidden="false" customHeight="false" outlineLevel="0" collapsed="false">
      <c r="A62" s="7" t="n">
        <v>59</v>
      </c>
      <c r="B62" s="0" t="s">
        <v>78</v>
      </c>
      <c r="C62" s="8" t="n">
        <v>45303</v>
      </c>
      <c r="D62" s="6" t="n">
        <v>0</v>
      </c>
      <c r="E62" s="0" t="s">
        <v>16</v>
      </c>
      <c r="F62" s="0" t="s">
        <v>17</v>
      </c>
      <c r="G62" s="9" t="str">
        <f aca="false">IF(OR(N62="ERRO",Q62="ERRO",T62="ERRO",W62="ERRO",Z62="ERRO",AC62="ERRO",AF62="ERRO",AI62="ERRO",AL62="ERRO",AO62="ERRO",AR62="ERRO",AU62="ERRO",AX62="ERRO"),"ERRO","OK")</f>
        <v>OK</v>
      </c>
      <c r="H62" s="9" t="n">
        <f aca="false">COUNTIF(L62:AX62,"ERRO")</f>
        <v>0</v>
      </c>
      <c r="I62" s="9" t="s">
        <v>18</v>
      </c>
      <c r="J62" s="10" t="n">
        <v>1886</v>
      </c>
      <c r="K62" s="10" t="n">
        <v>1976</v>
      </c>
      <c r="L62" s="6" t="n">
        <f aca="false">(10-(LEN(M62)))+1</f>
        <v>8</v>
      </c>
      <c r="M62" s="6" t="n">
        <v>333</v>
      </c>
      <c r="N62" s="6" t="str">
        <f aca="false">IF($J62="NA","NA",IF(AND($J62&gt;2019,M62&gt;0),"ERRO","OK"))</f>
        <v>OK</v>
      </c>
      <c r="O62" s="6" t="n">
        <f aca="false">(10-(LEN(P62)))+1</f>
        <v>7</v>
      </c>
      <c r="P62" s="6" t="n">
        <v>1132</v>
      </c>
      <c r="Q62" s="6" t="str">
        <f aca="false">IF($J62="NA","NA",IF(AND($J62&gt;2009,P62&gt;0),"ERRO","OK"))</f>
        <v>OK</v>
      </c>
      <c r="R62" s="6" t="n">
        <f aca="false">(10-(LEN(S62)))+1</f>
        <v>8</v>
      </c>
      <c r="S62" s="6" t="n">
        <v>210</v>
      </c>
      <c r="T62" s="6" t="str">
        <f aca="false">IF($J62="NA","NA",IF(AND($J62&gt;1999,S62&gt;0),"ERRO","OK"))</f>
        <v>OK</v>
      </c>
      <c r="U62" s="6" t="n">
        <f aca="false">(10-(LEN(V62)))+1</f>
        <v>8</v>
      </c>
      <c r="V62" s="6" t="n">
        <v>368</v>
      </c>
      <c r="W62" s="6" t="str">
        <f aca="false">IF($J62="NA","NA",IF(AND($J62&gt;1989,V62&gt;0),"ERRO","OK"))</f>
        <v>OK</v>
      </c>
      <c r="X62" s="6" t="n">
        <f aca="false">(10-(LEN(Y62)))+1</f>
        <v>8</v>
      </c>
      <c r="Y62" s="6" t="n">
        <v>268</v>
      </c>
      <c r="Z62" s="6" t="str">
        <f aca="false">IF($J62="NA","NA",IF(AND($J62&gt;1979,Y62&gt;0),"ERRO","OK"))</f>
        <v>OK</v>
      </c>
      <c r="AA62" s="6" t="n">
        <f aca="false">(10-(LEN(AB62)))+1</f>
        <v>8</v>
      </c>
      <c r="AB62" s="6" t="n">
        <v>117</v>
      </c>
      <c r="AC62" s="6" t="str">
        <f aca="false">IF($J62="NA","NA",IF(AND($J62&gt;1969,AB62&gt;0),"ERRO","OK"))</f>
        <v>OK</v>
      </c>
      <c r="AD62" s="6" t="n">
        <f aca="false">(10-(LEN(AE62)))+1</f>
        <v>10</v>
      </c>
      <c r="AE62" s="6" t="n">
        <v>0</v>
      </c>
      <c r="AF62" s="6" t="str">
        <f aca="false">IF($J62="NA","NA",IF(AND($J62&gt;1959,AE62&gt;0),"ERRO","OK"))</f>
        <v>OK</v>
      </c>
      <c r="AG62" s="6" t="n">
        <f aca="false">(10-(LEN(AH62)))+1</f>
        <v>10</v>
      </c>
      <c r="AH62" s="6" t="n">
        <v>0</v>
      </c>
      <c r="AI62" s="6" t="str">
        <f aca="false">IF($J62="NA","NA",IF(AND($J62&gt;1949,AH62&gt;0),"ERRO","OK"))</f>
        <v>OK</v>
      </c>
      <c r="AJ62" s="6" t="n">
        <f aca="false">(10-(LEN(AK62)))+1</f>
        <v>10</v>
      </c>
      <c r="AK62" s="6" t="n">
        <v>0</v>
      </c>
      <c r="AL62" s="6" t="str">
        <f aca="false">IF($J62="NA","NA",IF(AND($J62&gt;1939,AK62&gt;0),"ERRO","OK"))</f>
        <v>OK</v>
      </c>
      <c r="AM62" s="6" t="n">
        <f aca="false">(10-(LEN(AN62)))+1</f>
        <v>10</v>
      </c>
      <c r="AN62" s="6" t="n">
        <v>0</v>
      </c>
      <c r="AO62" s="6" t="str">
        <f aca="false">IF($J62="NA","NA",IF(AND($J62&gt;1929,AN62&gt;0),"ERRO","OK"))</f>
        <v>OK</v>
      </c>
      <c r="AP62" s="6" t="n">
        <f aca="false">(10-(LEN(AQ62)))+1</f>
        <v>8</v>
      </c>
      <c r="AQ62" s="6" t="n">
        <v>100</v>
      </c>
      <c r="AR62" s="6" t="str">
        <f aca="false">IF($J62="NA","NA",IF(AND($J62&gt;1919,AQ62&gt;0),"ERRO","OK"))</f>
        <v>OK</v>
      </c>
      <c r="AS62" s="6" t="n">
        <f aca="false">(10-(LEN(AT62)))+1</f>
        <v>10</v>
      </c>
      <c r="AT62" s="6" t="n">
        <v>0</v>
      </c>
      <c r="AU62" s="6" t="str">
        <f aca="false">IF($J62="NA","NA",IF(AND($J62&gt;1909,AT62&gt;0),"ERRO","OK"))</f>
        <v>OK</v>
      </c>
      <c r="AV62" s="6" t="n">
        <f aca="false">(10-(LEN(AW62)))+1</f>
        <v>10</v>
      </c>
      <c r="AW62" s="6" t="n">
        <v>0</v>
      </c>
      <c r="AX62" s="6" t="str">
        <f aca="false">IF($J62="NA","NA",IF(AND($J62&gt;1899,AW62&gt;0),"ERRO","OK"))</f>
        <v>OK</v>
      </c>
    </row>
    <row r="63" customFormat="false" ht="15" hidden="false" customHeight="false" outlineLevel="0" collapsed="false">
      <c r="A63" s="7" t="n">
        <v>60</v>
      </c>
      <c r="B63" s="0" t="s">
        <v>79</v>
      </c>
      <c r="C63" s="8" t="n">
        <v>45303</v>
      </c>
      <c r="D63" s="6" t="n">
        <v>0</v>
      </c>
      <c r="E63" s="0" t="s">
        <v>16</v>
      </c>
      <c r="F63" s="0" t="s">
        <v>17</v>
      </c>
      <c r="G63" s="9" t="str">
        <f aca="false">IF(OR(N63="ERRO",Q63="ERRO",T63="ERRO",W63="ERRO",Z63="ERRO",AC63="ERRO",AF63="ERRO",AI63="ERRO",AL63="ERRO",AO63="ERRO",AR63="ERRO",AU63="ERRO",AX63="ERRO"),"ERRO","OK")</f>
        <v>OK</v>
      </c>
      <c r="H63" s="9" t="n">
        <f aca="false">COUNTIF(L63:AX63,"ERRO")</f>
        <v>0</v>
      </c>
      <c r="I63" s="9" t="s">
        <v>18</v>
      </c>
      <c r="J63" s="10" t="n">
        <v>1862</v>
      </c>
      <c r="K63" s="10" t="n">
        <v>1937</v>
      </c>
      <c r="L63" s="6" t="n">
        <f aca="false">(10-(LEN(M63)))+1</f>
        <v>8</v>
      </c>
      <c r="M63" s="6" t="n">
        <v>208</v>
      </c>
      <c r="N63" s="6" t="str">
        <f aca="false">IF($J63="NA","NA",IF(AND($J63&gt;2019,M63&gt;0),"ERRO","OK"))</f>
        <v>OK</v>
      </c>
      <c r="O63" s="6" t="n">
        <f aca="false">(10-(LEN(P63)))+1</f>
        <v>8</v>
      </c>
      <c r="P63" s="6" t="n">
        <v>206</v>
      </c>
      <c r="Q63" s="6" t="str">
        <f aca="false">IF($J63="NA","NA",IF(AND($J63&gt;2009,P63&gt;0),"ERRO","OK"))</f>
        <v>OK</v>
      </c>
      <c r="R63" s="6" t="n">
        <f aca="false">(10-(LEN(S63)))+1</f>
        <v>8</v>
      </c>
      <c r="S63" s="6" t="n">
        <v>210</v>
      </c>
      <c r="T63" s="6" t="str">
        <f aca="false">IF($J63="NA","NA",IF(AND($J63&gt;1999,S63&gt;0),"ERRO","OK"))</f>
        <v>OK</v>
      </c>
      <c r="U63" s="6" t="n">
        <f aca="false">(10-(LEN(V63)))+1</f>
        <v>7</v>
      </c>
      <c r="V63" s="6" t="n">
        <v>2897</v>
      </c>
      <c r="W63" s="6" t="str">
        <f aca="false">IF($J63="NA","NA",IF(AND($J63&gt;1989,V63&gt;0),"ERRO","OK"))</f>
        <v>OK</v>
      </c>
      <c r="X63" s="6" t="n">
        <f aca="false">(10-(LEN(Y63)))+1</f>
        <v>8</v>
      </c>
      <c r="Y63" s="6" t="n">
        <v>107</v>
      </c>
      <c r="Z63" s="6" t="str">
        <f aca="false">IF($J63="NA","NA",IF(AND($J63&gt;1979,Y63&gt;0),"ERRO","OK"))</f>
        <v>OK</v>
      </c>
      <c r="AA63" s="6" t="n">
        <f aca="false">(10-(LEN(AB63)))+1</f>
        <v>8</v>
      </c>
      <c r="AB63" s="6" t="n">
        <v>234</v>
      </c>
      <c r="AC63" s="6" t="str">
        <f aca="false">IF($J63="NA","NA",IF(AND($J63&gt;1969,AB63&gt;0),"ERRO","OK"))</f>
        <v>OK</v>
      </c>
      <c r="AD63" s="6" t="n">
        <f aca="false">(10-(LEN(AE63)))+1</f>
        <v>8</v>
      </c>
      <c r="AE63" s="6" t="n">
        <v>269</v>
      </c>
      <c r="AF63" s="6" t="str">
        <f aca="false">IF($J63="NA","NA",IF(AND($J63&gt;1959,AE63&gt;0),"ERRO","OK"))</f>
        <v>OK</v>
      </c>
      <c r="AG63" s="6" t="n">
        <f aca="false">(10-(LEN(AH63)))+1</f>
        <v>10</v>
      </c>
      <c r="AH63" s="6" t="n">
        <v>0</v>
      </c>
      <c r="AI63" s="6" t="str">
        <f aca="false">IF($J63="NA","NA",IF(AND($J63&gt;1949,AH63&gt;0),"ERRO","OK"))</f>
        <v>OK</v>
      </c>
      <c r="AJ63" s="6" t="n">
        <f aca="false">(10-(LEN(AK63)))+1</f>
        <v>7</v>
      </c>
      <c r="AK63" s="6" t="n">
        <v>1393</v>
      </c>
      <c r="AL63" s="6" t="str">
        <f aca="false">IF($J63="NA","NA",IF(AND($J63&gt;1939,AK63&gt;0),"ERRO","OK"))</f>
        <v>OK</v>
      </c>
      <c r="AM63" s="6" t="n">
        <f aca="false">(10-(LEN(AN63)))+1</f>
        <v>8</v>
      </c>
      <c r="AN63" s="6" t="n">
        <v>914</v>
      </c>
      <c r="AO63" s="6" t="str">
        <f aca="false">IF($J63="NA","NA",IF(AND($J63&gt;1929,AN63&gt;0),"ERRO","OK"))</f>
        <v>OK</v>
      </c>
      <c r="AP63" s="6" t="n">
        <f aca="false">(10-(LEN(AQ63)))+1</f>
        <v>8</v>
      </c>
      <c r="AQ63" s="6" t="n">
        <v>401</v>
      </c>
      <c r="AR63" s="6" t="str">
        <f aca="false">IF($J63="NA","NA",IF(AND($J63&gt;1919,AQ63&gt;0),"ERRO","OK"))</f>
        <v>OK</v>
      </c>
      <c r="AS63" s="6" t="n">
        <f aca="false">(10-(LEN(AT63)))+1</f>
        <v>10</v>
      </c>
      <c r="AT63" s="6" t="n">
        <v>0</v>
      </c>
      <c r="AU63" s="6" t="str">
        <f aca="false">IF($J63="NA","NA",IF(AND($J63&gt;1909,AT63&gt;0),"ERRO","OK"))</f>
        <v>OK</v>
      </c>
      <c r="AV63" s="6" t="n">
        <f aca="false">(10-(LEN(AW63)))+1</f>
        <v>10</v>
      </c>
      <c r="AW63" s="6" t="n">
        <v>0</v>
      </c>
      <c r="AX63" s="6" t="str">
        <f aca="false">IF($J63="NA","NA",IF(AND($J63&gt;1899,AW63&gt;0),"ERRO","OK"))</f>
        <v>OK</v>
      </c>
    </row>
    <row r="64" customFormat="false" ht="15" hidden="false" customHeight="false" outlineLevel="0" collapsed="false">
      <c r="A64" s="7" t="n">
        <v>61</v>
      </c>
      <c r="B64" s="0" t="s">
        <v>80</v>
      </c>
      <c r="C64" s="8" t="n">
        <v>45303</v>
      </c>
      <c r="D64" s="6" t="n">
        <v>0</v>
      </c>
      <c r="E64" s="0" t="s">
        <v>16</v>
      </c>
      <c r="F64" s="0" t="s">
        <v>17</v>
      </c>
      <c r="G64" s="9" t="str">
        <f aca="false">IF(OR(N64="ERRO",Q64="ERRO",T64="ERRO",W64="ERRO",Z64="ERRO",AC64="ERRO",AF64="ERRO",AI64="ERRO",AL64="ERRO",AO64="ERRO",AR64="ERRO",AU64="ERRO",AX64="ERRO"),"ERRO","OK")</f>
        <v>OK</v>
      </c>
      <c r="H64" s="9" t="n">
        <f aca="false">COUNTIF(L64:AX64,"ERRO")</f>
        <v>0</v>
      </c>
      <c r="I64" s="9" t="s">
        <v>18</v>
      </c>
      <c r="J64" s="10" t="n">
        <v>1883</v>
      </c>
      <c r="K64" s="10" t="n">
        <v>1965</v>
      </c>
      <c r="L64" s="6" t="n">
        <f aca="false">(10-(LEN(M64)))+1</f>
        <v>6</v>
      </c>
      <c r="M64" s="6" t="n">
        <v>11161</v>
      </c>
      <c r="N64" s="6" t="str">
        <f aca="false">IF($J64="NA","NA",IF(AND($J64&gt;2019,M64&gt;0),"ERRO","OK"))</f>
        <v>OK</v>
      </c>
      <c r="O64" s="6" t="n">
        <f aca="false">(10-(LEN(P64)))+1</f>
        <v>6</v>
      </c>
      <c r="P64" s="6" t="n">
        <v>19656</v>
      </c>
      <c r="Q64" s="6" t="str">
        <f aca="false">IF($J64="NA","NA",IF(AND($J64&gt;2009,P64&gt;0),"ERRO","OK"))</f>
        <v>OK</v>
      </c>
      <c r="R64" s="6" t="n">
        <f aca="false">(10-(LEN(S64)))+1</f>
        <v>6</v>
      </c>
      <c r="S64" s="6" t="n">
        <v>31134</v>
      </c>
      <c r="T64" s="6" t="str">
        <f aca="false">IF($J64="NA","NA",IF(AND($J64&gt;1999,S64&gt;0),"ERRO","OK"))</f>
        <v>OK</v>
      </c>
      <c r="U64" s="6" t="n">
        <f aca="false">(10-(LEN(V64)))+1</f>
        <v>6</v>
      </c>
      <c r="V64" s="6" t="n">
        <v>36288</v>
      </c>
      <c r="W64" s="6" t="str">
        <f aca="false">IF($J64="NA","NA",IF(AND($J64&gt;1989,V64&gt;0),"ERRO","OK"))</f>
        <v>OK</v>
      </c>
      <c r="X64" s="6" t="n">
        <f aca="false">(10-(LEN(Y64)))+1</f>
        <v>6</v>
      </c>
      <c r="Y64" s="6" t="n">
        <v>36761</v>
      </c>
      <c r="Z64" s="6" t="str">
        <f aca="false">IF($J64="NA","NA",IF(AND($J64&gt;1979,Y64&gt;0),"ERRO","OK"))</f>
        <v>OK</v>
      </c>
      <c r="AA64" s="6" t="n">
        <f aca="false">(10-(LEN(AB64)))+1</f>
        <v>6</v>
      </c>
      <c r="AB64" s="6" t="n">
        <v>24025</v>
      </c>
      <c r="AC64" s="6" t="str">
        <f aca="false">IF($J64="NA","NA",IF(AND($J64&gt;1969,AB64&gt;0),"ERRO","OK"))</f>
        <v>OK</v>
      </c>
      <c r="AD64" s="6" t="n">
        <f aca="false">(10-(LEN(AE64)))+1</f>
        <v>6</v>
      </c>
      <c r="AE64" s="6" t="n">
        <v>16147</v>
      </c>
      <c r="AF64" s="6" t="str">
        <f aca="false">IF($J64="NA","NA",IF(AND($J64&gt;1959,AE64&gt;0),"ERRO","OK"))</f>
        <v>OK</v>
      </c>
      <c r="AG64" s="6" t="n">
        <f aca="false">(10-(LEN(AH64)))+1</f>
        <v>6</v>
      </c>
      <c r="AH64" s="6" t="n">
        <v>13877</v>
      </c>
      <c r="AI64" s="6" t="str">
        <f aca="false">IF($J64="NA","NA",IF(AND($J64&gt;1949,AH64&gt;0),"ERRO","OK"))</f>
        <v>OK</v>
      </c>
      <c r="AJ64" s="6" t="n">
        <f aca="false">(10-(LEN(AK64)))+1</f>
        <v>6</v>
      </c>
      <c r="AK64" s="6" t="n">
        <v>36346</v>
      </c>
      <c r="AL64" s="6" t="str">
        <f aca="false">IF($J64="NA","NA",IF(AND($J64&gt;1939,AK64&gt;0),"ERRO","OK"))</f>
        <v>OK</v>
      </c>
      <c r="AM64" s="6" t="n">
        <f aca="false">(10-(LEN(AN64)))+1</f>
        <v>6</v>
      </c>
      <c r="AN64" s="6" t="n">
        <v>11729</v>
      </c>
      <c r="AO64" s="6" t="str">
        <f aca="false">IF($J64="NA","NA",IF(AND($J64&gt;1929,AN64&gt;0),"ERRO","OK"))</f>
        <v>OK</v>
      </c>
      <c r="AP64" s="6" t="n">
        <f aca="false">(10-(LEN(AQ64)))+1</f>
        <v>7</v>
      </c>
      <c r="AQ64" s="6" t="n">
        <v>5007</v>
      </c>
      <c r="AR64" s="6" t="str">
        <f aca="false">IF($J64="NA","NA",IF(AND($J64&gt;1919,AQ64&gt;0),"ERRO","OK"))</f>
        <v>OK</v>
      </c>
      <c r="AS64" s="6" t="n">
        <f aca="false">(10-(LEN(AT64)))+1</f>
        <v>10</v>
      </c>
      <c r="AT64" s="6" t="n">
        <v>0</v>
      </c>
      <c r="AU64" s="6" t="str">
        <f aca="false">IF($J64="NA","NA",IF(AND($J64&gt;1909,AT64&gt;0),"ERRO","OK"))</f>
        <v>OK</v>
      </c>
      <c r="AV64" s="6" t="n">
        <f aca="false">(10-(LEN(AW64)))+1</f>
        <v>10</v>
      </c>
      <c r="AW64" s="6" t="n">
        <v>0</v>
      </c>
      <c r="AX64" s="6" t="str">
        <f aca="false">IF($J64="NA","NA",IF(AND($J64&gt;1899,AW64&gt;0),"ERRO","OK"))</f>
        <v>OK</v>
      </c>
    </row>
    <row r="65" customFormat="false" ht="15" hidden="false" customHeight="false" outlineLevel="0" collapsed="false">
      <c r="A65" s="7" t="n">
        <v>62</v>
      </c>
      <c r="B65" s="0" t="s">
        <v>81</v>
      </c>
      <c r="C65" s="8" t="n">
        <v>45303</v>
      </c>
      <c r="D65" s="6" t="n">
        <v>0</v>
      </c>
      <c r="E65" s="0" t="s">
        <v>16</v>
      </c>
      <c r="F65" s="0" t="s">
        <v>17</v>
      </c>
      <c r="G65" s="9" t="str">
        <f aca="false">IF(OR(N65="ERRO",Q65="ERRO",T65="ERRO",W65="ERRO",Z65="ERRO",AC65="ERRO",AF65="ERRO",AI65="ERRO",AL65="ERRO",AO65="ERRO",AR65="ERRO",AU65="ERRO",AX65="ERRO"),"ERRO","OK")</f>
        <v>OK</v>
      </c>
      <c r="H65" s="9" t="n">
        <f aca="false">COUNTIF(L65:AX65,"ERRO")</f>
        <v>0</v>
      </c>
      <c r="I65" s="9" t="s">
        <v>18</v>
      </c>
      <c r="J65" s="10" t="s">
        <v>22</v>
      </c>
      <c r="K65" s="10" t="s">
        <v>22</v>
      </c>
      <c r="L65" s="6" t="n">
        <f aca="false">(10-(LEN(M65)))+1</f>
        <v>10</v>
      </c>
      <c r="M65" s="6" t="n">
        <v>0</v>
      </c>
      <c r="N65" s="6" t="str">
        <f aca="false">IF($J65="NA","NA",IF(AND($J65&gt;2019,M65&gt;0),"ERRO","OK"))</f>
        <v>NA</v>
      </c>
      <c r="O65" s="6" t="n">
        <f aca="false">(10-(LEN(P65)))+1</f>
        <v>10</v>
      </c>
      <c r="P65" s="6" t="n">
        <v>0</v>
      </c>
      <c r="Q65" s="6" t="str">
        <f aca="false">IF($J65="NA","NA",IF(AND($J65&gt;2009,P65&gt;0),"ERRO","OK"))</f>
        <v>NA</v>
      </c>
      <c r="R65" s="6" t="n">
        <f aca="false">(10-(LEN(S65)))+1</f>
        <v>10</v>
      </c>
      <c r="S65" s="6" t="n">
        <v>0</v>
      </c>
      <c r="T65" s="6" t="str">
        <f aca="false">IF($J65="NA","NA",IF(AND($J65&gt;1999,S65&gt;0),"ERRO","OK"))</f>
        <v>NA</v>
      </c>
      <c r="U65" s="6" t="n">
        <f aca="false">(10-(LEN(V65)))+1</f>
        <v>10</v>
      </c>
      <c r="V65" s="6" t="n">
        <v>0</v>
      </c>
      <c r="W65" s="6" t="str">
        <f aca="false">IF($J65="NA","NA",IF(AND($J65&gt;1989,V65&gt;0),"ERRO","OK"))</f>
        <v>NA</v>
      </c>
      <c r="X65" s="6" t="n">
        <f aca="false">(10-(LEN(Y65)))+1</f>
        <v>10</v>
      </c>
      <c r="Y65" s="6" t="n">
        <v>0</v>
      </c>
      <c r="Z65" s="6" t="str">
        <f aca="false">IF($J65="NA","NA",IF(AND($J65&gt;1979,Y65&gt;0),"ERRO","OK"))</f>
        <v>NA</v>
      </c>
      <c r="AA65" s="6" t="n">
        <f aca="false">(10-(LEN(AB65)))+1</f>
        <v>10</v>
      </c>
      <c r="AB65" s="6" t="n">
        <v>0</v>
      </c>
      <c r="AC65" s="6" t="str">
        <f aca="false">IF($J65="NA","NA",IF(AND($J65&gt;1969,AB65&gt;0),"ERRO","OK"))</f>
        <v>NA</v>
      </c>
      <c r="AD65" s="6" t="n">
        <f aca="false">(10-(LEN(AE65)))+1</f>
        <v>10</v>
      </c>
      <c r="AE65" s="6" t="n">
        <v>0</v>
      </c>
      <c r="AF65" s="6" t="str">
        <f aca="false">IF($J65="NA","NA",IF(AND($J65&gt;1959,AE65&gt;0),"ERRO","OK"))</f>
        <v>NA</v>
      </c>
      <c r="AG65" s="6" t="n">
        <f aca="false">(10-(LEN(AH65)))+1</f>
        <v>10</v>
      </c>
      <c r="AH65" s="6" t="n">
        <v>0</v>
      </c>
      <c r="AI65" s="6" t="str">
        <f aca="false">IF($J65="NA","NA",IF(AND($J65&gt;1949,AH65&gt;0),"ERRO","OK"))</f>
        <v>NA</v>
      </c>
      <c r="AJ65" s="6" t="n">
        <f aca="false">(10-(LEN(AK65)))+1</f>
        <v>10</v>
      </c>
      <c r="AK65" s="6" t="n">
        <v>0</v>
      </c>
      <c r="AL65" s="6" t="str">
        <f aca="false">IF($J65="NA","NA",IF(AND($J65&gt;1939,AK65&gt;0),"ERRO","OK"))</f>
        <v>NA</v>
      </c>
      <c r="AM65" s="6" t="n">
        <f aca="false">(10-(LEN(AN65)))+1</f>
        <v>10</v>
      </c>
      <c r="AN65" s="6" t="n">
        <v>0</v>
      </c>
      <c r="AO65" s="6" t="str">
        <f aca="false">IF($J65="NA","NA",IF(AND($J65&gt;1929,AN65&gt;0),"ERRO","OK"))</f>
        <v>NA</v>
      </c>
      <c r="AP65" s="6" t="n">
        <f aca="false">(10-(LEN(AQ65)))+1</f>
        <v>10</v>
      </c>
      <c r="AQ65" s="6" t="n">
        <v>0</v>
      </c>
      <c r="AR65" s="6" t="str">
        <f aca="false">IF($J65="NA","NA",IF(AND($J65&gt;1919,AQ65&gt;0),"ERRO","OK"))</f>
        <v>NA</v>
      </c>
      <c r="AS65" s="6" t="n">
        <f aca="false">(10-(LEN(AT65)))+1</f>
        <v>10</v>
      </c>
      <c r="AT65" s="6" t="n">
        <v>0</v>
      </c>
      <c r="AU65" s="6" t="str">
        <f aca="false">IF($J65="NA","NA",IF(AND($J65&gt;1909,AT65&gt;0),"ERRO","OK"))</f>
        <v>NA</v>
      </c>
      <c r="AV65" s="6" t="n">
        <f aca="false">(10-(LEN(AW65)))+1</f>
        <v>10</v>
      </c>
      <c r="AW65" s="6" t="n">
        <v>0</v>
      </c>
      <c r="AX65" s="6" t="str">
        <f aca="false">IF($J65="NA","NA",IF(AND($J65&gt;1899,AW65&gt;0),"ERRO","OK"))</f>
        <v>NA</v>
      </c>
    </row>
    <row r="66" customFormat="false" ht="15" hidden="false" customHeight="false" outlineLevel="0" collapsed="false">
      <c r="A66" s="7" t="n">
        <v>63</v>
      </c>
      <c r="B66" s="0" t="s">
        <v>82</v>
      </c>
      <c r="C66" s="8" t="n">
        <v>45304</v>
      </c>
      <c r="D66" s="6" t="n">
        <v>0</v>
      </c>
      <c r="E66" s="0" t="s">
        <v>16</v>
      </c>
      <c r="F66" s="0" t="s">
        <v>17</v>
      </c>
      <c r="G66" s="9" t="str">
        <f aca="false">IF(OR(N66="ERRO",Q66="ERRO",T66="ERRO",W66="ERRO",Z66="ERRO",AC66="ERRO",AF66="ERRO",AI66="ERRO",AL66="ERRO",AO66="ERRO",AR66="ERRO",AU66="ERRO",AX66="ERRO"),"ERRO","OK")</f>
        <v>OK</v>
      </c>
      <c r="H66" s="9" t="n">
        <f aca="false">COUNTIF(L66:AX66,"ERRO")</f>
        <v>0</v>
      </c>
      <c r="I66" s="9" t="s">
        <v>18</v>
      </c>
      <c r="J66" s="10" t="n">
        <v>1894</v>
      </c>
      <c r="K66" s="10" t="n">
        <v>1975</v>
      </c>
      <c r="L66" s="6" t="n">
        <f aca="false">(10-(LEN(M66)))+1</f>
        <v>7</v>
      </c>
      <c r="M66" s="6" t="n">
        <v>9245</v>
      </c>
      <c r="N66" s="6" t="str">
        <f aca="false">IF($J66="NA","NA",IF(AND($J66&gt;2019,M66&gt;0),"ERRO","OK"))</f>
        <v>OK</v>
      </c>
      <c r="O66" s="6" t="n">
        <f aca="false">(10-(LEN(P66)))+1</f>
        <v>7</v>
      </c>
      <c r="P66" s="6" t="n">
        <v>7993</v>
      </c>
      <c r="Q66" s="6" t="str">
        <f aca="false">IF($J66="NA","NA",IF(AND($J66&gt;2009,P66&gt;0),"ERRO","OK"))</f>
        <v>OK</v>
      </c>
      <c r="R66" s="6" t="n">
        <f aca="false">(10-(LEN(S66)))+1</f>
        <v>7</v>
      </c>
      <c r="S66" s="6" t="n">
        <v>7857</v>
      </c>
      <c r="T66" s="6" t="str">
        <f aca="false">IF($J66="NA","NA",IF(AND($J66&gt;1999,S66&gt;0),"ERRO","OK"))</f>
        <v>OK</v>
      </c>
      <c r="U66" s="6" t="n">
        <f aca="false">(10-(LEN(V66)))+1</f>
        <v>7</v>
      </c>
      <c r="V66" s="6" t="n">
        <v>5289</v>
      </c>
      <c r="W66" s="6" t="str">
        <f aca="false">IF($J66="NA","NA",IF(AND($J66&gt;1989,V66&gt;0),"ERRO","OK"))</f>
        <v>OK</v>
      </c>
      <c r="X66" s="6" t="n">
        <f aca="false">(10-(LEN(Y66)))+1</f>
        <v>7</v>
      </c>
      <c r="Y66" s="6" t="n">
        <v>5137</v>
      </c>
      <c r="Z66" s="6" t="str">
        <f aca="false">IF($J66="NA","NA",IF(AND($J66&gt;1979,Y66&gt;0),"ERRO","OK"))</f>
        <v>OK</v>
      </c>
      <c r="AA66" s="6" t="n">
        <f aca="false">(10-(LEN(AB66)))+1</f>
        <v>7</v>
      </c>
      <c r="AB66" s="6" t="n">
        <v>5801</v>
      </c>
      <c r="AC66" s="6" t="str">
        <f aca="false">IF($J66="NA","NA",IF(AND($J66&gt;1969,AB66&gt;0),"ERRO","OK"))</f>
        <v>OK</v>
      </c>
      <c r="AD66" s="6" t="n">
        <f aca="false">(10-(LEN(AE66)))+1</f>
        <v>7</v>
      </c>
      <c r="AE66" s="6" t="n">
        <v>3857</v>
      </c>
      <c r="AF66" s="6" t="str">
        <f aca="false">IF($J66="NA","NA",IF(AND($J66&gt;1959,AE66&gt;0),"ERRO","OK"))</f>
        <v>OK</v>
      </c>
      <c r="AG66" s="6" t="n">
        <f aca="false">(10-(LEN(AH66)))+1</f>
        <v>7</v>
      </c>
      <c r="AH66" s="6" t="n">
        <v>9141</v>
      </c>
      <c r="AI66" s="6" t="str">
        <f aca="false">IF($J66="NA","NA",IF(AND($J66&gt;1949,AH66&gt;0),"ERRO","OK"))</f>
        <v>OK</v>
      </c>
      <c r="AJ66" s="6" t="n">
        <f aca="false">(10-(LEN(AK66)))+1</f>
        <v>7</v>
      </c>
      <c r="AK66" s="6" t="n">
        <v>4874</v>
      </c>
      <c r="AL66" s="6" t="str">
        <f aca="false">IF($J66="NA","NA",IF(AND($J66&gt;1939,AK66&gt;0),"ERRO","OK"))</f>
        <v>OK</v>
      </c>
      <c r="AM66" s="6" t="n">
        <f aca="false">(10-(LEN(AN66)))+1</f>
        <v>6</v>
      </c>
      <c r="AN66" s="6" t="n">
        <v>14471</v>
      </c>
      <c r="AO66" s="6" t="str">
        <f aca="false">IF($J66="NA","NA",IF(AND($J66&gt;1929,AN66&gt;0),"ERRO","OK"))</f>
        <v>OK</v>
      </c>
      <c r="AP66" s="6" t="n">
        <f aca="false">(10-(LEN(AQ66)))+1</f>
        <v>6</v>
      </c>
      <c r="AQ66" s="6" t="n">
        <v>12016</v>
      </c>
      <c r="AR66" s="6" t="str">
        <f aca="false">IF($J66="NA","NA",IF(AND($J66&gt;1919,AQ66&gt;0),"ERRO","OK"))</f>
        <v>OK</v>
      </c>
      <c r="AS66" s="6" t="n">
        <f aca="false">(10-(LEN(AT66)))+1</f>
        <v>8</v>
      </c>
      <c r="AT66" s="6" t="n">
        <v>103</v>
      </c>
      <c r="AU66" s="6" t="str">
        <f aca="false">IF($J66="NA","NA",IF(AND($J66&gt;1909,AT66&gt;0),"ERRO","OK"))</f>
        <v>OK</v>
      </c>
      <c r="AV66" s="6" t="n">
        <f aca="false">(10-(LEN(AW66)))+1</f>
        <v>10</v>
      </c>
      <c r="AW66" s="6" t="n">
        <v>0</v>
      </c>
      <c r="AX66" s="6" t="str">
        <f aca="false">IF($J66="NA","NA",IF(AND($J66&gt;1899,AW66&gt;0),"ERRO","OK"))</f>
        <v>OK</v>
      </c>
    </row>
    <row r="67" customFormat="false" ht="15" hidden="false" customHeight="false" outlineLevel="0" collapsed="false">
      <c r="A67" s="7" t="n">
        <v>64</v>
      </c>
      <c r="B67" s="0" t="s">
        <v>83</v>
      </c>
      <c r="C67" s="8" t="n">
        <v>45304</v>
      </c>
      <c r="D67" s="6" t="n">
        <v>0</v>
      </c>
      <c r="E67" s="0" t="s">
        <v>16</v>
      </c>
      <c r="F67" s="0" t="s">
        <v>17</v>
      </c>
      <c r="G67" s="9" t="str">
        <f aca="false">IF(OR(N67="ERRO",Q67="ERRO",T67="ERRO",W67="ERRO",Z67="ERRO",AC67="ERRO",AF67="ERRO",AI67="ERRO",AL67="ERRO",AO67="ERRO",AR67="ERRO",AU67="ERRO",AX67="ERRO"),"ERRO","OK")</f>
        <v>OK</v>
      </c>
      <c r="H67" s="9" t="n">
        <f aca="false">COUNTIF(L67:AX67,"ERRO")</f>
        <v>0</v>
      </c>
      <c r="I67" s="9" t="s">
        <v>18</v>
      </c>
      <c r="J67" s="10" t="n">
        <v>1885</v>
      </c>
      <c r="K67" s="10" t="n">
        <v>1962</v>
      </c>
      <c r="L67" s="6" t="n">
        <f aca="false">(10-(LEN(M67)))+1</f>
        <v>7</v>
      </c>
      <c r="M67" s="6" t="n">
        <v>2915</v>
      </c>
      <c r="N67" s="6" t="str">
        <f aca="false">IF($J67="NA","NA",IF(AND($J67&gt;2019,M67&gt;0),"ERRO","OK"))</f>
        <v>OK</v>
      </c>
      <c r="O67" s="6" t="n">
        <f aca="false">(10-(LEN(P67)))+1</f>
        <v>7</v>
      </c>
      <c r="P67" s="6" t="n">
        <v>3430</v>
      </c>
      <c r="Q67" s="6" t="str">
        <f aca="false">IF($J67="NA","NA",IF(AND($J67&gt;2009,P67&gt;0),"ERRO","OK"))</f>
        <v>OK</v>
      </c>
      <c r="R67" s="6" t="n">
        <f aca="false">(10-(LEN(S67)))+1</f>
        <v>7</v>
      </c>
      <c r="S67" s="6" t="n">
        <v>1933</v>
      </c>
      <c r="T67" s="6" t="str">
        <f aca="false">IF($J67="NA","NA",IF(AND($J67&gt;1999,S67&gt;0),"ERRO","OK"))</f>
        <v>OK</v>
      </c>
      <c r="U67" s="6" t="n">
        <f aca="false">(10-(LEN(V67)))+1</f>
        <v>7</v>
      </c>
      <c r="V67" s="6" t="n">
        <v>1472</v>
      </c>
      <c r="W67" s="6" t="str">
        <f aca="false">IF($J67="NA","NA",IF(AND($J67&gt;1989,V67&gt;0),"ERRO","OK"))</f>
        <v>OK</v>
      </c>
      <c r="X67" s="6" t="n">
        <f aca="false">(10-(LEN(Y67)))+1</f>
        <v>7</v>
      </c>
      <c r="Y67" s="6" t="n">
        <v>2140</v>
      </c>
      <c r="Z67" s="6" t="str">
        <f aca="false">IF($J67="NA","NA",IF(AND($J67&gt;1979,Y67&gt;0),"ERRO","OK"))</f>
        <v>OK</v>
      </c>
      <c r="AA67" s="6" t="n">
        <f aca="false">(10-(LEN(AB67)))+1</f>
        <v>7</v>
      </c>
      <c r="AB67" s="6" t="n">
        <v>1172</v>
      </c>
      <c r="AC67" s="6" t="str">
        <f aca="false">IF($J67="NA","NA",IF(AND($J67&gt;1969,AB67&gt;0),"ERRO","OK"))</f>
        <v>OK</v>
      </c>
      <c r="AD67" s="6" t="n">
        <f aca="false">(10-(LEN(AE67)))+1</f>
        <v>7</v>
      </c>
      <c r="AE67" s="6" t="n">
        <v>4126</v>
      </c>
      <c r="AF67" s="6" t="str">
        <f aca="false">IF($J67="NA","NA",IF(AND($J67&gt;1959,AE67&gt;0),"ERRO","OK"))</f>
        <v>OK</v>
      </c>
      <c r="AG67" s="6" t="n">
        <f aca="false">(10-(LEN(AH67)))+1</f>
        <v>7</v>
      </c>
      <c r="AH67" s="6" t="n">
        <v>1982</v>
      </c>
      <c r="AI67" s="6" t="str">
        <f aca="false">IF($J67="NA","NA",IF(AND($J67&gt;1949,AH67&gt;0),"ERRO","OK"))</f>
        <v>OK</v>
      </c>
      <c r="AJ67" s="6" t="n">
        <f aca="false">(10-(LEN(AK67)))+1</f>
        <v>7</v>
      </c>
      <c r="AK67" s="6" t="n">
        <v>4317</v>
      </c>
      <c r="AL67" s="6" t="str">
        <f aca="false">IF($J67="NA","NA",IF(AND($J67&gt;1939,AK67&gt;0),"ERRO","OK"))</f>
        <v>OK</v>
      </c>
      <c r="AM67" s="6" t="n">
        <f aca="false">(10-(LEN(AN67)))+1</f>
        <v>7</v>
      </c>
      <c r="AN67" s="6" t="n">
        <v>1219</v>
      </c>
      <c r="AO67" s="6" t="str">
        <f aca="false">IF($J67="NA","NA",IF(AND($J67&gt;1929,AN67&gt;0),"ERRO","OK"))</f>
        <v>OK</v>
      </c>
      <c r="AP67" s="6" t="n">
        <f aca="false">(10-(LEN(AQ67)))+1</f>
        <v>7</v>
      </c>
      <c r="AQ67" s="6" t="n">
        <v>5908</v>
      </c>
      <c r="AR67" s="6" t="str">
        <f aca="false">IF($J67="NA","NA",IF(AND($J67&gt;1919,AQ67&gt;0),"ERRO","OK"))</f>
        <v>OK</v>
      </c>
      <c r="AS67" s="6" t="n">
        <f aca="false">(10-(LEN(AT67)))+1</f>
        <v>10</v>
      </c>
      <c r="AT67" s="6" t="n">
        <v>0</v>
      </c>
      <c r="AU67" s="6" t="str">
        <f aca="false">IF($J67="NA","NA",IF(AND($J67&gt;1909,AT67&gt;0),"ERRO","OK"))</f>
        <v>OK</v>
      </c>
      <c r="AV67" s="6" t="n">
        <f aca="false">(10-(LEN(AW67)))+1</f>
        <v>10</v>
      </c>
      <c r="AW67" s="6" t="n">
        <v>0</v>
      </c>
      <c r="AX67" s="6" t="str">
        <f aca="false">IF($J67="NA","NA",IF(AND($J67&gt;1899,AW67&gt;0),"ERRO","OK"))</f>
        <v>OK</v>
      </c>
    </row>
    <row r="68" customFormat="false" ht="15" hidden="false" customHeight="false" outlineLevel="0" collapsed="false">
      <c r="A68" s="7" t="n">
        <v>65</v>
      </c>
      <c r="B68" s="0" t="s">
        <v>84</v>
      </c>
      <c r="C68" s="8" t="n">
        <v>45304</v>
      </c>
      <c r="D68" s="6" t="n">
        <v>0</v>
      </c>
      <c r="E68" s="0" t="s">
        <v>16</v>
      </c>
      <c r="F68" s="0" t="s">
        <v>17</v>
      </c>
      <c r="G68" s="9" t="str">
        <f aca="false">IF(OR(N68="ERRO",Q68="ERRO",T68="ERRO",W68="ERRO",Z68="ERRO",AC68="ERRO",AF68="ERRO",AI68="ERRO",AL68="ERRO",AO68="ERRO",AR68="ERRO",AU68="ERRO",AX68="ERRO"),"ERRO","OK")</f>
        <v>OK</v>
      </c>
      <c r="H68" s="9" t="n">
        <f aca="false">COUNTIF(L68:AX68,"ERRO")</f>
        <v>0</v>
      </c>
      <c r="I68" s="9" t="s">
        <v>18</v>
      </c>
      <c r="J68" s="10" t="n">
        <v>1891</v>
      </c>
      <c r="K68" s="10" t="n">
        <v>1921</v>
      </c>
      <c r="L68" s="6" t="n">
        <f aca="false">(10-(LEN(M68)))+1</f>
        <v>9</v>
      </c>
      <c r="M68" s="6" t="n">
        <v>83</v>
      </c>
      <c r="N68" s="6" t="str">
        <f aca="false">IF($J68="NA","NA",IF(AND($J68&gt;2019,M68&gt;0),"ERRO","OK"))</f>
        <v>OK</v>
      </c>
      <c r="O68" s="6" t="n">
        <f aca="false">(10-(LEN(P68)))+1</f>
        <v>10</v>
      </c>
      <c r="P68" s="6" t="n">
        <v>0</v>
      </c>
      <c r="Q68" s="6" t="str">
        <f aca="false">IF($J68="NA","NA",IF(AND($J68&gt;2009,P68&gt;0),"ERRO","OK"))</f>
        <v>OK</v>
      </c>
      <c r="R68" s="6" t="n">
        <f aca="false">(10-(LEN(S68)))+1</f>
        <v>9</v>
      </c>
      <c r="S68" s="6" t="n">
        <v>42</v>
      </c>
      <c r="T68" s="6" t="str">
        <f aca="false">IF($J68="NA","NA",IF(AND($J68&gt;1999,S68&gt;0),"ERRO","OK"))</f>
        <v>OK</v>
      </c>
      <c r="U68" s="6" t="n">
        <f aca="false">(10-(LEN(V68)))+1</f>
        <v>10</v>
      </c>
      <c r="V68" s="6" t="n">
        <v>0</v>
      </c>
      <c r="W68" s="6" t="str">
        <f aca="false">IF($J68="NA","NA",IF(AND($J68&gt;1989,V68&gt;0),"ERRO","OK"))</f>
        <v>OK</v>
      </c>
      <c r="X68" s="6" t="n">
        <f aca="false">(10-(LEN(Y68)))+1</f>
        <v>10</v>
      </c>
      <c r="Y68" s="6" t="n">
        <v>0</v>
      </c>
      <c r="Z68" s="6" t="str">
        <f aca="false">IF($J68="NA","NA",IF(AND($J68&gt;1979,Y68&gt;0),"ERRO","OK"))</f>
        <v>OK</v>
      </c>
      <c r="AA68" s="6" t="n">
        <f aca="false">(10-(LEN(AB68)))+1</f>
        <v>8</v>
      </c>
      <c r="AB68" s="6" t="n">
        <v>117</v>
      </c>
      <c r="AC68" s="6" t="str">
        <f aca="false">IF($J68="NA","NA",IF(AND($J68&gt;1969,AB68&gt;0),"ERRO","OK"))</f>
        <v>OK</v>
      </c>
      <c r="AD68" s="6" t="n">
        <f aca="false">(10-(LEN(AE68)))+1</f>
        <v>10</v>
      </c>
      <c r="AE68" s="6" t="n">
        <v>0</v>
      </c>
      <c r="AF68" s="6" t="str">
        <f aca="false">IF($J68="NA","NA",IF(AND($J68&gt;1959,AE68&gt;0),"ERRO","OK"))</f>
        <v>OK</v>
      </c>
      <c r="AG68" s="6" t="n">
        <f aca="false">(10-(LEN(AH68)))+1</f>
        <v>10</v>
      </c>
      <c r="AH68" s="6" t="n">
        <v>0</v>
      </c>
      <c r="AI68" s="6" t="str">
        <f aca="false">IF($J68="NA","NA",IF(AND($J68&gt;1949,AH68&gt;0),"ERRO","OK"))</f>
        <v>OK</v>
      </c>
      <c r="AJ68" s="6" t="n">
        <f aca="false">(10-(LEN(AK68)))+1</f>
        <v>10</v>
      </c>
      <c r="AK68" s="6" t="n">
        <v>0</v>
      </c>
      <c r="AL68" s="6" t="str">
        <f aca="false">IF($J68="NA","NA",IF(AND($J68&gt;1939,AK68&gt;0),"ERRO","OK"))</f>
        <v>OK</v>
      </c>
      <c r="AM68" s="6" t="n">
        <f aca="false">(10-(LEN(AN68)))+1</f>
        <v>8</v>
      </c>
      <c r="AN68" s="6" t="n">
        <v>762</v>
      </c>
      <c r="AO68" s="6" t="str">
        <f aca="false">IF($J68="NA","NA",IF(AND($J68&gt;1929,AN68&gt;0),"ERRO","OK"))</f>
        <v>OK</v>
      </c>
      <c r="AP68" s="6" t="n">
        <f aca="false">(10-(LEN(AQ68)))+1</f>
        <v>10</v>
      </c>
      <c r="AQ68" s="6" t="n">
        <v>0</v>
      </c>
      <c r="AR68" s="6" t="str">
        <f aca="false">IF($J68="NA","NA",IF(AND($J68&gt;1919,AQ68&gt;0),"ERRO","OK"))</f>
        <v>OK</v>
      </c>
      <c r="AS68" s="6" t="n">
        <f aca="false">(10-(LEN(AT68)))+1</f>
        <v>10</v>
      </c>
      <c r="AT68" s="6" t="n">
        <v>0</v>
      </c>
      <c r="AU68" s="6" t="str">
        <f aca="false">IF($J68="NA","NA",IF(AND($J68&gt;1909,AT68&gt;0),"ERRO","OK"))</f>
        <v>OK</v>
      </c>
      <c r="AV68" s="6" t="n">
        <f aca="false">(10-(LEN(AW68)))+1</f>
        <v>10</v>
      </c>
      <c r="AW68" s="6" t="n">
        <v>0</v>
      </c>
      <c r="AX68" s="6" t="str">
        <f aca="false">IF($J68="NA","NA",IF(AND($J68&gt;1899,AW68&gt;0),"ERRO","OK"))</f>
        <v>OK</v>
      </c>
    </row>
    <row r="69" customFormat="false" ht="15" hidden="false" customHeight="false" outlineLevel="0" collapsed="false">
      <c r="A69" s="7" t="n">
        <v>66</v>
      </c>
      <c r="B69" s="0" t="s">
        <v>85</v>
      </c>
      <c r="C69" s="8" t="n">
        <v>45304</v>
      </c>
      <c r="D69" s="6" t="n">
        <v>0</v>
      </c>
      <c r="E69" s="0" t="s">
        <v>16</v>
      </c>
      <c r="F69" s="0" t="s">
        <v>17</v>
      </c>
      <c r="G69" s="9" t="str">
        <f aca="false">IF(OR(N69="ERRO",Q69="ERRO",T69="ERRO",W69="ERRO",Z69="ERRO",AC69="ERRO",AF69="ERRO",AI69="ERRO",AL69="ERRO",AO69="ERRO",AR69="ERRO",AU69="ERRO",AX69="ERRO"),"ERRO","OK")</f>
        <v>OK</v>
      </c>
      <c r="H69" s="9" t="n">
        <f aca="false">COUNTIF(L69:AX69,"ERRO")</f>
        <v>0</v>
      </c>
      <c r="I69" s="9" t="s">
        <v>18</v>
      </c>
      <c r="J69" s="10" t="n">
        <v>1877</v>
      </c>
      <c r="K69" s="10" t="n">
        <v>1943</v>
      </c>
      <c r="L69" s="6" t="n">
        <f aca="false">(10-(LEN(M69)))+1</f>
        <v>6</v>
      </c>
      <c r="M69" s="6" t="n">
        <v>11994</v>
      </c>
      <c r="N69" s="6" t="str">
        <f aca="false">IF($J69="NA","NA",IF(AND($J69&gt;2019,M69&gt;0),"ERRO","OK"))</f>
        <v>OK</v>
      </c>
      <c r="O69" s="6" t="n">
        <f aca="false">(10-(LEN(P69)))+1</f>
        <v>6</v>
      </c>
      <c r="P69" s="6" t="n">
        <v>26826</v>
      </c>
      <c r="Q69" s="6" t="str">
        <f aca="false">IF($J69="NA","NA",IF(AND($J69&gt;2009,P69&gt;0),"ERRO","OK"))</f>
        <v>OK</v>
      </c>
      <c r="R69" s="6" t="n">
        <f aca="false">(10-(LEN(S69)))+1</f>
        <v>6</v>
      </c>
      <c r="S69" s="6" t="n">
        <v>38739</v>
      </c>
      <c r="T69" s="6" t="str">
        <f aca="false">IF($J69="NA","NA",IF(AND($J69&gt;1999,S69&gt;0),"ERRO","OK"))</f>
        <v>OK</v>
      </c>
      <c r="U69" s="6" t="n">
        <f aca="false">(10-(LEN(V69)))+1</f>
        <v>6</v>
      </c>
      <c r="V69" s="6" t="n">
        <v>53397</v>
      </c>
      <c r="W69" s="6" t="str">
        <f aca="false">IF($J69="NA","NA",IF(AND($J69&gt;1989,V69&gt;0),"ERRO","OK"))</f>
        <v>OK</v>
      </c>
      <c r="X69" s="6" t="n">
        <f aca="false">(10-(LEN(Y69)))+1</f>
        <v>6</v>
      </c>
      <c r="Y69" s="6" t="n">
        <v>56559</v>
      </c>
      <c r="Z69" s="6" t="str">
        <f aca="false">IF($J69="NA","NA",IF(AND($J69&gt;1979,Y69&gt;0),"ERRO","OK"))</f>
        <v>OK</v>
      </c>
      <c r="AA69" s="6" t="n">
        <f aca="false">(10-(LEN(AB69)))+1</f>
        <v>6</v>
      </c>
      <c r="AB69" s="6" t="n">
        <v>24318</v>
      </c>
      <c r="AC69" s="6" t="str">
        <f aca="false">IF($J69="NA","NA",IF(AND($J69&gt;1969,AB69&gt;0),"ERRO","OK"))</f>
        <v>OK</v>
      </c>
      <c r="AD69" s="6" t="n">
        <f aca="false">(10-(LEN(AE69)))+1</f>
        <v>6</v>
      </c>
      <c r="AE69" s="6" t="n">
        <v>20811</v>
      </c>
      <c r="AF69" s="6" t="str">
        <f aca="false">IF($J69="NA","NA",IF(AND($J69&gt;1959,AE69&gt;0),"ERRO","OK"))</f>
        <v>OK</v>
      </c>
      <c r="AG69" s="6" t="n">
        <f aca="false">(10-(LEN(AH69)))+1</f>
        <v>6</v>
      </c>
      <c r="AH69" s="6" t="n">
        <v>20926</v>
      </c>
      <c r="AI69" s="6" t="str">
        <f aca="false">IF($J69="NA","NA",IF(AND($J69&gt;1949,AH69&gt;0),"ERRO","OK"))</f>
        <v>OK</v>
      </c>
      <c r="AJ69" s="6" t="n">
        <f aca="false">(10-(LEN(AK69)))+1</f>
        <v>6</v>
      </c>
      <c r="AK69" s="6" t="n">
        <v>37321</v>
      </c>
      <c r="AL69" s="6" t="str">
        <f aca="false">IF($J69="NA","NA",IF(AND($J69&gt;1939,AK69&gt;0),"ERRO","OK"))</f>
        <v>OK</v>
      </c>
      <c r="AM69" s="6" t="n">
        <f aca="false">(10-(LEN(AN69)))+1</f>
        <v>7</v>
      </c>
      <c r="AN69" s="6" t="n">
        <v>8378</v>
      </c>
      <c r="AO69" s="6" t="str">
        <f aca="false">IF($J69="NA","NA",IF(AND($J69&gt;1929,AN69&gt;0),"ERRO","OK"))</f>
        <v>OK</v>
      </c>
      <c r="AP69" s="6" t="n">
        <f aca="false">(10-(LEN(AQ69)))+1</f>
        <v>6</v>
      </c>
      <c r="AQ69" s="6" t="n">
        <v>11315</v>
      </c>
      <c r="AR69" s="6" t="str">
        <f aca="false">IF($J69="NA","NA",IF(AND($J69&gt;1919,AQ69&gt;0),"ERRO","OK"))</f>
        <v>OK</v>
      </c>
      <c r="AS69" s="6" t="n">
        <f aca="false">(10-(LEN(AT69)))+1</f>
        <v>7</v>
      </c>
      <c r="AT69" s="6" t="n">
        <v>1547</v>
      </c>
      <c r="AU69" s="6" t="str">
        <f aca="false">IF($J69="NA","NA",IF(AND($J69&gt;1909,AT69&gt;0),"ERRO","OK"))</f>
        <v>OK</v>
      </c>
      <c r="AV69" s="6" t="n">
        <f aca="false">(10-(LEN(AW69)))+1</f>
        <v>10</v>
      </c>
      <c r="AW69" s="6" t="n">
        <v>0</v>
      </c>
      <c r="AX69" s="6" t="str">
        <f aca="false">IF($J69="NA","NA",IF(AND($J69&gt;1899,AW69&gt;0),"ERRO","OK"))</f>
        <v>OK</v>
      </c>
    </row>
    <row r="70" customFormat="false" ht="15" hidden="false" customHeight="false" outlineLevel="0" collapsed="false">
      <c r="A70" s="7" t="n">
        <v>67</v>
      </c>
      <c r="B70" s="0" t="s">
        <v>86</v>
      </c>
      <c r="C70" s="8" t="n">
        <v>45304</v>
      </c>
      <c r="D70" s="6" t="n">
        <v>0</v>
      </c>
      <c r="E70" s="0" t="s">
        <v>16</v>
      </c>
      <c r="F70" s="0" t="s">
        <v>17</v>
      </c>
      <c r="G70" s="9" t="str">
        <f aca="false">IF(OR(N70="ERRO",Q70="ERRO",T70="ERRO",W70="ERRO",Z70="ERRO",AC70="ERRO",AF70="ERRO",AI70="ERRO",AL70="ERRO",AO70="ERRO",AR70="ERRO",AU70="ERRO",AX70="ERRO"),"ERRO","OK")</f>
        <v>OK</v>
      </c>
      <c r="H70" s="9" t="n">
        <f aca="false">COUNTIF(L70:AX70,"ERRO")</f>
        <v>0</v>
      </c>
      <c r="I70" s="9" t="s">
        <v>18</v>
      </c>
      <c r="J70" s="10" t="n">
        <v>1879</v>
      </c>
      <c r="K70" s="10" t="n">
        <v>1947</v>
      </c>
      <c r="L70" s="6" t="n">
        <f aca="false">(10-(LEN(M70)))+1</f>
        <v>7</v>
      </c>
      <c r="M70" s="6" t="n">
        <v>2499</v>
      </c>
      <c r="N70" s="6" t="str">
        <f aca="false">IF($J70="NA","NA",IF(AND($J70&gt;2019,M70&gt;0),"ERRO","OK"))</f>
        <v>OK</v>
      </c>
      <c r="O70" s="6" t="n">
        <f aca="false">(10-(LEN(P70)))+1</f>
        <v>7</v>
      </c>
      <c r="P70" s="6" t="n">
        <v>1475</v>
      </c>
      <c r="Q70" s="6" t="str">
        <f aca="false">IF($J70="NA","NA",IF(AND($J70&gt;2009,P70&gt;0),"ERRO","OK"))</f>
        <v>OK</v>
      </c>
      <c r="R70" s="6" t="n">
        <f aca="false">(10-(LEN(S70)))+1</f>
        <v>7</v>
      </c>
      <c r="S70" s="6" t="n">
        <v>1429</v>
      </c>
      <c r="T70" s="6" t="str">
        <f aca="false">IF($J70="NA","NA",IF(AND($J70&gt;1999,S70&gt;0),"ERRO","OK"))</f>
        <v>OK</v>
      </c>
      <c r="U70" s="6" t="n">
        <f aca="false">(10-(LEN(V70)))+1</f>
        <v>7</v>
      </c>
      <c r="V70" s="6" t="n">
        <v>1012</v>
      </c>
      <c r="W70" s="6" t="str">
        <f aca="false">IF($J70="NA","NA",IF(AND($J70&gt;1989,V70&gt;0),"ERRO","OK"))</f>
        <v>OK</v>
      </c>
      <c r="X70" s="6" t="n">
        <f aca="false">(10-(LEN(Y70)))+1</f>
        <v>8</v>
      </c>
      <c r="Y70" s="6" t="n">
        <v>803</v>
      </c>
      <c r="Z70" s="6" t="str">
        <f aca="false">IF($J70="NA","NA",IF(AND($J70&gt;1979,Y70&gt;0),"ERRO","OK"))</f>
        <v>OK</v>
      </c>
      <c r="AA70" s="6" t="n">
        <f aca="false">(10-(LEN(AB70)))+1</f>
        <v>8</v>
      </c>
      <c r="AB70" s="6" t="n">
        <v>879</v>
      </c>
      <c r="AC70" s="6" t="str">
        <f aca="false">IF($J70="NA","NA",IF(AND($J70&gt;1969,AB70&gt;0),"ERRO","OK"))</f>
        <v>OK</v>
      </c>
      <c r="AD70" s="6" t="n">
        <f aca="false">(10-(LEN(AE70)))+1</f>
        <v>7</v>
      </c>
      <c r="AE70" s="6" t="n">
        <v>1346</v>
      </c>
      <c r="AF70" s="6" t="str">
        <f aca="false">IF($J70="NA","NA",IF(AND($J70&gt;1959,AE70&gt;0),"ERRO","OK"))</f>
        <v>OK</v>
      </c>
      <c r="AG70" s="6" t="n">
        <f aca="false">(10-(LEN(AH70)))+1</f>
        <v>8</v>
      </c>
      <c r="AH70" s="6" t="n">
        <v>551</v>
      </c>
      <c r="AI70" s="6" t="str">
        <f aca="false">IF($J70="NA","NA",IF(AND($J70&gt;1949,AH70&gt;0),"ERRO","OK"))</f>
        <v>OK</v>
      </c>
      <c r="AJ70" s="6" t="n">
        <f aca="false">(10-(LEN(AK70)))+1</f>
        <v>7</v>
      </c>
      <c r="AK70" s="6" t="n">
        <v>1810</v>
      </c>
      <c r="AL70" s="6" t="str">
        <f aca="false">IF($J70="NA","NA",IF(AND($J70&gt;1939,AK70&gt;0),"ERRO","OK"))</f>
        <v>OK</v>
      </c>
      <c r="AM70" s="6" t="n">
        <f aca="false">(10-(LEN(AN70)))+1</f>
        <v>8</v>
      </c>
      <c r="AN70" s="6" t="n">
        <v>914</v>
      </c>
      <c r="AO70" s="6" t="str">
        <f aca="false">IF($J70="NA","NA",IF(AND($J70&gt;1929,AN70&gt;0),"ERRO","OK"))</f>
        <v>OK</v>
      </c>
      <c r="AP70" s="6" t="n">
        <f aca="false">(10-(LEN(AQ70)))+1</f>
        <v>8</v>
      </c>
      <c r="AQ70" s="6" t="n">
        <v>901</v>
      </c>
      <c r="AR70" s="6" t="str">
        <f aca="false">IF($J70="NA","NA",IF(AND($J70&gt;1919,AQ70&gt;0),"ERRO","OK"))</f>
        <v>OK</v>
      </c>
      <c r="AS70" s="6" t="n">
        <f aca="false">(10-(LEN(AT70)))+1</f>
        <v>10</v>
      </c>
      <c r="AT70" s="6" t="n">
        <v>0</v>
      </c>
      <c r="AU70" s="6" t="str">
        <f aca="false">IF($J70="NA","NA",IF(AND($J70&gt;1909,AT70&gt;0),"ERRO","OK"))</f>
        <v>OK</v>
      </c>
      <c r="AV70" s="6" t="n">
        <f aca="false">(10-(LEN(AW70)))+1</f>
        <v>10</v>
      </c>
      <c r="AW70" s="6" t="n">
        <v>0</v>
      </c>
      <c r="AX70" s="6" t="str">
        <f aca="false">IF($J70="NA","NA",IF(AND($J70&gt;1899,AW70&gt;0),"ERRO","OK"))</f>
        <v>OK</v>
      </c>
    </row>
    <row r="71" customFormat="false" ht="15" hidden="false" customHeight="false" outlineLevel="0" collapsed="false">
      <c r="A71" s="7" t="n">
        <v>68</v>
      </c>
      <c r="B71" s="0" t="s">
        <v>87</v>
      </c>
      <c r="C71" s="8" t="n">
        <v>45304</v>
      </c>
      <c r="D71" s="6" t="n">
        <v>0</v>
      </c>
      <c r="E71" s="0" t="s">
        <v>16</v>
      </c>
      <c r="F71" s="0" t="s">
        <v>17</v>
      </c>
      <c r="G71" s="9" t="str">
        <f aca="false">IF(OR(N71="ERRO",Q71="ERRO",T71="ERRO",W71="ERRO",Z71="ERRO",AC71="ERRO",AF71="ERRO",AI71="ERRO",AL71="ERRO",AO71="ERRO",AR71="ERRO",AU71="ERRO",AX71="ERRO"),"ERRO","OK")</f>
        <v>OK</v>
      </c>
      <c r="H71" s="9" t="n">
        <f aca="false">COUNTIF(L71:AX71,"ERRO")</f>
        <v>0</v>
      </c>
      <c r="I71" s="9" t="s">
        <v>18</v>
      </c>
      <c r="J71" s="10" t="n">
        <v>1901</v>
      </c>
      <c r="K71" s="10" t="n">
        <v>1953</v>
      </c>
      <c r="L71" s="6" t="n">
        <f aca="false">(10-(LEN(M71)))+1</f>
        <v>8</v>
      </c>
      <c r="M71" s="6" t="n">
        <v>541</v>
      </c>
      <c r="N71" s="6" t="str">
        <f aca="false">IF($J71="NA","NA",IF(AND($J71&gt;2019,M71&gt;0),"ERRO","OK"))</f>
        <v>OK</v>
      </c>
      <c r="O71" s="6" t="n">
        <f aca="false">(10-(LEN(P71)))+1</f>
        <v>8</v>
      </c>
      <c r="P71" s="6" t="n">
        <v>480</v>
      </c>
      <c r="Q71" s="6" t="str">
        <f aca="false">IF($J71="NA","NA",IF(AND($J71&gt;2009,P71&gt;0),"ERRO","OK"))</f>
        <v>OK</v>
      </c>
      <c r="R71" s="6" t="n">
        <f aca="false">(10-(LEN(S71)))+1</f>
        <v>8</v>
      </c>
      <c r="S71" s="6" t="n">
        <v>630</v>
      </c>
      <c r="T71" s="6" t="str">
        <f aca="false">IF($J71="NA","NA",IF(AND($J71&gt;1999,S71&gt;0),"ERRO","OK"))</f>
        <v>OK</v>
      </c>
      <c r="U71" s="6" t="n">
        <f aca="false">(10-(LEN(V71)))+1</f>
        <v>8</v>
      </c>
      <c r="V71" s="6" t="n">
        <v>966</v>
      </c>
      <c r="W71" s="6" t="str">
        <f aca="false">IF($J71="NA","NA",IF(AND($J71&gt;1989,V71&gt;0),"ERRO","OK"))</f>
        <v>OK</v>
      </c>
      <c r="X71" s="6" t="n">
        <f aca="false">(10-(LEN(Y71)))+1</f>
        <v>10</v>
      </c>
      <c r="Y71" s="6" t="n">
        <v>0</v>
      </c>
      <c r="Z71" s="6" t="str">
        <f aca="false">IF($J71="NA","NA",IF(AND($J71&gt;1979,Y71&gt;0),"ERRO","OK"))</f>
        <v>OK</v>
      </c>
      <c r="AA71" s="6" t="n">
        <f aca="false">(10-(LEN(AB71)))+1</f>
        <v>9</v>
      </c>
      <c r="AB71" s="6" t="n">
        <v>59</v>
      </c>
      <c r="AC71" s="6" t="str">
        <f aca="false">IF($J71="NA","NA",IF(AND($J71&gt;1969,AB71&gt;0),"ERRO","OK"))</f>
        <v>OK</v>
      </c>
      <c r="AD71" s="6" t="n">
        <f aca="false">(10-(LEN(AE71)))+1</f>
        <v>10</v>
      </c>
      <c r="AE71" s="6" t="n">
        <v>0</v>
      </c>
      <c r="AF71" s="6" t="str">
        <f aca="false">IF($J71="NA","NA",IF(AND($J71&gt;1959,AE71&gt;0),"ERRO","OK"))</f>
        <v>OK</v>
      </c>
      <c r="AG71" s="6" t="n">
        <f aca="false">(10-(LEN(AH71)))+1</f>
        <v>10</v>
      </c>
      <c r="AH71" s="6" t="n">
        <v>0</v>
      </c>
      <c r="AI71" s="6" t="str">
        <f aca="false">IF($J71="NA","NA",IF(AND($J71&gt;1949,AH71&gt;0),"ERRO","OK"))</f>
        <v>OK</v>
      </c>
      <c r="AJ71" s="6" t="n">
        <f aca="false">(10-(LEN(AK71)))+1</f>
        <v>8</v>
      </c>
      <c r="AK71" s="6" t="n">
        <v>279</v>
      </c>
      <c r="AL71" s="6" t="str">
        <f aca="false">IF($J71="NA","NA",IF(AND($J71&gt;1939,AK71&gt;0),"ERRO","OK"))</f>
        <v>OK</v>
      </c>
      <c r="AM71" s="6" t="n">
        <f aca="false">(10-(LEN(AN71)))+1</f>
        <v>10</v>
      </c>
      <c r="AN71" s="6" t="n">
        <v>0</v>
      </c>
      <c r="AO71" s="6" t="str">
        <f aca="false">IF($J71="NA","NA",IF(AND($J71&gt;1929,AN71&gt;0),"ERRO","OK"))</f>
        <v>OK</v>
      </c>
      <c r="AP71" s="6" t="n">
        <f aca="false">(10-(LEN(AQ71)))+1</f>
        <v>10</v>
      </c>
      <c r="AQ71" s="6" t="n">
        <v>0</v>
      </c>
      <c r="AR71" s="6" t="str">
        <f aca="false">IF($J71="NA","NA",IF(AND($J71&gt;1919,AQ71&gt;0),"ERRO","OK"))</f>
        <v>OK</v>
      </c>
      <c r="AS71" s="6" t="n">
        <f aca="false">(10-(LEN(AT71)))+1</f>
        <v>10</v>
      </c>
      <c r="AT71" s="6" t="n">
        <v>0</v>
      </c>
      <c r="AU71" s="6" t="str">
        <f aca="false">IF($J71="NA","NA",IF(AND($J71&gt;1909,AT71&gt;0),"ERRO","OK"))</f>
        <v>OK</v>
      </c>
      <c r="AV71" s="6" t="n">
        <f aca="false">(10-(LEN(AW71)))+1</f>
        <v>10</v>
      </c>
      <c r="AW71" s="6" t="n">
        <v>0</v>
      </c>
      <c r="AX71" s="6" t="str">
        <f aca="false">IF($J71="NA","NA",IF(AND($J71&gt;1899,AW71&gt;0),"ERRO","OK"))</f>
        <v>OK</v>
      </c>
    </row>
    <row r="72" customFormat="false" ht="15" hidden="false" customHeight="false" outlineLevel="0" collapsed="false">
      <c r="A72" s="7" t="n">
        <v>69</v>
      </c>
      <c r="B72" s="0" t="s">
        <v>88</v>
      </c>
      <c r="C72" s="8" t="n">
        <v>45304</v>
      </c>
      <c r="D72" s="6" t="n">
        <v>0</v>
      </c>
      <c r="E72" s="0" t="s">
        <v>16</v>
      </c>
      <c r="F72" s="0" t="s">
        <v>17</v>
      </c>
      <c r="G72" s="9" t="str">
        <f aca="false">IF(OR(N72="ERRO",Q72="ERRO",T72="ERRO",W72="ERRO",Z72="ERRO",AC72="ERRO",AF72="ERRO",AI72="ERRO",AL72="ERRO",AO72="ERRO",AR72="ERRO",AU72="ERRO",AX72="ERRO"),"ERRO","OK")</f>
        <v>OK</v>
      </c>
      <c r="H72" s="9" t="n">
        <f aca="false">COUNTIF(L72:AX72,"ERRO")</f>
        <v>0</v>
      </c>
      <c r="I72" s="9" t="s">
        <v>18</v>
      </c>
      <c r="J72" s="10" t="n">
        <v>1856</v>
      </c>
      <c r="K72" s="10" t="n">
        <v>1934</v>
      </c>
      <c r="L72" s="6" t="n">
        <f aca="false">(10-(LEN(M72)))+1</f>
        <v>7</v>
      </c>
      <c r="M72" s="6" t="n">
        <v>3207</v>
      </c>
      <c r="N72" s="6" t="str">
        <f aca="false">IF($J72="NA","NA",IF(AND($J72&gt;2019,M72&gt;0),"ERRO","OK"))</f>
        <v>OK</v>
      </c>
      <c r="O72" s="6" t="n">
        <f aca="false">(10-(LEN(P72)))+1</f>
        <v>7</v>
      </c>
      <c r="P72" s="6" t="n">
        <v>5935</v>
      </c>
      <c r="Q72" s="6" t="str">
        <f aca="false">IF($J72="NA","NA",IF(AND($J72&gt;2009,P72&gt;0),"ERRO","OK"))</f>
        <v>OK</v>
      </c>
      <c r="R72" s="6" t="n">
        <f aca="false">(10-(LEN(S72)))+1</f>
        <v>6</v>
      </c>
      <c r="S72" s="6" t="n">
        <v>11386</v>
      </c>
      <c r="T72" s="6" t="str">
        <f aca="false">IF($J72="NA","NA",IF(AND($J72&gt;1999,S72&gt;0),"ERRO","OK"))</f>
        <v>OK</v>
      </c>
      <c r="U72" s="6" t="n">
        <f aca="false">(10-(LEN(V72)))+1</f>
        <v>7</v>
      </c>
      <c r="V72" s="6" t="n">
        <v>8738</v>
      </c>
      <c r="W72" s="6" t="str">
        <f aca="false">IF($J72="NA","NA",IF(AND($J72&gt;1989,V72&gt;0),"ERRO","OK"))</f>
        <v>OK</v>
      </c>
      <c r="X72" s="6" t="n">
        <f aca="false">(10-(LEN(Y72)))+1</f>
        <v>6</v>
      </c>
      <c r="Y72" s="6" t="n">
        <v>13752</v>
      </c>
      <c r="Z72" s="6" t="str">
        <f aca="false">IF($J72="NA","NA",IF(AND($J72&gt;1979,Y72&gt;0),"ERRO","OK"))</f>
        <v>OK</v>
      </c>
      <c r="AA72" s="6" t="n">
        <f aca="false">(10-(LEN(AB72)))+1</f>
        <v>6</v>
      </c>
      <c r="AB72" s="6" t="n">
        <v>17872</v>
      </c>
      <c r="AC72" s="6" t="str">
        <f aca="false">IF($J72="NA","NA",IF(AND($J72&gt;1969,AB72&gt;0),"ERRO","OK"))</f>
        <v>OK</v>
      </c>
      <c r="AD72" s="6" t="n">
        <f aca="false">(10-(LEN(AE72)))+1</f>
        <v>6</v>
      </c>
      <c r="AE72" s="6" t="n">
        <v>14263</v>
      </c>
      <c r="AF72" s="6" t="str">
        <f aca="false">IF($J72="NA","NA",IF(AND($J72&gt;1959,AE72&gt;0),"ERRO","OK"))</f>
        <v>OK</v>
      </c>
      <c r="AG72" s="6" t="n">
        <f aca="false">(10-(LEN(AH72)))+1</f>
        <v>6</v>
      </c>
      <c r="AH72" s="6" t="n">
        <v>18613</v>
      </c>
      <c r="AI72" s="6" t="str">
        <f aca="false">IF($J72="NA","NA",IF(AND($J72&gt;1949,AH72&gt;0),"ERRO","OK"))</f>
        <v>OK</v>
      </c>
      <c r="AJ72" s="6" t="n">
        <f aca="false">(10-(LEN(AK72)))+1</f>
        <v>6</v>
      </c>
      <c r="AK72" s="6" t="n">
        <v>27295</v>
      </c>
      <c r="AL72" s="6" t="str">
        <f aca="false">IF($J72="NA","NA",IF(AND($J72&gt;1939,AK72&gt;0),"ERRO","OK"))</f>
        <v>OK</v>
      </c>
      <c r="AM72" s="6" t="n">
        <f aca="false">(10-(LEN(AN72)))+1</f>
        <v>6</v>
      </c>
      <c r="AN72" s="6" t="n">
        <v>27724</v>
      </c>
      <c r="AO72" s="6" t="str">
        <f aca="false">IF($J72="NA","NA",IF(AND($J72&gt;1929,AN72&gt;0),"ERRO","OK"))</f>
        <v>OK</v>
      </c>
      <c r="AP72" s="6" t="n">
        <f aca="false">(10-(LEN(AQ72)))+1</f>
        <v>6</v>
      </c>
      <c r="AQ72" s="6" t="n">
        <v>22330</v>
      </c>
      <c r="AR72" s="6" t="str">
        <f aca="false">IF($J72="NA","NA",IF(AND($J72&gt;1919,AQ72&gt;0),"ERRO","OK"))</f>
        <v>OK</v>
      </c>
      <c r="AS72" s="6" t="n">
        <f aca="false">(10-(LEN(AT72)))+1</f>
        <v>6</v>
      </c>
      <c r="AT72" s="6" t="n">
        <v>15778</v>
      </c>
      <c r="AU72" s="6" t="str">
        <f aca="false">IF($J72="NA","NA",IF(AND($J72&gt;1909,AT72&gt;0),"ERRO","OK"))</f>
        <v>OK</v>
      </c>
      <c r="AV72" s="6" t="n">
        <f aca="false">(10-(LEN(AW72)))+1</f>
        <v>6</v>
      </c>
      <c r="AW72" s="6" t="n">
        <v>19348</v>
      </c>
      <c r="AX72" s="6" t="str">
        <f aca="false">IF($J72="NA","NA",IF(AND($J72&gt;1899,AW72&gt;0),"ERRO","OK"))</f>
        <v>OK</v>
      </c>
    </row>
    <row r="73" customFormat="false" ht="15" hidden="false" customHeight="false" outlineLevel="0" collapsed="false">
      <c r="A73" s="7" t="n">
        <v>70</v>
      </c>
      <c r="B73" s="0" t="s">
        <v>89</v>
      </c>
      <c r="C73" s="8" t="n">
        <v>45304</v>
      </c>
      <c r="D73" s="6" t="n">
        <v>0</v>
      </c>
      <c r="E73" s="0" t="s">
        <v>16</v>
      </c>
      <c r="F73" s="0" t="s">
        <v>17</v>
      </c>
      <c r="G73" s="9" t="str">
        <f aca="false">IF(OR(N73="ERRO",Q73="ERRO",T73="ERRO",W73="ERRO",Z73="ERRO",AC73="ERRO",AF73="ERRO",AI73="ERRO",AL73="ERRO",AO73="ERRO",AR73="ERRO",AU73="ERRO",AX73="ERRO"),"ERRO","OK")</f>
        <v>OK</v>
      </c>
      <c r="H73" s="9" t="n">
        <f aca="false">COUNTIF(L73:AX73,"ERRO")</f>
        <v>0</v>
      </c>
      <c r="I73" s="9" t="s">
        <v>18</v>
      </c>
      <c r="J73" s="10" t="n">
        <v>1877</v>
      </c>
      <c r="K73" s="10" t="n">
        <v>1946</v>
      </c>
      <c r="L73" s="6" t="n">
        <f aca="false">(10-(LEN(M73)))+1</f>
        <v>7</v>
      </c>
      <c r="M73" s="6" t="n">
        <v>2707</v>
      </c>
      <c r="N73" s="6" t="str">
        <f aca="false">IF($J73="NA","NA",IF(AND($J73&gt;2019,M73&gt;0),"ERRO","OK"))</f>
        <v>OK</v>
      </c>
      <c r="O73" s="6" t="n">
        <f aca="false">(10-(LEN(P73)))+1</f>
        <v>6</v>
      </c>
      <c r="P73" s="6" t="n">
        <v>12898</v>
      </c>
      <c r="Q73" s="6" t="str">
        <f aca="false">IF($J73="NA","NA",IF(AND($J73&gt;2009,P73&gt;0),"ERRO","OK"))</f>
        <v>OK</v>
      </c>
      <c r="R73" s="6" t="n">
        <f aca="false">(10-(LEN(S73)))+1</f>
        <v>6</v>
      </c>
      <c r="S73" s="6" t="n">
        <v>17395</v>
      </c>
      <c r="T73" s="6" t="str">
        <f aca="false">IF($J73="NA","NA",IF(AND($J73&gt;1999,S73&gt;0),"ERRO","OK"))</f>
        <v>OK</v>
      </c>
      <c r="U73" s="6" t="n">
        <f aca="false">(10-(LEN(V73)))+1</f>
        <v>6</v>
      </c>
      <c r="V73" s="6" t="n">
        <v>19087</v>
      </c>
      <c r="W73" s="6" t="str">
        <f aca="false">IF($J73="NA","NA",IF(AND($J73&gt;1989,V73&gt;0),"ERRO","OK"))</f>
        <v>OK</v>
      </c>
      <c r="X73" s="6" t="n">
        <f aca="false">(10-(LEN(Y73)))+1</f>
        <v>6</v>
      </c>
      <c r="Y73" s="6" t="n">
        <v>14715</v>
      </c>
      <c r="Z73" s="6" t="str">
        <f aca="false">IF($J73="NA","NA",IF(AND($J73&gt;1979,Y73&gt;0),"ERRO","OK"))</f>
        <v>OK</v>
      </c>
      <c r="AA73" s="6" t="n">
        <f aca="false">(10-(LEN(AB73)))+1</f>
        <v>6</v>
      </c>
      <c r="AB73" s="6" t="n">
        <v>10313</v>
      </c>
      <c r="AC73" s="6" t="str">
        <f aca="false">IF($J73="NA","NA",IF(AND($J73&gt;1969,AB73&gt;0),"ERRO","OK"))</f>
        <v>OK</v>
      </c>
      <c r="AD73" s="6" t="n">
        <f aca="false">(10-(LEN(AE73)))+1</f>
        <v>7</v>
      </c>
      <c r="AE73" s="6" t="n">
        <v>6010</v>
      </c>
      <c r="AF73" s="6" t="str">
        <f aca="false">IF($J73="NA","NA",IF(AND($J73&gt;1959,AE73&gt;0),"ERRO","OK"))</f>
        <v>OK</v>
      </c>
      <c r="AG73" s="6" t="n">
        <f aca="false">(10-(LEN(AH73)))+1</f>
        <v>7</v>
      </c>
      <c r="AH73" s="6" t="n">
        <v>4295</v>
      </c>
      <c r="AI73" s="6" t="str">
        <f aca="false">IF($J73="NA","NA",IF(AND($J73&gt;1949,AH73&gt;0),"ERRO","OK"))</f>
        <v>OK</v>
      </c>
      <c r="AJ73" s="6" t="n">
        <f aca="false">(10-(LEN(AK73)))+1</f>
        <v>6</v>
      </c>
      <c r="AK73" s="6" t="n">
        <v>14761</v>
      </c>
      <c r="AL73" s="6" t="str">
        <f aca="false">IF($J73="NA","NA",IF(AND($J73&gt;1939,AK73&gt;0),"ERRO","OK"))</f>
        <v>OK</v>
      </c>
      <c r="AM73" s="6" t="n">
        <f aca="false">(10-(LEN(AN73)))+1</f>
        <v>7</v>
      </c>
      <c r="AN73" s="6" t="n">
        <v>5789</v>
      </c>
      <c r="AO73" s="6" t="str">
        <f aca="false">IF($J73="NA","NA",IF(AND($J73&gt;1929,AN73&gt;0),"ERRO","OK"))</f>
        <v>OK</v>
      </c>
      <c r="AP73" s="6" t="n">
        <f aca="false">(10-(LEN(AQ73)))+1</f>
        <v>7</v>
      </c>
      <c r="AQ73" s="6" t="n">
        <v>4206</v>
      </c>
      <c r="AR73" s="6" t="str">
        <f aca="false">IF($J73="NA","NA",IF(AND($J73&gt;1919,AQ73&gt;0),"ERRO","OK"))</f>
        <v>OK</v>
      </c>
      <c r="AS73" s="6" t="n">
        <f aca="false">(10-(LEN(AT73)))+1</f>
        <v>6</v>
      </c>
      <c r="AT73" s="6" t="n">
        <v>10106</v>
      </c>
      <c r="AU73" s="6" t="str">
        <f aca="false">IF($J73="NA","NA",IF(AND($J73&gt;1909,AT73&gt;0),"ERRO","OK"))</f>
        <v>OK</v>
      </c>
      <c r="AV73" s="6" t="n">
        <f aca="false">(10-(LEN(AW73)))+1</f>
        <v>10</v>
      </c>
      <c r="AW73" s="6" t="n">
        <v>0</v>
      </c>
      <c r="AX73" s="6" t="str">
        <f aca="false">IF($J73="NA","NA",IF(AND($J73&gt;1899,AW73&gt;0),"ERRO","OK"))</f>
        <v>OK</v>
      </c>
    </row>
    <row r="74" customFormat="false" ht="15" hidden="false" customHeight="false" outlineLevel="0" collapsed="false">
      <c r="A74" s="7" t="n">
        <v>71</v>
      </c>
      <c r="B74" s="0" t="s">
        <v>90</v>
      </c>
      <c r="C74" s="8" t="n">
        <v>45305</v>
      </c>
      <c r="D74" s="6" t="n">
        <v>0</v>
      </c>
      <c r="E74" s="0" t="s">
        <v>16</v>
      </c>
      <c r="F74" s="0" t="s">
        <v>17</v>
      </c>
      <c r="G74" s="9" t="str">
        <f aca="false">IF(OR(N74="ERRO",Q74="ERRO",T74="ERRO",W74="ERRO",Z74="ERRO",AC74="ERRO",AF74="ERRO",AI74="ERRO",AL74="ERRO",AO74="ERRO",AR74="ERRO",AU74="ERRO",AX74="ERRO"),"ERRO","OK")</f>
        <v>OK</v>
      </c>
      <c r="H74" s="9" t="n">
        <f aca="false">COUNTIF(L74:AX74,"ERRO")</f>
        <v>0</v>
      </c>
      <c r="I74" s="9" t="s">
        <v>18</v>
      </c>
      <c r="J74" s="10" t="n">
        <v>1867</v>
      </c>
      <c r="K74" s="10" t="n">
        <v>1962</v>
      </c>
      <c r="L74" s="6" t="n">
        <f aca="false">(10-(LEN(M74)))+1</f>
        <v>7</v>
      </c>
      <c r="M74" s="6" t="n">
        <v>3748</v>
      </c>
      <c r="N74" s="6" t="str">
        <f aca="false">IF($J74="NA","NA",IF(AND($J74&gt;2019,M74&gt;0),"ERRO","OK"))</f>
        <v>OK</v>
      </c>
      <c r="O74" s="6" t="n">
        <f aca="false">(10-(LEN(P74)))+1</f>
        <v>7</v>
      </c>
      <c r="P74" s="6" t="n">
        <v>9914</v>
      </c>
      <c r="Q74" s="6" t="str">
        <f aca="false">IF($J74="NA","NA",IF(AND($J74&gt;2009,P74&gt;0),"ERRO","OK"))</f>
        <v>OK</v>
      </c>
      <c r="R74" s="6" t="n">
        <f aca="false">(10-(LEN(S74)))+1</f>
        <v>6</v>
      </c>
      <c r="S74" s="6" t="n">
        <v>12899</v>
      </c>
      <c r="T74" s="6" t="str">
        <f aca="false">IF($J74="NA","NA",IF(AND($J74&gt;1999,S74&gt;0),"ERRO","OK"))</f>
        <v>OK</v>
      </c>
      <c r="U74" s="6" t="n">
        <f aca="false">(10-(LEN(V74)))+1</f>
        <v>6</v>
      </c>
      <c r="V74" s="6" t="n">
        <v>13430</v>
      </c>
      <c r="W74" s="6" t="str">
        <f aca="false">IF($J74="NA","NA",IF(AND($J74&gt;1989,V74&gt;0),"ERRO","OK"))</f>
        <v>OK</v>
      </c>
      <c r="X74" s="6" t="n">
        <f aca="false">(10-(LEN(Y74)))+1</f>
        <v>7</v>
      </c>
      <c r="Y74" s="6" t="n">
        <v>9204</v>
      </c>
      <c r="Z74" s="6" t="str">
        <f aca="false">IF($J74="NA","NA",IF(AND($J74&gt;1979,Y74&gt;0),"ERRO","OK"))</f>
        <v>OK</v>
      </c>
      <c r="AA74" s="6" t="n">
        <f aca="false">(10-(LEN(AB74)))+1</f>
        <v>7</v>
      </c>
      <c r="AB74" s="6" t="n">
        <v>7735</v>
      </c>
      <c r="AC74" s="6" t="str">
        <f aca="false">IF($J74="NA","NA",IF(AND($J74&gt;1969,AB74&gt;0),"ERRO","OK"))</f>
        <v>OK</v>
      </c>
      <c r="AD74" s="6" t="n">
        <f aca="false">(10-(LEN(AE74)))+1</f>
        <v>6</v>
      </c>
      <c r="AE74" s="6" t="n">
        <v>14353</v>
      </c>
      <c r="AF74" s="6" t="str">
        <f aca="false">IF($J74="NA","NA",IF(AND($J74&gt;1959,AE74&gt;0),"ERRO","OK"))</f>
        <v>OK</v>
      </c>
      <c r="AG74" s="6" t="n">
        <f aca="false">(10-(LEN(AH74)))+1</f>
        <v>6</v>
      </c>
      <c r="AH74" s="6" t="n">
        <v>14979</v>
      </c>
      <c r="AI74" s="6" t="str">
        <f aca="false">IF($J74="NA","NA",IF(AND($J74&gt;1949,AH74&gt;0),"ERRO","OK"))</f>
        <v>OK</v>
      </c>
      <c r="AJ74" s="6" t="n">
        <f aca="false">(10-(LEN(AK74)))+1</f>
        <v>6</v>
      </c>
      <c r="AK74" s="6" t="n">
        <v>20332</v>
      </c>
      <c r="AL74" s="6" t="str">
        <f aca="false">IF($J74="NA","NA",IF(AND($J74&gt;1939,AK74&gt;0),"ERRO","OK"))</f>
        <v>OK</v>
      </c>
      <c r="AM74" s="6" t="n">
        <f aca="false">(10-(LEN(AN74)))+1</f>
        <v>6</v>
      </c>
      <c r="AN74" s="6" t="n">
        <v>17670</v>
      </c>
      <c r="AO74" s="6" t="str">
        <f aca="false">IF($J74="NA","NA",IF(AND($J74&gt;1929,AN74&gt;0),"ERRO","OK"))</f>
        <v>OK</v>
      </c>
      <c r="AP74" s="6" t="n">
        <f aca="false">(10-(LEN(AQ74)))+1</f>
        <v>7</v>
      </c>
      <c r="AQ74" s="6" t="n">
        <v>9913</v>
      </c>
      <c r="AR74" s="6" t="str">
        <f aca="false">IF($J74="NA","NA",IF(AND($J74&gt;1919,AQ74&gt;0),"ERRO","OK"))</f>
        <v>OK</v>
      </c>
      <c r="AS74" s="6" t="n">
        <f aca="false">(10-(LEN(AT74)))+1</f>
        <v>7</v>
      </c>
      <c r="AT74" s="6" t="n">
        <v>3094</v>
      </c>
      <c r="AU74" s="6" t="str">
        <f aca="false">IF($J74="NA","NA",IF(AND($J74&gt;1909,AT74&gt;0),"ERRO","OK"))</f>
        <v>OK</v>
      </c>
      <c r="AV74" s="6" t="n">
        <f aca="false">(10-(LEN(AW74)))+1</f>
        <v>8</v>
      </c>
      <c r="AW74" s="6" t="n">
        <v>645</v>
      </c>
      <c r="AX74" s="6" t="str">
        <f aca="false">IF($J74="NA","NA",IF(AND($J74&gt;1899,AW74&gt;0),"ERRO","OK"))</f>
        <v>OK</v>
      </c>
    </row>
    <row r="75" customFormat="false" ht="15" hidden="false" customHeight="false" outlineLevel="0" collapsed="false">
      <c r="A75" s="7" t="n">
        <v>72</v>
      </c>
      <c r="B75" s="0" t="s">
        <v>91</v>
      </c>
      <c r="C75" s="8" t="n">
        <v>45305</v>
      </c>
      <c r="D75" s="6" t="n">
        <v>0</v>
      </c>
      <c r="E75" s="0" t="s">
        <v>16</v>
      </c>
      <c r="F75" s="0" t="s">
        <v>17</v>
      </c>
      <c r="G75" s="9" t="str">
        <f aca="false">IF(OR(N75="ERRO",Q75="ERRO",T75="ERRO",W75="ERRO",Z75="ERRO",AC75="ERRO",AF75="ERRO",AI75="ERRO",AL75="ERRO",AO75="ERRO",AR75="ERRO",AU75="ERRO",AX75="ERRO"),"ERRO","OK")</f>
        <v>OK</v>
      </c>
      <c r="H75" s="9" t="n">
        <f aca="false">COUNTIF(L75:AX75,"ERRO")</f>
        <v>0</v>
      </c>
      <c r="I75" s="9" t="s">
        <v>18</v>
      </c>
      <c r="J75" s="10" t="n">
        <v>1890</v>
      </c>
      <c r="K75" s="10" t="n">
        <v>1971</v>
      </c>
      <c r="L75" s="6" t="n">
        <f aca="false">(10-(LEN(M75)))+1</f>
        <v>7</v>
      </c>
      <c r="M75" s="6" t="n">
        <v>2499</v>
      </c>
      <c r="N75" s="6" t="str">
        <f aca="false">IF($J75="NA","NA",IF(AND($J75&gt;2019,M75&gt;0),"ERRO","OK"))</f>
        <v>OK</v>
      </c>
      <c r="O75" s="6" t="n">
        <f aca="false">(10-(LEN(P75)))+1</f>
        <v>7</v>
      </c>
      <c r="P75" s="6" t="n">
        <v>2607</v>
      </c>
      <c r="Q75" s="6" t="str">
        <f aca="false">IF($J75="NA","NA",IF(AND($J75&gt;2009,P75&gt;0),"ERRO","OK"))</f>
        <v>OK</v>
      </c>
      <c r="R75" s="6" t="n">
        <f aca="false">(10-(LEN(S75)))+1</f>
        <v>7</v>
      </c>
      <c r="S75" s="6" t="n">
        <v>1639</v>
      </c>
      <c r="T75" s="6" t="str">
        <f aca="false">IF($J75="NA","NA",IF(AND($J75&gt;1999,S75&gt;0),"ERRO","OK"))</f>
        <v>OK</v>
      </c>
      <c r="U75" s="6" t="n">
        <f aca="false">(10-(LEN(V75)))+1</f>
        <v>7</v>
      </c>
      <c r="V75" s="6" t="n">
        <v>5105</v>
      </c>
      <c r="W75" s="6" t="str">
        <f aca="false">IF($J75="NA","NA",IF(AND($J75&gt;1989,V75&gt;0),"ERRO","OK"))</f>
        <v>OK</v>
      </c>
      <c r="X75" s="6" t="n">
        <f aca="false">(10-(LEN(Y75)))+1</f>
        <v>7</v>
      </c>
      <c r="Y75" s="6" t="n">
        <v>1980</v>
      </c>
      <c r="Z75" s="6" t="str">
        <f aca="false">IF($J75="NA","NA",IF(AND($J75&gt;1979,Y75&gt;0),"ERRO","OK"))</f>
        <v>OK</v>
      </c>
      <c r="AA75" s="6" t="n">
        <f aca="false">(10-(LEN(AB75)))+1</f>
        <v>7</v>
      </c>
      <c r="AB75" s="6" t="n">
        <v>1875</v>
      </c>
      <c r="AC75" s="6" t="str">
        <f aca="false">IF($J75="NA","NA",IF(AND($J75&gt;1969,AB75&gt;0),"ERRO","OK"))</f>
        <v>OK</v>
      </c>
      <c r="AD75" s="6" t="n">
        <f aca="false">(10-(LEN(AE75)))+1</f>
        <v>7</v>
      </c>
      <c r="AE75" s="6" t="n">
        <v>3678</v>
      </c>
      <c r="AF75" s="6" t="str">
        <f aca="false">IF($J75="NA","NA",IF(AND($J75&gt;1959,AE75&gt;0),"ERRO","OK"))</f>
        <v>OK</v>
      </c>
      <c r="AG75" s="6" t="n">
        <f aca="false">(10-(LEN(AH75)))+1</f>
        <v>8</v>
      </c>
      <c r="AH75" s="6" t="n">
        <v>661</v>
      </c>
      <c r="AI75" s="6" t="str">
        <f aca="false">IF($J75="NA","NA",IF(AND($J75&gt;1949,AH75&gt;0),"ERRO","OK"))</f>
        <v>OK</v>
      </c>
      <c r="AJ75" s="6" t="n">
        <f aca="false">(10-(LEN(AK75)))+1</f>
        <v>8</v>
      </c>
      <c r="AK75" s="6" t="n">
        <v>696</v>
      </c>
      <c r="AL75" s="6" t="str">
        <f aca="false">IF($J75="NA","NA",IF(AND($J75&gt;1939,AK75&gt;0),"ERRO","OK"))</f>
        <v>OK</v>
      </c>
      <c r="AM75" s="6" t="n">
        <f aca="false">(10-(LEN(AN75)))+1</f>
        <v>7</v>
      </c>
      <c r="AN75" s="6" t="n">
        <v>2437</v>
      </c>
      <c r="AO75" s="6" t="str">
        <f aca="false">IF($J75="NA","NA",IF(AND($J75&gt;1929,AN75&gt;0),"ERRO","OK"))</f>
        <v>OK</v>
      </c>
      <c r="AP75" s="6" t="n">
        <f aca="false">(10-(LEN(AQ75)))+1</f>
        <v>8</v>
      </c>
      <c r="AQ75" s="6" t="n">
        <v>200</v>
      </c>
      <c r="AR75" s="6" t="str">
        <f aca="false">IF($J75="NA","NA",IF(AND($J75&gt;1919,AQ75&gt;0),"ERRO","OK"))</f>
        <v>OK</v>
      </c>
      <c r="AS75" s="6" t="n">
        <f aca="false">(10-(LEN(AT75)))+1</f>
        <v>7</v>
      </c>
      <c r="AT75" s="6" t="n">
        <v>1753</v>
      </c>
      <c r="AU75" s="6" t="str">
        <f aca="false">IF($J75="NA","NA",IF(AND($J75&gt;1909,AT75&gt;0),"ERRO","OK"))</f>
        <v>OK</v>
      </c>
      <c r="AV75" s="6" t="n">
        <f aca="false">(10-(LEN(AW75)))+1</f>
        <v>10</v>
      </c>
      <c r="AW75" s="6" t="n">
        <v>0</v>
      </c>
      <c r="AX75" s="6" t="str">
        <f aca="false">IF($J75="NA","NA",IF(AND($J75&gt;1899,AW75&gt;0),"ERRO","OK"))</f>
        <v>OK</v>
      </c>
    </row>
    <row r="76" customFormat="false" ht="15" hidden="false" customHeight="false" outlineLevel="0" collapsed="false">
      <c r="A76" s="7" t="n">
        <v>73</v>
      </c>
      <c r="B76" s="0" t="s">
        <v>92</v>
      </c>
      <c r="C76" s="8" t="n">
        <v>45305</v>
      </c>
      <c r="D76" s="6" t="n">
        <v>0</v>
      </c>
      <c r="E76" s="0" t="s">
        <v>16</v>
      </c>
      <c r="F76" s="0" t="s">
        <v>17</v>
      </c>
      <c r="G76" s="9" t="str">
        <f aca="false">IF(OR(N76="ERRO",Q76="ERRO",T76="ERRO",W76="ERRO",Z76="ERRO",AC76="ERRO",AF76="ERRO",AI76="ERRO",AL76="ERRO",AO76="ERRO",AR76="ERRO",AU76="ERRO",AX76="ERRO"),"ERRO","OK")</f>
        <v>OK</v>
      </c>
      <c r="H76" s="9" t="n">
        <f aca="false">COUNTIF(L76:AX76,"ERRO")</f>
        <v>0</v>
      </c>
      <c r="I76" s="9" t="s">
        <v>18</v>
      </c>
      <c r="J76" s="10" t="n">
        <v>1881</v>
      </c>
      <c r="K76" s="10" t="n">
        <v>1985</v>
      </c>
      <c r="L76" s="6" t="n">
        <f aca="false">(10-(LEN(M76)))+1</f>
        <v>10</v>
      </c>
      <c r="M76" s="6" t="n">
        <v>0</v>
      </c>
      <c r="N76" s="6" t="str">
        <f aca="false">IF($J76="NA","NA",IF(AND($J76&gt;2019,M76&gt;0),"ERRO","OK"))</f>
        <v>OK</v>
      </c>
      <c r="O76" s="6" t="n">
        <f aca="false">(10-(LEN(P76)))+1</f>
        <v>10</v>
      </c>
      <c r="P76" s="6" t="n">
        <v>0</v>
      </c>
      <c r="Q76" s="6" t="str">
        <f aca="false">IF($J76="NA","NA",IF(AND($J76&gt;2009,P76&gt;0),"ERRO","OK"))</f>
        <v>OK</v>
      </c>
      <c r="R76" s="6" t="n">
        <f aca="false">(10-(LEN(S76)))+1</f>
        <v>10</v>
      </c>
      <c r="S76" s="6" t="n">
        <v>0</v>
      </c>
      <c r="T76" s="6" t="str">
        <f aca="false">IF($J76="NA","NA",IF(AND($J76&gt;1999,S76&gt;0),"ERRO","OK"))</f>
        <v>OK</v>
      </c>
      <c r="U76" s="6" t="n">
        <f aca="false">(10-(LEN(V76)))+1</f>
        <v>10</v>
      </c>
      <c r="V76" s="6" t="n">
        <v>0</v>
      </c>
      <c r="W76" s="6" t="str">
        <f aca="false">IF($J76="NA","NA",IF(AND($J76&gt;1989,V76&gt;0),"ERRO","OK"))</f>
        <v>OK</v>
      </c>
      <c r="X76" s="6" t="n">
        <f aca="false">(10-(LEN(Y76)))+1</f>
        <v>10</v>
      </c>
      <c r="Y76" s="6" t="n">
        <v>0</v>
      </c>
      <c r="Z76" s="6" t="str">
        <f aca="false">IF($J76="NA","NA",IF(AND($J76&gt;1979,Y76&gt;0),"ERRO","OK"))</f>
        <v>OK</v>
      </c>
      <c r="AA76" s="6" t="n">
        <f aca="false">(10-(LEN(AB76)))+1</f>
        <v>10</v>
      </c>
      <c r="AB76" s="6" t="n">
        <v>0</v>
      </c>
      <c r="AC76" s="6" t="str">
        <f aca="false">IF($J76="NA","NA",IF(AND($J76&gt;1969,AB76&gt;0),"ERRO","OK"))</f>
        <v>OK</v>
      </c>
      <c r="AD76" s="6" t="n">
        <f aca="false">(10-(LEN(AE76)))+1</f>
        <v>10</v>
      </c>
      <c r="AE76" s="6" t="n">
        <v>0</v>
      </c>
      <c r="AF76" s="6" t="str">
        <f aca="false">IF($J76="NA","NA",IF(AND($J76&gt;1959,AE76&gt;0),"ERRO","OK"))</f>
        <v>OK</v>
      </c>
      <c r="AG76" s="6" t="n">
        <f aca="false">(10-(LEN(AH76)))+1</f>
        <v>10</v>
      </c>
      <c r="AH76" s="6" t="n">
        <v>0</v>
      </c>
      <c r="AI76" s="6" t="str">
        <f aca="false">IF($J76="NA","NA",IF(AND($J76&gt;1949,AH76&gt;0),"ERRO","OK"))</f>
        <v>OK</v>
      </c>
      <c r="AJ76" s="6" t="n">
        <f aca="false">(10-(LEN(AK76)))+1</f>
        <v>10</v>
      </c>
      <c r="AK76" s="6" t="n">
        <v>0</v>
      </c>
      <c r="AL76" s="6" t="str">
        <f aca="false">IF($J76="NA","NA",IF(AND($J76&gt;1939,AK76&gt;0),"ERRO","OK"))</f>
        <v>OK</v>
      </c>
      <c r="AM76" s="6" t="n">
        <f aca="false">(10-(LEN(AN76)))+1</f>
        <v>10</v>
      </c>
      <c r="AN76" s="6" t="n">
        <v>0</v>
      </c>
      <c r="AO76" s="6" t="str">
        <f aca="false">IF($J76="NA","NA",IF(AND($J76&gt;1929,AN76&gt;0),"ERRO","OK"))</f>
        <v>OK</v>
      </c>
      <c r="AP76" s="6" t="n">
        <f aca="false">(10-(LEN(AQ76)))+1</f>
        <v>10</v>
      </c>
      <c r="AQ76" s="6" t="n">
        <v>0</v>
      </c>
      <c r="AR76" s="6" t="str">
        <f aca="false">IF($J76="NA","NA",IF(AND($J76&gt;1919,AQ76&gt;0),"ERRO","OK"))</f>
        <v>OK</v>
      </c>
      <c r="AS76" s="6" t="n">
        <f aca="false">(10-(LEN(AT76)))+1</f>
        <v>10</v>
      </c>
      <c r="AT76" s="6" t="n">
        <v>0</v>
      </c>
      <c r="AU76" s="6" t="str">
        <f aca="false">IF($J76="NA","NA",IF(AND($J76&gt;1909,AT76&gt;0),"ERRO","OK"))</f>
        <v>OK</v>
      </c>
      <c r="AV76" s="6" t="n">
        <f aca="false">(10-(LEN(AW76)))+1</f>
        <v>10</v>
      </c>
      <c r="AW76" s="6" t="n">
        <v>0</v>
      </c>
      <c r="AX76" s="6" t="str">
        <f aca="false">IF($J76="NA","NA",IF(AND($J76&gt;1899,AW76&gt;0),"ERRO","OK"))</f>
        <v>OK</v>
      </c>
    </row>
    <row r="77" customFormat="false" ht="15" hidden="false" customHeight="false" outlineLevel="0" collapsed="false">
      <c r="A77" s="7" t="n">
        <v>74</v>
      </c>
      <c r="B77" s="0" t="s">
        <v>93</v>
      </c>
      <c r="C77" s="8" t="n">
        <v>45305</v>
      </c>
      <c r="D77" s="6" t="n">
        <v>0</v>
      </c>
      <c r="E77" s="0" t="s">
        <v>16</v>
      </c>
      <c r="F77" s="0" t="s">
        <v>17</v>
      </c>
      <c r="G77" s="9" t="str">
        <f aca="false">IF(OR(N77="ERRO",Q77="ERRO",T77="ERRO",W77="ERRO",Z77="ERRO",AC77="ERRO",AF77="ERRO",AI77="ERRO",AL77="ERRO",AO77="ERRO",AR77="ERRO",AU77="ERRO",AX77="ERRO"),"ERRO","OK")</f>
        <v>OK</v>
      </c>
      <c r="H77" s="9" t="n">
        <f aca="false">COUNTIF(L77:AX77,"ERRO")</f>
        <v>0</v>
      </c>
      <c r="I77" s="9" t="s">
        <v>18</v>
      </c>
      <c r="J77" s="10" t="n">
        <v>1887</v>
      </c>
      <c r="K77" s="10" t="n">
        <v>1967</v>
      </c>
      <c r="L77" s="6" t="n">
        <f aca="false">(10-(LEN(M77)))+1</f>
        <v>8</v>
      </c>
      <c r="M77" s="6" t="n">
        <v>708</v>
      </c>
      <c r="N77" s="6" t="str">
        <f aca="false">IF($J77="NA","NA",IF(AND($J77&gt;2019,M77&gt;0),"ERRO","OK"))</f>
        <v>OK</v>
      </c>
      <c r="O77" s="6" t="n">
        <f aca="false">(10-(LEN(P77)))+1</f>
        <v>9</v>
      </c>
      <c r="P77" s="6" t="n">
        <v>69</v>
      </c>
      <c r="Q77" s="6" t="str">
        <f aca="false">IF($J77="NA","NA",IF(AND($J77&gt;2009,P77&gt;0),"ERRO","OK"))</f>
        <v>OK</v>
      </c>
      <c r="R77" s="6" t="n">
        <f aca="false">(10-(LEN(S77)))+1</f>
        <v>8</v>
      </c>
      <c r="S77" s="6" t="n">
        <v>420</v>
      </c>
      <c r="T77" s="6" t="str">
        <f aca="false">IF($J77="NA","NA",IF(AND($J77&gt;1999,S77&gt;0),"ERRO","OK"))</f>
        <v>OK</v>
      </c>
      <c r="U77" s="6" t="n">
        <f aca="false">(10-(LEN(V77)))+1</f>
        <v>8</v>
      </c>
      <c r="V77" s="6" t="n">
        <v>552</v>
      </c>
      <c r="W77" s="6" t="str">
        <f aca="false">IF($J77="NA","NA",IF(AND($J77&gt;1989,V77&gt;0),"ERRO","OK"))</f>
        <v>OK</v>
      </c>
      <c r="X77" s="6" t="n">
        <f aca="false">(10-(LEN(Y77)))+1</f>
        <v>8</v>
      </c>
      <c r="Y77" s="6" t="n">
        <v>321</v>
      </c>
      <c r="Z77" s="6" t="str">
        <f aca="false">IF($J77="NA","NA",IF(AND($J77&gt;1979,Y77&gt;0),"ERRO","OK"))</f>
        <v>OK</v>
      </c>
      <c r="AA77" s="6" t="n">
        <f aca="false">(10-(LEN(AB77)))+1</f>
        <v>8</v>
      </c>
      <c r="AB77" s="6" t="n">
        <v>117</v>
      </c>
      <c r="AC77" s="6" t="str">
        <f aca="false">IF($J77="NA","NA",IF(AND($J77&gt;1969,AB77&gt;0),"ERRO","OK"))</f>
        <v>OK</v>
      </c>
      <c r="AD77" s="6" t="n">
        <f aca="false">(10-(LEN(AE77)))+1</f>
        <v>8</v>
      </c>
      <c r="AE77" s="6" t="n">
        <v>269</v>
      </c>
      <c r="AF77" s="6" t="str">
        <f aca="false">IF($J77="NA","NA",IF(AND($J77&gt;1959,AE77&gt;0),"ERRO","OK"))</f>
        <v>OK</v>
      </c>
      <c r="AG77" s="6" t="n">
        <f aca="false">(10-(LEN(AH77)))+1</f>
        <v>10</v>
      </c>
      <c r="AH77" s="6" t="n">
        <v>0</v>
      </c>
      <c r="AI77" s="6" t="str">
        <f aca="false">IF($J77="NA","NA",IF(AND($J77&gt;1949,AH77&gt;0),"ERRO","OK"))</f>
        <v>OK</v>
      </c>
      <c r="AJ77" s="6" t="n">
        <f aca="false">(10-(LEN(AK77)))+1</f>
        <v>10</v>
      </c>
      <c r="AK77" s="6" t="n">
        <v>0</v>
      </c>
      <c r="AL77" s="6" t="str">
        <f aca="false">IF($J77="NA","NA",IF(AND($J77&gt;1939,AK77&gt;0),"ERRO","OK"))</f>
        <v>OK</v>
      </c>
      <c r="AM77" s="6" t="n">
        <f aca="false">(10-(LEN(AN77)))+1</f>
        <v>7</v>
      </c>
      <c r="AN77" s="6" t="n">
        <v>2894</v>
      </c>
      <c r="AO77" s="6" t="str">
        <f aca="false">IF($J77="NA","NA",IF(AND($J77&gt;1929,AN77&gt;0),"ERRO","OK"))</f>
        <v>OK</v>
      </c>
      <c r="AP77" s="6" t="n">
        <f aca="false">(10-(LEN(AQ77)))+1</f>
        <v>8</v>
      </c>
      <c r="AQ77" s="6" t="n">
        <v>100</v>
      </c>
      <c r="AR77" s="6" t="str">
        <f aca="false">IF($J77="NA","NA",IF(AND($J77&gt;1919,AQ77&gt;0),"ERRO","OK"))</f>
        <v>OK</v>
      </c>
      <c r="AS77" s="6" t="n">
        <f aca="false">(10-(LEN(AT77)))+1</f>
        <v>10</v>
      </c>
      <c r="AT77" s="6" t="n">
        <v>0</v>
      </c>
      <c r="AU77" s="6" t="str">
        <f aca="false">IF($J77="NA","NA",IF(AND($J77&gt;1909,AT77&gt;0),"ERRO","OK"))</f>
        <v>OK</v>
      </c>
      <c r="AV77" s="6" t="n">
        <f aca="false">(10-(LEN(AW77)))+1</f>
        <v>10</v>
      </c>
      <c r="AW77" s="6" t="n">
        <v>0</v>
      </c>
      <c r="AX77" s="6" t="str">
        <f aca="false">IF($J77="NA","NA",IF(AND($J77&gt;1899,AW77&gt;0),"ERRO","OK"))</f>
        <v>OK</v>
      </c>
    </row>
    <row r="78" customFormat="false" ht="15" hidden="false" customHeight="false" outlineLevel="0" collapsed="false">
      <c r="A78" s="7" t="n">
        <v>75</v>
      </c>
      <c r="B78" s="0" t="s">
        <v>94</v>
      </c>
      <c r="C78" s="8" t="n">
        <v>45305</v>
      </c>
      <c r="D78" s="6" t="n">
        <v>0</v>
      </c>
      <c r="E78" s="0" t="s">
        <v>16</v>
      </c>
      <c r="F78" s="0" t="s">
        <v>17</v>
      </c>
      <c r="G78" s="9" t="str">
        <f aca="false">IF(OR(N78="ERRO",Q78="ERRO",T78="ERRO",W78="ERRO",Z78="ERRO",AC78="ERRO",AF78="ERRO",AI78="ERRO",AL78="ERRO",AO78="ERRO",AR78="ERRO",AU78="ERRO",AX78="ERRO"),"ERRO","OK")</f>
        <v>OK</v>
      </c>
      <c r="H78" s="9" t="n">
        <f aca="false">COUNTIF(L78:AX78,"ERRO")</f>
        <v>0</v>
      </c>
      <c r="I78" s="9" t="s">
        <v>18</v>
      </c>
      <c r="J78" s="10" t="n">
        <v>1889</v>
      </c>
      <c r="K78" s="10" t="n">
        <v>1973</v>
      </c>
      <c r="L78" s="6" t="n">
        <f aca="false">(10-(LEN(M78)))+1</f>
        <v>10</v>
      </c>
      <c r="M78" s="6" t="n">
        <v>0</v>
      </c>
      <c r="N78" s="6" t="str">
        <f aca="false">IF($J78="NA","NA",IF(AND($J78&gt;2019,M78&gt;0),"ERRO","OK"))</f>
        <v>OK</v>
      </c>
      <c r="O78" s="6" t="n">
        <f aca="false">(10-(LEN(P78)))+1</f>
        <v>10</v>
      </c>
      <c r="P78" s="6" t="n">
        <v>0</v>
      </c>
      <c r="Q78" s="6" t="str">
        <f aca="false">IF($J78="NA","NA",IF(AND($J78&gt;2009,P78&gt;0),"ERRO","OK"))</f>
        <v>OK</v>
      </c>
      <c r="R78" s="6" t="n">
        <f aca="false">(10-(LEN(S78)))+1</f>
        <v>10</v>
      </c>
      <c r="S78" s="6" t="n">
        <v>0</v>
      </c>
      <c r="T78" s="6" t="str">
        <f aca="false">IF($J78="NA","NA",IF(AND($J78&gt;1999,S78&gt;0),"ERRO","OK"))</f>
        <v>OK</v>
      </c>
      <c r="U78" s="6" t="n">
        <f aca="false">(10-(LEN(V78)))+1</f>
        <v>8</v>
      </c>
      <c r="V78" s="6" t="n">
        <v>276</v>
      </c>
      <c r="W78" s="6" t="str">
        <f aca="false">IF($J78="NA","NA",IF(AND($J78&gt;1989,V78&gt;0),"ERRO","OK"))</f>
        <v>OK</v>
      </c>
      <c r="X78" s="6" t="n">
        <f aca="false">(10-(LEN(Y78)))+1</f>
        <v>8</v>
      </c>
      <c r="Y78" s="6" t="n">
        <v>268</v>
      </c>
      <c r="Z78" s="6" t="str">
        <f aca="false">IF($J78="NA","NA",IF(AND($J78&gt;1979,Y78&gt;0),"ERRO","OK"))</f>
        <v>OK</v>
      </c>
      <c r="AA78" s="6" t="n">
        <f aca="false">(10-(LEN(AB78)))+1</f>
        <v>9</v>
      </c>
      <c r="AB78" s="6" t="n">
        <v>59</v>
      </c>
      <c r="AC78" s="6" t="str">
        <f aca="false">IF($J78="NA","NA",IF(AND($J78&gt;1969,AB78&gt;0),"ERRO","OK"))</f>
        <v>OK</v>
      </c>
      <c r="AD78" s="6" t="n">
        <f aca="false">(10-(LEN(AE78)))+1</f>
        <v>7</v>
      </c>
      <c r="AE78" s="6" t="n">
        <v>1346</v>
      </c>
      <c r="AF78" s="6" t="str">
        <f aca="false">IF($J78="NA","NA",IF(AND($J78&gt;1959,AE78&gt;0),"ERRO","OK"))</f>
        <v>OK</v>
      </c>
      <c r="AG78" s="6" t="n">
        <f aca="false">(10-(LEN(AH78)))+1</f>
        <v>8</v>
      </c>
      <c r="AH78" s="6" t="n">
        <v>330</v>
      </c>
      <c r="AI78" s="6" t="str">
        <f aca="false">IF($J78="NA","NA",IF(AND($J78&gt;1949,AH78&gt;0),"ERRO","OK"))</f>
        <v>OK</v>
      </c>
      <c r="AJ78" s="6" t="n">
        <f aca="false">(10-(LEN(AK78)))+1</f>
        <v>7</v>
      </c>
      <c r="AK78" s="6" t="n">
        <v>1253</v>
      </c>
      <c r="AL78" s="6" t="str">
        <f aca="false">IF($J78="NA","NA",IF(AND($J78&gt;1939,AK78&gt;0),"ERRO","OK"))</f>
        <v>OK</v>
      </c>
      <c r="AM78" s="6" t="n">
        <f aca="false">(10-(LEN(AN78)))+1</f>
        <v>8</v>
      </c>
      <c r="AN78" s="6" t="n">
        <v>457</v>
      </c>
      <c r="AO78" s="6" t="str">
        <f aca="false">IF($J78="NA","NA",IF(AND($J78&gt;1929,AN78&gt;0),"ERRO","OK"))</f>
        <v>OK</v>
      </c>
      <c r="AP78" s="6" t="n">
        <f aca="false">(10-(LEN(AQ78)))+1</f>
        <v>10</v>
      </c>
      <c r="AQ78" s="6" t="n">
        <v>0</v>
      </c>
      <c r="AR78" s="6" t="str">
        <f aca="false">IF($J78="NA","NA",IF(AND($J78&gt;1919,AQ78&gt;0),"ERRO","OK"))</f>
        <v>OK</v>
      </c>
      <c r="AS78" s="6" t="n">
        <f aca="false">(10-(LEN(AT78)))+1</f>
        <v>10</v>
      </c>
      <c r="AT78" s="6" t="n">
        <v>0</v>
      </c>
      <c r="AU78" s="6" t="str">
        <f aca="false">IF($J78="NA","NA",IF(AND($J78&gt;1909,AT78&gt;0),"ERRO","OK"))</f>
        <v>OK</v>
      </c>
      <c r="AV78" s="6" t="n">
        <f aca="false">(10-(LEN(AW78)))+1</f>
        <v>10</v>
      </c>
      <c r="AW78" s="6" t="n">
        <v>0</v>
      </c>
      <c r="AX78" s="6" t="str">
        <f aca="false">IF($J78="NA","NA",IF(AND($J78&gt;1899,AW78&gt;0),"ERRO","OK"))</f>
        <v>OK</v>
      </c>
    </row>
    <row r="79" customFormat="false" ht="15" hidden="false" customHeight="false" outlineLevel="0" collapsed="false">
      <c r="A79" s="7" t="n">
        <v>76</v>
      </c>
      <c r="B79" s="0" t="s">
        <v>95</v>
      </c>
      <c r="C79" s="8" t="n">
        <v>45305</v>
      </c>
      <c r="D79" s="6" t="n">
        <v>0</v>
      </c>
      <c r="E79" s="0" t="s">
        <v>16</v>
      </c>
      <c r="F79" s="0" t="s">
        <v>17</v>
      </c>
      <c r="G79" s="9" t="str">
        <f aca="false">IF(OR(N79="ERRO",Q79="ERRO",T79="ERRO",W79="ERRO",Z79="ERRO",AC79="ERRO",AF79="ERRO",AI79="ERRO",AL79="ERRO",AO79="ERRO",AR79="ERRO",AU79="ERRO",AX79="ERRO"),"ERRO","OK")</f>
        <v>OK</v>
      </c>
      <c r="H79" s="9" t="n">
        <f aca="false">COUNTIF(L79:AX79,"ERRO")</f>
        <v>0</v>
      </c>
      <c r="I79" s="9" t="s">
        <v>18</v>
      </c>
      <c r="J79" s="10" t="n">
        <v>1874</v>
      </c>
      <c r="K79" s="10" t="n">
        <v>1927</v>
      </c>
      <c r="L79" s="6" t="n">
        <f aca="false">(10-(LEN(M79)))+1</f>
        <v>7</v>
      </c>
      <c r="M79" s="6" t="n">
        <v>5279</v>
      </c>
      <c r="N79" s="6" t="str">
        <f aca="false">IF($J79="NA","NA",IF(AND($J79&gt;2019,M79&gt;0),"ERRO","OK"))</f>
        <v>OK</v>
      </c>
      <c r="O79" s="6" t="n">
        <f aca="false">(10-(LEN(P79)))+1</f>
        <v>7</v>
      </c>
      <c r="P79" s="6" t="n">
        <v>2842</v>
      </c>
      <c r="Q79" s="6" t="str">
        <f aca="false">IF($J79="NA","NA",IF(AND($J79&gt;2009,P79&gt;0),"ERRO","OK"))</f>
        <v>OK</v>
      </c>
      <c r="R79" s="6" t="n">
        <f aca="false">(10-(LEN(S79)))+1</f>
        <v>7</v>
      </c>
      <c r="S79" s="6" t="n">
        <v>1959</v>
      </c>
      <c r="T79" s="6" t="str">
        <f aca="false">IF($J79="NA","NA",IF(AND($J79&gt;1999,S79&gt;0),"ERRO","OK"))</f>
        <v>OK</v>
      </c>
      <c r="U79" s="6" t="n">
        <f aca="false">(10-(LEN(V79)))+1</f>
        <v>8</v>
      </c>
      <c r="V79" s="6" t="n">
        <v>700</v>
      </c>
      <c r="W79" s="6" t="str">
        <f aca="false">IF($J79="NA","NA",IF(AND($J79&gt;1989,V79&gt;0),"ERRO","OK"))</f>
        <v>OK</v>
      </c>
      <c r="X79" s="6" t="n">
        <f aca="false">(10-(LEN(Y79)))+1</f>
        <v>8</v>
      </c>
      <c r="Y79" s="6" t="n">
        <v>564</v>
      </c>
      <c r="Z79" s="6" t="str">
        <f aca="false">IF($J79="NA","NA",IF(AND($J79&gt;1979,Y79&gt;0),"ERRO","OK"))</f>
        <v>OK</v>
      </c>
      <c r="AA79" s="6" t="n">
        <f aca="false">(10-(LEN(AB79)))+1</f>
        <v>9</v>
      </c>
      <c r="AB79" s="6" t="n">
        <v>68</v>
      </c>
      <c r="AC79" s="6" t="str">
        <f aca="false">IF($J79="NA","NA",IF(AND($J79&gt;1969,AB79&gt;0),"ERRO","OK"))</f>
        <v>OK</v>
      </c>
      <c r="AD79" s="6" t="n">
        <f aca="false">(10-(LEN(AE79)))+1</f>
        <v>10</v>
      </c>
      <c r="AE79" s="6" t="n">
        <v>0</v>
      </c>
      <c r="AF79" s="6" t="str">
        <f aca="false">IF($J79="NA","NA",IF(AND($J79&gt;1959,AE79&gt;0),"ERRO","OK"))</f>
        <v>OK</v>
      </c>
      <c r="AG79" s="6" t="n">
        <f aca="false">(10-(LEN(AH79)))+1</f>
        <v>8</v>
      </c>
      <c r="AH79" s="6" t="n">
        <v>258</v>
      </c>
      <c r="AI79" s="6" t="str">
        <f aca="false">IF($J79="NA","NA",IF(AND($J79&gt;1949,AH79&gt;0),"ERRO","OK"))</f>
        <v>OK</v>
      </c>
      <c r="AJ79" s="6" t="n">
        <f aca="false">(10-(LEN(AK79)))+1</f>
        <v>8</v>
      </c>
      <c r="AK79" s="6" t="n">
        <v>982</v>
      </c>
      <c r="AL79" s="6" t="str">
        <f aca="false">IF($J79="NA","NA",IF(AND($J79&gt;1939,AK79&gt;0),"ERRO","OK"))</f>
        <v>OK</v>
      </c>
      <c r="AM79" s="6" t="n">
        <f aca="false">(10-(LEN(AN79)))+1</f>
        <v>10</v>
      </c>
      <c r="AN79" s="6" t="n">
        <v>0</v>
      </c>
      <c r="AO79" s="6" t="str">
        <f aca="false">IF($J79="NA","NA",IF(AND($J79&gt;1929,AN79&gt;0),"ERRO","OK"))</f>
        <v>OK</v>
      </c>
      <c r="AP79" s="6" t="n">
        <f aca="false">(10-(LEN(AQ79)))+1</f>
        <v>10</v>
      </c>
      <c r="AQ79" s="6" t="n">
        <v>0</v>
      </c>
      <c r="AR79" s="6" t="str">
        <f aca="false">IF($J79="NA","NA",IF(AND($J79&gt;1919,AQ79&gt;0),"ERRO","OK"))</f>
        <v>OK</v>
      </c>
      <c r="AS79" s="6" t="n">
        <f aca="false">(10-(LEN(AT79)))+1</f>
        <v>10</v>
      </c>
      <c r="AT79" s="6" t="n">
        <v>0</v>
      </c>
      <c r="AU79" s="6" t="str">
        <f aca="false">IF($J79="NA","NA",IF(AND($J79&gt;1909,AT79&gt;0),"ERRO","OK"))</f>
        <v>OK</v>
      </c>
      <c r="AV79" s="6" t="n">
        <f aca="false">(10-(LEN(AW79)))+1</f>
        <v>10</v>
      </c>
      <c r="AW79" s="6" t="n">
        <v>0</v>
      </c>
      <c r="AX79" s="6" t="str">
        <f aca="false">IF($J79="NA","NA",IF(AND($J79&gt;1899,AW79&gt;0),"ERRO","OK"))</f>
        <v>OK</v>
      </c>
    </row>
    <row r="80" customFormat="false" ht="15" hidden="false" customHeight="false" outlineLevel="0" collapsed="false">
      <c r="A80" s="7" t="n">
        <v>77</v>
      </c>
      <c r="B80" s="0" t="s">
        <v>96</v>
      </c>
      <c r="C80" s="8" t="n">
        <v>45305</v>
      </c>
      <c r="D80" s="6" t="n">
        <v>0</v>
      </c>
      <c r="E80" s="0" t="s">
        <v>16</v>
      </c>
      <c r="F80" s="0" t="s">
        <v>17</v>
      </c>
      <c r="G80" s="9" t="str">
        <f aca="false">IF(OR(N80="ERRO",Q80="ERRO",T80="ERRO",W80="ERRO",Z80="ERRO",AC80="ERRO",AF80="ERRO",AI80="ERRO",AL80="ERRO",AO80="ERRO",AR80="ERRO",AU80="ERRO",AX80="ERRO"),"ERRO","OK")</f>
        <v>OK</v>
      </c>
      <c r="H80" s="9" t="n">
        <f aca="false">COUNTIF(L80:AX80,"ERRO")</f>
        <v>0</v>
      </c>
      <c r="I80" s="9" t="s">
        <v>18</v>
      </c>
      <c r="J80" s="10" t="n">
        <v>1900</v>
      </c>
      <c r="K80" s="10" t="n">
        <v>1969</v>
      </c>
      <c r="L80" s="6" t="n">
        <f aca="false">(10-(LEN(M80)))+1</f>
        <v>8</v>
      </c>
      <c r="M80" s="6" t="n">
        <v>745</v>
      </c>
      <c r="N80" s="6" t="str">
        <f aca="false">IF($J80="NA","NA",IF(AND($J80&gt;2019,M80&gt;0),"ERRO","OK"))</f>
        <v>OK</v>
      </c>
      <c r="O80" s="6" t="n">
        <f aca="false">(10-(LEN(P80)))+1</f>
        <v>7</v>
      </c>
      <c r="P80" s="6" t="n">
        <v>1837</v>
      </c>
      <c r="Q80" s="6" t="str">
        <f aca="false">IF($J80="NA","NA",IF(AND($J80&gt;2009,P80&gt;0),"ERRO","OK"))</f>
        <v>OK</v>
      </c>
      <c r="R80" s="6" t="n">
        <f aca="false">(10-(LEN(S80)))+1</f>
        <v>7</v>
      </c>
      <c r="S80" s="6" t="n">
        <v>1059</v>
      </c>
      <c r="T80" s="6" t="str">
        <f aca="false">IF($J80="NA","NA",IF(AND($J80&gt;1999,S80&gt;0),"ERRO","OK"))</f>
        <v>OK</v>
      </c>
      <c r="U80" s="6" t="n">
        <f aca="false">(10-(LEN(V80)))+1</f>
        <v>7</v>
      </c>
      <c r="V80" s="6" t="n">
        <v>3240</v>
      </c>
      <c r="W80" s="6" t="str">
        <f aca="false">IF($J80="NA","NA",IF(AND($J80&gt;1989,V80&gt;0),"ERRO","OK"))</f>
        <v>OK</v>
      </c>
      <c r="X80" s="6" t="n">
        <f aca="false">(10-(LEN(Y80)))+1</f>
        <v>8</v>
      </c>
      <c r="Y80" s="6" t="n">
        <v>563</v>
      </c>
      <c r="Z80" s="6" t="str">
        <f aca="false">IF($J80="NA","NA",IF(AND($J80&gt;1979,Y80&gt;0),"ERRO","OK"))</f>
        <v>OK</v>
      </c>
      <c r="AA80" s="6" t="n">
        <f aca="false">(10-(LEN(AB80)))+1</f>
        <v>7</v>
      </c>
      <c r="AB80" s="6" t="n">
        <v>1108</v>
      </c>
      <c r="AC80" s="6" t="str">
        <f aca="false">IF($J80="NA","NA",IF(AND($J80&gt;1969,AB80&gt;0),"ERRO","OK"))</f>
        <v>OK</v>
      </c>
      <c r="AD80" s="6" t="n">
        <f aca="false">(10-(LEN(AE80)))+1</f>
        <v>8</v>
      </c>
      <c r="AE80" s="6" t="n">
        <v>189</v>
      </c>
      <c r="AF80" s="6" t="str">
        <f aca="false">IF($J80="NA","NA",IF(AND($J80&gt;1959,AE80&gt;0),"ERRO","OK"))</f>
        <v>OK</v>
      </c>
      <c r="AG80" s="6" t="n">
        <f aca="false">(10-(LEN(AH80)))+1</f>
        <v>10</v>
      </c>
      <c r="AH80" s="6" t="n">
        <v>0</v>
      </c>
      <c r="AI80" s="6" t="str">
        <f aca="false">IF($J80="NA","NA",IF(AND($J80&gt;1949,AH80&gt;0),"ERRO","OK"))</f>
        <v>OK</v>
      </c>
      <c r="AJ80" s="6" t="n">
        <f aca="false">(10-(LEN(AK80)))+1</f>
        <v>10</v>
      </c>
      <c r="AK80" s="6" t="n">
        <v>0</v>
      </c>
      <c r="AL80" s="6" t="str">
        <f aca="false">IF($J80="NA","NA",IF(AND($J80&gt;1939,AK80&gt;0),"ERRO","OK"))</f>
        <v>OK</v>
      </c>
      <c r="AM80" s="6" t="n">
        <f aca="false">(10-(LEN(AN80)))+1</f>
        <v>10</v>
      </c>
      <c r="AN80" s="6" t="n">
        <v>0</v>
      </c>
      <c r="AO80" s="6" t="str">
        <f aca="false">IF($J80="NA","NA",IF(AND($J80&gt;1929,AN80&gt;0),"ERRO","OK"))</f>
        <v>OK</v>
      </c>
      <c r="AP80" s="6" t="n">
        <f aca="false">(10-(LEN(AQ80)))+1</f>
        <v>10</v>
      </c>
      <c r="AQ80" s="6" t="n">
        <v>0</v>
      </c>
      <c r="AR80" s="6" t="str">
        <f aca="false">IF($J80="NA","NA",IF(AND($J80&gt;1919,AQ80&gt;0),"ERRO","OK"))</f>
        <v>OK</v>
      </c>
      <c r="AS80" s="6" t="n">
        <f aca="false">(10-(LEN(AT80)))+1</f>
        <v>10</v>
      </c>
      <c r="AT80" s="6" t="n">
        <v>0</v>
      </c>
      <c r="AU80" s="6" t="str">
        <f aca="false">IF($J80="NA","NA",IF(AND($J80&gt;1909,AT80&gt;0),"ERRO","OK"))</f>
        <v>OK</v>
      </c>
      <c r="AV80" s="6" t="n">
        <f aca="false">(10-(LEN(AW80)))+1</f>
        <v>10</v>
      </c>
      <c r="AW80" s="6" t="n">
        <v>0</v>
      </c>
      <c r="AX80" s="6" t="str">
        <f aca="false">IF($J80="NA","NA",IF(AND($J80&gt;1899,AW80&gt;0),"ERRO","OK"))</f>
        <v>OK</v>
      </c>
    </row>
    <row r="81" customFormat="false" ht="15" hidden="false" customHeight="false" outlineLevel="0" collapsed="false">
      <c r="A81" s="7" t="n">
        <v>78</v>
      </c>
      <c r="B81" s="0" t="s">
        <v>97</v>
      </c>
      <c r="C81" s="8" t="n">
        <v>45305</v>
      </c>
      <c r="D81" s="6" t="n">
        <v>0</v>
      </c>
      <c r="E81" s="0" t="s">
        <v>16</v>
      </c>
      <c r="F81" s="0" t="s">
        <v>17</v>
      </c>
      <c r="G81" s="9" t="str">
        <f aca="false">IF(OR(N81="ERRO",Q81="ERRO",T81="ERRO",W81="ERRO",Z81="ERRO",AC81="ERRO",AF81="ERRO",AI81="ERRO",AL81="ERRO",AO81="ERRO",AR81="ERRO",AU81="ERRO",AX81="ERRO"),"ERRO","OK")</f>
        <v>OK</v>
      </c>
      <c r="H81" s="9" t="n">
        <f aca="false">COUNTIF(L81:AX81,"ERRO")</f>
        <v>0</v>
      </c>
      <c r="I81" s="9" t="s">
        <v>18</v>
      </c>
      <c r="J81" s="10" t="n">
        <v>1886</v>
      </c>
      <c r="K81" s="10" t="n">
        <v>1973</v>
      </c>
      <c r="L81" s="6" t="n">
        <f aca="false">(10-(LEN(M81)))+1</f>
        <v>7</v>
      </c>
      <c r="M81" s="6" t="n">
        <v>9745</v>
      </c>
      <c r="N81" s="6" t="str">
        <f aca="false">IF($J81="NA","NA",IF(AND($J81&gt;2019,M81&gt;0),"ERRO","OK"))</f>
        <v>OK</v>
      </c>
      <c r="O81" s="6" t="n">
        <f aca="false">(10-(LEN(P81)))+1</f>
        <v>7</v>
      </c>
      <c r="P81" s="6" t="n">
        <v>7650</v>
      </c>
      <c r="Q81" s="6" t="str">
        <f aca="false">IF($J81="NA","NA",IF(AND($J81&gt;2009,P81&gt;0),"ERRO","OK"))</f>
        <v>OK</v>
      </c>
      <c r="R81" s="6" t="n">
        <f aca="false">(10-(LEN(S81)))+1</f>
        <v>7</v>
      </c>
      <c r="S81" s="6" t="n">
        <v>9075</v>
      </c>
      <c r="T81" s="6" t="str">
        <f aca="false">IF($J81="NA","NA",IF(AND($J81&gt;1999,S81&gt;0),"ERRO","OK"))</f>
        <v>OK</v>
      </c>
      <c r="U81" s="6" t="n">
        <f aca="false">(10-(LEN(V81)))+1</f>
        <v>7</v>
      </c>
      <c r="V81" s="6" t="n">
        <v>7543</v>
      </c>
      <c r="W81" s="6" t="str">
        <f aca="false">IF($J81="NA","NA",IF(AND($J81&gt;1989,V81&gt;0),"ERRO","OK"))</f>
        <v>OK</v>
      </c>
      <c r="X81" s="6" t="n">
        <f aca="false">(10-(LEN(Y81)))+1</f>
        <v>6</v>
      </c>
      <c r="Y81" s="6" t="n">
        <v>14555</v>
      </c>
      <c r="Z81" s="6" t="str">
        <f aca="false">IF($J81="NA","NA",IF(AND($J81&gt;1979,Y81&gt;0),"ERRO","OK"))</f>
        <v>OK</v>
      </c>
      <c r="AA81" s="6" t="n">
        <f aca="false">(10-(LEN(AB81)))+1</f>
        <v>7</v>
      </c>
      <c r="AB81" s="6" t="n">
        <v>7442</v>
      </c>
      <c r="AC81" s="6" t="str">
        <f aca="false">IF($J81="NA","NA",IF(AND($J81&gt;1969,AB81&gt;0),"ERRO","OK"))</f>
        <v>OK</v>
      </c>
      <c r="AD81" s="6" t="n">
        <f aca="false">(10-(LEN(AE81)))+1</f>
        <v>7</v>
      </c>
      <c r="AE81" s="6" t="n">
        <v>3947</v>
      </c>
      <c r="AF81" s="6" t="str">
        <f aca="false">IF($J81="NA","NA",IF(AND($J81&gt;1959,AE81&gt;0),"ERRO","OK"))</f>
        <v>OK</v>
      </c>
      <c r="AG81" s="6" t="n">
        <f aca="false">(10-(LEN(AH81)))+1</f>
        <v>7</v>
      </c>
      <c r="AH81" s="6" t="n">
        <v>1762</v>
      </c>
      <c r="AI81" s="6" t="str">
        <f aca="false">IF($J81="NA","NA",IF(AND($J81&gt;1949,AH81&gt;0),"ERRO","OK"))</f>
        <v>OK</v>
      </c>
      <c r="AJ81" s="6" t="n">
        <f aca="false">(10-(LEN(AK81)))+1</f>
        <v>7</v>
      </c>
      <c r="AK81" s="6" t="n">
        <v>2646</v>
      </c>
      <c r="AL81" s="6" t="str">
        <f aca="false">IF($J81="NA","NA",IF(AND($J81&gt;1939,AK81&gt;0),"ERRO","OK"))</f>
        <v>OK</v>
      </c>
      <c r="AM81" s="6" t="n">
        <f aca="false">(10-(LEN(AN81)))+1</f>
        <v>7</v>
      </c>
      <c r="AN81" s="6" t="n">
        <v>3047</v>
      </c>
      <c r="AO81" s="6" t="str">
        <f aca="false">IF($J81="NA","NA",IF(AND($J81&gt;1929,AN81&gt;0),"ERRO","OK"))</f>
        <v>OK</v>
      </c>
      <c r="AP81" s="6" t="n">
        <f aca="false">(10-(LEN(AQ81)))+1</f>
        <v>8</v>
      </c>
      <c r="AQ81" s="6" t="n">
        <v>200</v>
      </c>
      <c r="AR81" s="6" t="str">
        <f aca="false">IF($J81="NA","NA",IF(AND($J81&gt;1919,AQ81&gt;0),"ERRO","OK"))</f>
        <v>OK</v>
      </c>
      <c r="AS81" s="6" t="n">
        <f aca="false">(10-(LEN(AT81)))+1</f>
        <v>7</v>
      </c>
      <c r="AT81" s="6" t="n">
        <v>1134</v>
      </c>
      <c r="AU81" s="6" t="str">
        <f aca="false">IF($J81="NA","NA",IF(AND($J81&gt;1909,AT81&gt;0),"ERRO","OK"))</f>
        <v>OK</v>
      </c>
      <c r="AV81" s="6" t="n">
        <f aca="false">(10-(LEN(AW81)))+1</f>
        <v>10</v>
      </c>
      <c r="AW81" s="6" t="n">
        <v>0</v>
      </c>
      <c r="AX81" s="6" t="str">
        <f aca="false">IF($J81="NA","NA",IF(AND($J81&gt;1899,AW81&gt;0),"ERRO","OK"))</f>
        <v>OK</v>
      </c>
    </row>
    <row r="82" customFormat="false" ht="15" hidden="false" customHeight="false" outlineLevel="0" collapsed="false">
      <c r="A82" s="7" t="n">
        <v>79</v>
      </c>
      <c r="B82" s="0" t="s">
        <v>98</v>
      </c>
      <c r="C82" s="8" t="n">
        <v>45305</v>
      </c>
      <c r="D82" s="6" t="n">
        <v>0</v>
      </c>
      <c r="E82" s="0" t="s">
        <v>16</v>
      </c>
      <c r="F82" s="0" t="s">
        <v>17</v>
      </c>
      <c r="G82" s="9" t="str">
        <f aca="false">IF(OR(N82="ERRO",Q82="ERRO",T82="ERRO",W82="ERRO",Z82="ERRO",AC82="ERRO",AF82="ERRO",AI82="ERRO",AL82="ERRO",AO82="ERRO",AR82="ERRO",AU82="ERRO",AX82="ERRO"),"ERRO","OK")</f>
        <v>OK</v>
      </c>
      <c r="H82" s="9" t="n">
        <f aca="false">COUNTIF(L82:AX82,"ERRO")</f>
        <v>0</v>
      </c>
      <c r="I82" s="9" t="s">
        <v>18</v>
      </c>
      <c r="J82" s="10" t="n">
        <v>1886</v>
      </c>
      <c r="K82" s="10" t="n">
        <v>1973</v>
      </c>
      <c r="L82" s="6" t="n">
        <f aca="false">(10-(LEN(M82)))+1</f>
        <v>6</v>
      </c>
      <c r="M82" s="6" t="n">
        <v>21405</v>
      </c>
      <c r="N82" s="6" t="str">
        <f aca="false">IF($J82="NA","NA",IF(AND($J82&gt;2019,M82&gt;0),"ERRO","OK"))</f>
        <v>OK</v>
      </c>
      <c r="O82" s="6" t="n">
        <f aca="false">(10-(LEN(P82)))+1</f>
        <v>6</v>
      </c>
      <c r="P82" s="6" t="n">
        <v>24596</v>
      </c>
      <c r="Q82" s="6" t="str">
        <f aca="false">IF($J82="NA","NA",IF(AND($J82&gt;2009,P82&gt;0),"ERRO","OK"))</f>
        <v>OK</v>
      </c>
      <c r="R82" s="6" t="n">
        <f aca="false">(10-(LEN(S82)))+1</f>
        <v>6</v>
      </c>
      <c r="S82" s="6" t="n">
        <v>29945</v>
      </c>
      <c r="T82" s="6" t="str">
        <f aca="false">IF($J82="NA","NA",IF(AND($J82&gt;1999,S82&gt;0),"ERRO","OK"))</f>
        <v>OK</v>
      </c>
      <c r="U82" s="6" t="n">
        <f aca="false">(10-(LEN(V82)))+1</f>
        <v>6</v>
      </c>
      <c r="V82" s="6" t="n">
        <v>33114</v>
      </c>
      <c r="W82" s="6" t="str">
        <f aca="false">IF($J82="NA","NA",IF(AND($J82&gt;1989,V82&gt;0),"ERRO","OK"))</f>
        <v>OK</v>
      </c>
      <c r="X82" s="6" t="n">
        <f aca="false">(10-(LEN(Y82)))+1</f>
        <v>6</v>
      </c>
      <c r="Y82" s="6" t="n">
        <v>36279</v>
      </c>
      <c r="Z82" s="6" t="str">
        <f aca="false">IF($J82="NA","NA",IF(AND($J82&gt;1979,Y82&gt;0),"ERRO","OK"))</f>
        <v>OK</v>
      </c>
      <c r="AA82" s="6" t="n">
        <f aca="false">(10-(LEN(AB82)))+1</f>
        <v>6</v>
      </c>
      <c r="AB82" s="6" t="n">
        <v>24611</v>
      </c>
      <c r="AC82" s="6" t="str">
        <f aca="false">IF($J82="NA","NA",IF(AND($J82&gt;1969,AB82&gt;0),"ERRO","OK"))</f>
        <v>OK</v>
      </c>
      <c r="AD82" s="6" t="n">
        <f aca="false">(10-(LEN(AE82)))+1</f>
        <v>6</v>
      </c>
      <c r="AE82" s="6" t="n">
        <v>32563</v>
      </c>
      <c r="AF82" s="6" t="str">
        <f aca="false">IF($J82="NA","NA",IF(AND($J82&gt;1959,AE82&gt;0),"ERRO","OK"))</f>
        <v>OK</v>
      </c>
      <c r="AG82" s="6" t="n">
        <f aca="false">(10-(LEN(AH82)))+1</f>
        <v>6</v>
      </c>
      <c r="AH82" s="6" t="n">
        <v>20045</v>
      </c>
      <c r="AI82" s="6" t="str">
        <f aca="false">IF($J82="NA","NA",IF(AND($J82&gt;1949,AH82&gt;0),"ERRO","OK"))</f>
        <v>OK</v>
      </c>
      <c r="AJ82" s="6" t="n">
        <f aca="false">(10-(LEN(AK82)))+1</f>
        <v>6</v>
      </c>
      <c r="AK82" s="6" t="n">
        <v>18104</v>
      </c>
      <c r="AL82" s="6" t="str">
        <f aca="false">IF($J82="NA","NA",IF(AND($J82&gt;1939,AK82&gt;0),"ERRO","OK"))</f>
        <v>OK</v>
      </c>
      <c r="AM82" s="6" t="n">
        <f aca="false">(10-(LEN(AN82)))+1</f>
        <v>6</v>
      </c>
      <c r="AN82" s="6" t="n">
        <v>26658</v>
      </c>
      <c r="AO82" s="6" t="str">
        <f aca="false">IF($J82="NA","NA",IF(AND($J82&gt;1929,AN82&gt;0),"ERRO","OK"))</f>
        <v>OK</v>
      </c>
      <c r="AP82" s="6" t="n">
        <f aca="false">(10-(LEN(AQ82)))+1</f>
        <v>6</v>
      </c>
      <c r="AQ82" s="6" t="n">
        <v>17924</v>
      </c>
      <c r="AR82" s="6" t="str">
        <f aca="false">IF($J82="NA","NA",IF(AND($J82&gt;1919,AQ82&gt;0),"ERRO","OK"))</f>
        <v>OK</v>
      </c>
      <c r="AS82" s="6" t="n">
        <f aca="false">(10-(LEN(AT82)))+1</f>
        <v>6</v>
      </c>
      <c r="AT82" s="6" t="n">
        <v>18666</v>
      </c>
      <c r="AU82" s="6" t="str">
        <f aca="false">IF($J82="NA","NA",IF(AND($J82&gt;1909,AT82&gt;0),"ERRO","OK"))</f>
        <v>OK</v>
      </c>
      <c r="AV82" s="6" t="n">
        <f aca="false">(10-(LEN(AW82)))+1</f>
        <v>6</v>
      </c>
      <c r="AW82" s="6" t="n">
        <v>12799</v>
      </c>
      <c r="AX82" s="6" t="str">
        <f aca="false">IF($J82="NA","NA",IF(AND($J82&gt;1899,AW82&gt;0),"ERRO","OK"))</f>
        <v>OK</v>
      </c>
    </row>
    <row r="83" customFormat="false" ht="15" hidden="false" customHeight="false" outlineLevel="0" collapsed="false">
      <c r="A83" s="7" t="n">
        <v>80</v>
      </c>
      <c r="B83" s="0" t="s">
        <v>99</v>
      </c>
      <c r="C83" s="8" t="n">
        <v>45305</v>
      </c>
      <c r="D83" s="6" t="n">
        <v>0</v>
      </c>
      <c r="E83" s="0" t="s">
        <v>16</v>
      </c>
      <c r="F83" s="0" t="s">
        <v>17</v>
      </c>
      <c r="G83" s="9" t="str">
        <f aca="false">IF(OR(N83="ERRO",Q83="ERRO",T83="ERRO",W83="ERRO",Z83="ERRO",AC83="ERRO",AF83="ERRO",AI83="ERRO",AL83="ERRO",AO83="ERRO",AR83="ERRO",AU83="ERRO",AX83="ERRO"),"ERRO","OK")</f>
        <v>OK</v>
      </c>
      <c r="H83" s="9" t="n">
        <f aca="false">COUNTIF(L83:AX83,"ERRO")</f>
        <v>0</v>
      </c>
      <c r="I83" s="9" t="s">
        <v>18</v>
      </c>
      <c r="J83" s="10" t="n">
        <v>1888</v>
      </c>
      <c r="K83" s="10" t="n">
        <v>1956</v>
      </c>
      <c r="L83" s="6" t="n">
        <f aca="false">(10-(LEN(M83)))+1</f>
        <v>10</v>
      </c>
      <c r="M83" s="6" t="n">
        <v>0</v>
      </c>
      <c r="N83" s="6" t="str">
        <f aca="false">IF($J83="NA","NA",IF(AND($J83&gt;2019,M83&gt;0),"ERRO","OK"))</f>
        <v>OK</v>
      </c>
      <c r="O83" s="6" t="n">
        <f aca="false">(10-(LEN(P83)))+1</f>
        <v>10</v>
      </c>
      <c r="P83" s="6" t="n">
        <v>0</v>
      </c>
      <c r="Q83" s="6" t="str">
        <f aca="false">IF($J83="NA","NA",IF(AND($J83&gt;2009,P83&gt;0),"ERRO","OK"))</f>
        <v>OK</v>
      </c>
      <c r="R83" s="6" t="n">
        <f aca="false">(10-(LEN(S83)))+1</f>
        <v>10</v>
      </c>
      <c r="S83" s="6" t="n">
        <v>0</v>
      </c>
      <c r="T83" s="6" t="str">
        <f aca="false">IF($J83="NA","NA",IF(AND($J83&gt;1999,S83&gt;0),"ERRO","OK"))</f>
        <v>OK</v>
      </c>
      <c r="U83" s="6" t="n">
        <f aca="false">(10-(LEN(V83)))+1</f>
        <v>10</v>
      </c>
      <c r="V83" s="6" t="n">
        <v>0</v>
      </c>
      <c r="W83" s="6" t="str">
        <f aca="false">IF($J83="NA","NA",IF(AND($J83&gt;1989,V83&gt;0),"ERRO","OK"))</f>
        <v>OK</v>
      </c>
      <c r="X83" s="6" t="n">
        <f aca="false">(10-(LEN(Y83)))+1</f>
        <v>10</v>
      </c>
      <c r="Y83" s="6" t="n">
        <v>0</v>
      </c>
      <c r="Z83" s="6" t="str">
        <f aca="false">IF($J83="NA","NA",IF(AND($J83&gt;1979,Y83&gt;0),"ERRO","OK"))</f>
        <v>OK</v>
      </c>
      <c r="AA83" s="6" t="n">
        <f aca="false">(10-(LEN(AB83)))+1</f>
        <v>10</v>
      </c>
      <c r="AB83" s="6" t="n">
        <v>0</v>
      </c>
      <c r="AC83" s="6" t="str">
        <f aca="false">IF($J83="NA","NA",IF(AND($J83&gt;1969,AB83&gt;0),"ERRO","OK"))</f>
        <v>OK</v>
      </c>
      <c r="AD83" s="6" t="n">
        <f aca="false">(10-(LEN(AE83)))+1</f>
        <v>10</v>
      </c>
      <c r="AE83" s="6" t="n">
        <v>0</v>
      </c>
      <c r="AF83" s="6" t="str">
        <f aca="false">IF($J83="NA","NA",IF(AND($J83&gt;1959,AE83&gt;0),"ERRO","OK"))</f>
        <v>OK</v>
      </c>
      <c r="AG83" s="6" t="n">
        <f aca="false">(10-(LEN(AH83)))+1</f>
        <v>10</v>
      </c>
      <c r="AH83" s="6" t="n">
        <v>0</v>
      </c>
      <c r="AI83" s="6" t="str">
        <f aca="false">IF($J83="NA","NA",IF(AND($J83&gt;1949,AH83&gt;0),"ERRO","OK"))</f>
        <v>OK</v>
      </c>
      <c r="AJ83" s="6" t="n">
        <f aca="false">(10-(LEN(AK83)))+1</f>
        <v>10</v>
      </c>
      <c r="AK83" s="6" t="n">
        <v>0</v>
      </c>
      <c r="AL83" s="6" t="str">
        <f aca="false">IF($J83="NA","NA",IF(AND($J83&gt;1939,AK83&gt;0),"ERRO","OK"))</f>
        <v>OK</v>
      </c>
      <c r="AM83" s="6" t="n">
        <f aca="false">(10-(LEN(AN83)))+1</f>
        <v>10</v>
      </c>
      <c r="AN83" s="6" t="n">
        <v>0</v>
      </c>
      <c r="AO83" s="6" t="str">
        <f aca="false">IF($J83="NA","NA",IF(AND($J83&gt;1929,AN83&gt;0),"ERRO","OK"))</f>
        <v>OK</v>
      </c>
      <c r="AP83" s="6" t="n">
        <f aca="false">(10-(LEN(AQ83)))+1</f>
        <v>10</v>
      </c>
      <c r="AQ83" s="6" t="n">
        <v>0</v>
      </c>
      <c r="AR83" s="6" t="str">
        <f aca="false">IF($J83="NA","NA",IF(AND($J83&gt;1919,AQ83&gt;0),"ERRO","OK"))</f>
        <v>OK</v>
      </c>
      <c r="AS83" s="6" t="n">
        <f aca="false">(10-(LEN(AT83)))+1</f>
        <v>10</v>
      </c>
      <c r="AT83" s="6" t="n">
        <v>0</v>
      </c>
      <c r="AU83" s="6" t="str">
        <f aca="false">IF($J83="NA","NA",IF(AND($J83&gt;1909,AT83&gt;0),"ERRO","OK"))</f>
        <v>OK</v>
      </c>
      <c r="AV83" s="6" t="n">
        <f aca="false">(10-(LEN(AW83)))+1</f>
        <v>10</v>
      </c>
      <c r="AW83" s="6" t="n">
        <v>0</v>
      </c>
      <c r="AX83" s="6" t="str">
        <f aca="false">IF($J83="NA","NA",IF(AND($J83&gt;1899,AW83&gt;0),"ERRO","OK"))</f>
        <v>OK</v>
      </c>
    </row>
    <row r="84" customFormat="false" ht="15" hidden="false" customHeight="false" outlineLevel="0" collapsed="false">
      <c r="A84" s="7" t="n">
        <v>81</v>
      </c>
      <c r="B84" s="0" t="s">
        <v>100</v>
      </c>
      <c r="C84" s="8" t="n">
        <v>45307</v>
      </c>
      <c r="D84" s="6" t="n">
        <v>0</v>
      </c>
      <c r="E84" s="0" t="s">
        <v>16</v>
      </c>
      <c r="F84" s="0" t="s">
        <v>17</v>
      </c>
      <c r="G84" s="9" t="str">
        <f aca="false">IF(OR(N84="ERRO",Q84="ERRO",T84="ERRO",W84="ERRO",Z84="ERRO",AC84="ERRO",AF84="ERRO",AI84="ERRO",AL84="ERRO",AO84="ERRO",AR84="ERRO",AU84="ERRO",AX84="ERRO"),"ERRO","OK")</f>
        <v>OK</v>
      </c>
      <c r="H84" s="9" t="n">
        <f aca="false">COUNTIF(L84:AX84,"ERRO")</f>
        <v>0</v>
      </c>
      <c r="I84" s="9" t="s">
        <v>18</v>
      </c>
      <c r="J84" s="10" t="n">
        <v>1883</v>
      </c>
      <c r="K84" s="10" t="n">
        <v>1966</v>
      </c>
      <c r="L84" s="6" t="n">
        <f aca="false">(10-(LEN(M84)))+1</f>
        <v>7</v>
      </c>
      <c r="M84" s="6" t="n">
        <v>4664</v>
      </c>
      <c r="N84" s="6" t="str">
        <f aca="false">IF($J84="NA","NA",IF(AND($J84&gt;2019,M84&gt;0),"ERRO","OK"))</f>
        <v>OK</v>
      </c>
      <c r="O84" s="6" t="n">
        <f aca="false">(10-(LEN(P84)))+1</f>
        <v>6</v>
      </c>
      <c r="P84" s="6" t="n">
        <v>11526</v>
      </c>
      <c r="Q84" s="6" t="str">
        <f aca="false">IF($J84="NA","NA",IF(AND($J84&gt;2009,P84&gt;0),"ERRO","OK"))</f>
        <v>OK</v>
      </c>
      <c r="R84" s="6" t="n">
        <f aca="false">(10-(LEN(S84)))+1</f>
        <v>7</v>
      </c>
      <c r="S84" s="6" t="n">
        <v>6554</v>
      </c>
      <c r="T84" s="6" t="str">
        <f aca="false">IF($J84="NA","NA",IF(AND($J84&gt;1999,S84&gt;0),"ERRO","OK"))</f>
        <v>OK</v>
      </c>
      <c r="U84" s="6" t="n">
        <f aca="false">(10-(LEN(V84)))+1</f>
        <v>7</v>
      </c>
      <c r="V84" s="6" t="n">
        <v>8095</v>
      </c>
      <c r="W84" s="6" t="str">
        <f aca="false">IF($J84="NA","NA",IF(AND($J84&gt;1989,V84&gt;0),"ERRO","OK"))</f>
        <v>OK</v>
      </c>
      <c r="X84" s="6" t="n">
        <f aca="false">(10-(LEN(Y84)))+1</f>
        <v>7</v>
      </c>
      <c r="Y84" s="6" t="n">
        <v>6635</v>
      </c>
      <c r="Z84" s="6" t="str">
        <f aca="false">IF($J84="NA","NA",IF(AND($J84&gt;1979,Y84&gt;0),"ERRO","OK"))</f>
        <v>OK</v>
      </c>
      <c r="AA84" s="6" t="n">
        <f aca="false">(10-(LEN(AB84)))+1</f>
        <v>6</v>
      </c>
      <c r="AB84" s="6" t="n">
        <v>28127</v>
      </c>
      <c r="AC84" s="6" t="str">
        <f aca="false">IF($J84="NA","NA",IF(AND($J84&gt;1969,AB84&gt;0),"ERRO","OK"))</f>
        <v>OK</v>
      </c>
      <c r="AD84" s="6" t="n">
        <f aca="false">(10-(LEN(AE84)))+1</f>
        <v>6</v>
      </c>
      <c r="AE84" s="6" t="n">
        <v>18031</v>
      </c>
      <c r="AF84" s="6" t="str">
        <f aca="false">IF($J84="NA","NA",IF(AND($J84&gt;1959,AE84&gt;0),"ERRO","OK"))</f>
        <v>OK</v>
      </c>
      <c r="AG84" s="6" t="n">
        <f aca="false">(10-(LEN(AH84)))+1</f>
        <v>6</v>
      </c>
      <c r="AH84" s="6" t="n">
        <v>48350</v>
      </c>
      <c r="AI84" s="6" t="str">
        <f aca="false">IF($J84="NA","NA",IF(AND($J84&gt;1949,AH84&gt;0),"ERRO","OK"))</f>
        <v>OK</v>
      </c>
      <c r="AJ84" s="6" t="n">
        <f aca="false">(10-(LEN(AK84)))+1</f>
        <v>6</v>
      </c>
      <c r="AK84" s="6" t="n">
        <v>52779</v>
      </c>
      <c r="AL84" s="6" t="str">
        <f aca="false">IF($J84="NA","NA",IF(AND($J84&gt;1939,AK84&gt;0),"ERRO","OK"))</f>
        <v>OK</v>
      </c>
      <c r="AM84" s="6" t="n">
        <f aca="false">(10-(LEN(AN84)))+1</f>
        <v>6</v>
      </c>
      <c r="AN84" s="6" t="n">
        <v>66873</v>
      </c>
      <c r="AO84" s="6" t="str">
        <f aca="false">IF($J84="NA","NA",IF(AND($J84&gt;1929,AN84&gt;0),"ERRO","OK"))</f>
        <v>OK</v>
      </c>
      <c r="AP84" s="6" t="n">
        <f aca="false">(10-(LEN(AQ84)))+1</f>
        <v>6</v>
      </c>
      <c r="AQ84" s="6" t="n">
        <v>38251</v>
      </c>
      <c r="AR84" s="6" t="str">
        <f aca="false">IF($J84="NA","NA",IF(AND($J84&gt;1919,AQ84&gt;0),"ERRO","OK"))</f>
        <v>OK</v>
      </c>
      <c r="AS84" s="6" t="n">
        <f aca="false">(10-(LEN(AT84)))+1</f>
        <v>10</v>
      </c>
      <c r="AT84" s="6" t="n">
        <v>0</v>
      </c>
      <c r="AU84" s="6" t="str">
        <f aca="false">IF($J84="NA","NA",IF(AND($J84&gt;1909,AT84&gt;0),"ERRO","OK"))</f>
        <v>OK</v>
      </c>
      <c r="AV84" s="6" t="n">
        <f aca="false">(10-(LEN(AW84)))+1</f>
        <v>10</v>
      </c>
      <c r="AW84" s="6" t="n">
        <v>0</v>
      </c>
      <c r="AX84" s="6" t="str">
        <f aca="false">IF($J84="NA","NA",IF(AND($J84&gt;1899,AW84&gt;0),"ERRO","OK"))</f>
        <v>OK</v>
      </c>
    </row>
    <row r="85" customFormat="false" ht="15" hidden="false" customHeight="false" outlineLevel="0" collapsed="false">
      <c r="A85" s="7" t="n">
        <v>82</v>
      </c>
      <c r="B85" s="0" t="s">
        <v>101</v>
      </c>
      <c r="C85" s="8" t="n">
        <v>45307</v>
      </c>
      <c r="D85" s="6" t="n">
        <v>0</v>
      </c>
      <c r="E85" s="0" t="s">
        <v>16</v>
      </c>
      <c r="F85" s="0" t="s">
        <v>17</v>
      </c>
      <c r="G85" s="9" t="str">
        <f aca="false">IF(OR(N85="ERRO",Q85="ERRO",T85="ERRO",W85="ERRO",Z85="ERRO",AC85="ERRO",AF85="ERRO",AI85="ERRO",AL85="ERRO",AO85="ERRO",AR85="ERRO",AU85="ERRO",AX85="ERRO"),"ERRO","OK")</f>
        <v>OK</v>
      </c>
      <c r="H85" s="9" t="n">
        <f aca="false">COUNTIF(L85:AX85,"ERRO")</f>
        <v>0</v>
      </c>
      <c r="I85" s="9" t="s">
        <v>18</v>
      </c>
      <c r="J85" s="10" t="n">
        <v>1892</v>
      </c>
      <c r="K85" s="10" t="n">
        <v>1974</v>
      </c>
      <c r="L85" s="6" t="n">
        <f aca="false">(10-(LEN(M85)))+1</f>
        <v>6</v>
      </c>
      <c r="M85" s="6" t="n">
        <v>20281</v>
      </c>
      <c r="N85" s="6" t="str">
        <f aca="false">IF($J85="NA","NA",IF(AND($J85&gt;2019,M85&gt;0),"ERRO","OK"))</f>
        <v>OK</v>
      </c>
      <c r="O85" s="6" t="n">
        <f aca="false">(10-(LEN(P85)))+1</f>
        <v>6</v>
      </c>
      <c r="P85" s="6" t="n">
        <v>22984</v>
      </c>
      <c r="Q85" s="6" t="str">
        <f aca="false">IF($J85="NA","NA",IF(AND($J85&gt;2009,P85&gt;0),"ERRO","OK"))</f>
        <v>OK</v>
      </c>
      <c r="R85" s="6" t="n">
        <f aca="false">(10-(LEN(S85)))+1</f>
        <v>6</v>
      </c>
      <c r="S85" s="6" t="n">
        <v>35713</v>
      </c>
      <c r="T85" s="6" t="str">
        <f aca="false">IF($J85="NA","NA",IF(AND($J85&gt;1999,S85&gt;0),"ERRO","OK"))</f>
        <v>OK</v>
      </c>
      <c r="U85" s="6" t="n">
        <f aca="false">(10-(LEN(V85)))+1</f>
        <v>6</v>
      </c>
      <c r="V85" s="6" t="n">
        <v>40197</v>
      </c>
      <c r="W85" s="6" t="str">
        <f aca="false">IF($J85="NA","NA",IF(AND($J85&gt;1989,V85&gt;0),"ERRO","OK"))</f>
        <v>OK</v>
      </c>
      <c r="X85" s="6" t="n">
        <f aca="false">(10-(LEN(Y85)))+1</f>
        <v>6</v>
      </c>
      <c r="Y85" s="6" t="n">
        <v>41309</v>
      </c>
      <c r="Z85" s="6" t="str">
        <f aca="false">IF($J85="NA","NA",IF(AND($J85&gt;1979,Y85&gt;0),"ERRO","OK"))</f>
        <v>OK</v>
      </c>
      <c r="AA85" s="6" t="n">
        <f aca="false">(10-(LEN(AB85)))+1</f>
        <v>6</v>
      </c>
      <c r="AB85" s="6" t="n">
        <v>33108</v>
      </c>
      <c r="AC85" s="6" t="str">
        <f aca="false">IF($J85="NA","NA",IF(AND($J85&gt;1969,AB85&gt;0),"ERRO","OK"))</f>
        <v>OK</v>
      </c>
      <c r="AD85" s="6" t="n">
        <f aca="false">(10-(LEN(AE85)))+1</f>
        <v>6</v>
      </c>
      <c r="AE85" s="6" t="n">
        <v>45929</v>
      </c>
      <c r="AF85" s="6" t="str">
        <f aca="false">IF($J85="NA","NA",IF(AND($J85&gt;1959,AE85&gt;0),"ERRO","OK"))</f>
        <v>OK</v>
      </c>
      <c r="AG85" s="6" t="n">
        <f aca="false">(10-(LEN(AH85)))+1</f>
        <v>6</v>
      </c>
      <c r="AH85" s="6" t="n">
        <v>58043</v>
      </c>
      <c r="AI85" s="6" t="str">
        <f aca="false">IF($J85="NA","NA",IF(AND($J85&gt;1949,AH85&gt;0),"ERRO","OK"))</f>
        <v>OK</v>
      </c>
      <c r="AJ85" s="6" t="n">
        <f aca="false">(10-(LEN(AK85)))+1</f>
        <v>6</v>
      </c>
      <c r="AK85" s="6" t="n">
        <v>28409</v>
      </c>
      <c r="AL85" s="6" t="str">
        <f aca="false">IF($J85="NA","NA",IF(AND($J85&gt;1939,AK85&gt;0),"ERRO","OK"))</f>
        <v>OK</v>
      </c>
      <c r="AM85" s="6" t="n">
        <f aca="false">(10-(LEN(AN85)))+1</f>
        <v>6</v>
      </c>
      <c r="AN85" s="6" t="n">
        <v>14928</v>
      </c>
      <c r="AO85" s="6" t="str">
        <f aca="false">IF($J85="NA","NA",IF(AND($J85&gt;1929,AN85&gt;0),"ERRO","OK"))</f>
        <v>OK</v>
      </c>
      <c r="AP85" s="6" t="n">
        <f aca="false">(10-(LEN(AQ85)))+1</f>
        <v>7</v>
      </c>
      <c r="AQ85" s="6" t="n">
        <v>2804</v>
      </c>
      <c r="AR85" s="6" t="str">
        <f aca="false">IF($J85="NA","NA",IF(AND($J85&gt;1919,AQ85&gt;0),"ERRO","OK"))</f>
        <v>OK</v>
      </c>
      <c r="AS85" s="6" t="n">
        <f aca="false">(10-(LEN(AT85)))+1</f>
        <v>10</v>
      </c>
      <c r="AT85" s="6" t="n">
        <v>0</v>
      </c>
      <c r="AU85" s="6" t="str">
        <f aca="false">IF($J85="NA","NA",IF(AND($J85&gt;1909,AT85&gt;0),"ERRO","OK"))</f>
        <v>OK</v>
      </c>
      <c r="AV85" s="6" t="n">
        <f aca="false">(10-(LEN(AW85)))+1</f>
        <v>10</v>
      </c>
      <c r="AW85" s="6" t="n">
        <v>0</v>
      </c>
      <c r="AX85" s="6" t="str">
        <f aca="false">IF($J85="NA","NA",IF(AND($J85&gt;1899,AW85&gt;0),"ERRO","OK"))</f>
        <v>OK</v>
      </c>
    </row>
    <row r="86" customFormat="false" ht="15" hidden="false" customHeight="false" outlineLevel="0" collapsed="false">
      <c r="A86" s="7" t="n">
        <v>83</v>
      </c>
      <c r="B86" s="0" t="s">
        <v>102</v>
      </c>
      <c r="C86" s="8" t="n">
        <v>45307</v>
      </c>
      <c r="D86" s="6" t="n">
        <v>0</v>
      </c>
      <c r="E86" s="0" t="s">
        <v>16</v>
      </c>
      <c r="F86" s="0" t="s">
        <v>17</v>
      </c>
      <c r="G86" s="9" t="str">
        <f aca="false">IF(OR(N86="ERRO",Q86="ERRO",T86="ERRO",W86="ERRO",Z86="ERRO",AC86="ERRO",AF86="ERRO",AI86="ERRO",AL86="ERRO",AO86="ERRO",AR86="ERRO",AU86="ERRO",AX86="ERRO"),"ERRO","OK")</f>
        <v>OK</v>
      </c>
      <c r="H86" s="9" t="n">
        <f aca="false">COUNTIF(L86:AX86,"ERRO")</f>
        <v>0</v>
      </c>
      <c r="I86" s="9" t="s">
        <v>18</v>
      </c>
      <c r="J86" s="10" t="n">
        <v>1896</v>
      </c>
      <c r="K86" s="10" t="n">
        <v>1966</v>
      </c>
      <c r="L86" s="6" t="n">
        <f aca="false">(10-(LEN(M86)))+1</f>
        <v>5</v>
      </c>
      <c r="M86" s="6" t="n">
        <v>118894</v>
      </c>
      <c r="N86" s="6" t="str">
        <f aca="false">IF($J86="NA","NA",IF(AND($J86&gt;2019,M86&gt;0),"ERRO","OK"))</f>
        <v>OK</v>
      </c>
      <c r="O86" s="6" t="n">
        <f aca="false">(10-(LEN(P86)))+1</f>
        <v>6</v>
      </c>
      <c r="P86" s="6" t="n">
        <v>72073</v>
      </c>
      <c r="Q86" s="6" t="str">
        <f aca="false">IF($J86="NA","NA",IF(AND($J86&gt;2009,P86&gt;0),"ERRO","OK"))</f>
        <v>OK</v>
      </c>
      <c r="R86" s="6" t="n">
        <f aca="false">(10-(LEN(S86)))+1</f>
        <v>6</v>
      </c>
      <c r="S86" s="6" t="n">
        <v>37058</v>
      </c>
      <c r="T86" s="6" t="str">
        <f aca="false">IF($J86="NA","NA",IF(AND($J86&gt;1999,S86&gt;0),"ERRO","OK"))</f>
        <v>OK</v>
      </c>
      <c r="U86" s="6" t="n">
        <f aca="false">(10-(LEN(V86)))+1</f>
        <v>6</v>
      </c>
      <c r="V86" s="6" t="n">
        <v>25296</v>
      </c>
      <c r="W86" s="6" t="str">
        <f aca="false">IF($J86="NA","NA",IF(AND($J86&gt;1989,V86&gt;0),"ERRO","OK"))</f>
        <v>OK</v>
      </c>
      <c r="X86" s="6" t="n">
        <f aca="false">(10-(LEN(Y86)))+1</f>
        <v>6</v>
      </c>
      <c r="Y86" s="6" t="n">
        <v>19049</v>
      </c>
      <c r="Z86" s="6" t="str">
        <f aca="false">IF($J86="NA","NA",IF(AND($J86&gt;1979,Y86&gt;0),"ERRO","OK"))</f>
        <v>OK</v>
      </c>
      <c r="AA86" s="6" t="n">
        <f aca="false">(10-(LEN(AB86)))+1</f>
        <v>6</v>
      </c>
      <c r="AB86" s="6" t="n">
        <v>22033</v>
      </c>
      <c r="AC86" s="6" t="str">
        <f aca="false">IF($J86="NA","NA",IF(AND($J86&gt;1969,AB86&gt;0),"ERRO","OK"))</f>
        <v>OK</v>
      </c>
      <c r="AD86" s="6" t="n">
        <f aca="false">(10-(LEN(AE86)))+1</f>
        <v>6</v>
      </c>
      <c r="AE86" s="6" t="n">
        <v>13366</v>
      </c>
      <c r="AF86" s="6" t="str">
        <f aca="false">IF($J86="NA","NA",IF(AND($J86&gt;1959,AE86&gt;0),"ERRO","OK"))</f>
        <v>OK</v>
      </c>
      <c r="AG86" s="6" t="n">
        <f aca="false">(10-(LEN(AH86)))+1</f>
        <v>6</v>
      </c>
      <c r="AH86" s="6" t="n">
        <v>11014</v>
      </c>
      <c r="AI86" s="6" t="str">
        <f aca="false">IF($J86="NA","NA",IF(AND($J86&gt;1949,AH86&gt;0),"ERRO","OK"))</f>
        <v>OK</v>
      </c>
      <c r="AJ86" s="6" t="n">
        <f aca="false">(10-(LEN(AK86)))+1</f>
        <v>7</v>
      </c>
      <c r="AK86" s="6" t="n">
        <v>9052</v>
      </c>
      <c r="AL86" s="6" t="str">
        <f aca="false">IF($J86="NA","NA",IF(AND($J86&gt;1939,AK86&gt;0),"ERRO","OK"))</f>
        <v>OK</v>
      </c>
      <c r="AM86" s="6" t="n">
        <f aca="false">(10-(LEN(AN86)))+1</f>
        <v>7</v>
      </c>
      <c r="AN86" s="6" t="n">
        <v>1828</v>
      </c>
      <c r="AO86" s="6" t="str">
        <f aca="false">IF($J86="NA","NA",IF(AND($J86&gt;1929,AN86&gt;0),"ERRO","OK"))</f>
        <v>OK</v>
      </c>
      <c r="AP86" s="6" t="n">
        <f aca="false">(10-(LEN(AQ86)))+1</f>
        <v>10</v>
      </c>
      <c r="AQ86" s="6" t="n">
        <v>0</v>
      </c>
      <c r="AR86" s="6" t="str">
        <f aca="false">IF($J86="NA","NA",IF(AND($J86&gt;1919,AQ86&gt;0),"ERRO","OK"))</f>
        <v>OK</v>
      </c>
      <c r="AS86" s="6" t="n">
        <f aca="false">(10-(LEN(AT86)))+1</f>
        <v>10</v>
      </c>
      <c r="AT86" s="6" t="n">
        <v>0</v>
      </c>
      <c r="AU86" s="6" t="str">
        <f aca="false">IF($J86="NA","NA",IF(AND($J86&gt;1909,AT86&gt;0),"ERRO","OK"))</f>
        <v>OK</v>
      </c>
      <c r="AV86" s="6" t="n">
        <f aca="false">(10-(LEN(AW86)))+1</f>
        <v>10</v>
      </c>
      <c r="AW86" s="6" t="n">
        <v>0</v>
      </c>
      <c r="AX86" s="6" t="str">
        <f aca="false">IF($J86="NA","NA",IF(AND($J86&gt;1899,AW86&gt;0),"ERRO","OK"))</f>
        <v>OK</v>
      </c>
    </row>
    <row r="87" customFormat="false" ht="15" hidden="false" customHeight="false" outlineLevel="0" collapsed="false">
      <c r="A87" s="7" t="n">
        <v>84</v>
      </c>
      <c r="B87" s="0" t="s">
        <v>103</v>
      </c>
      <c r="C87" s="8" t="n">
        <v>45307</v>
      </c>
      <c r="D87" s="6" t="n">
        <v>0</v>
      </c>
      <c r="E87" s="0" t="s">
        <v>16</v>
      </c>
      <c r="F87" s="0" t="s">
        <v>17</v>
      </c>
      <c r="G87" s="9" t="str">
        <f aca="false">IF(OR(N87="ERRO",Q87="ERRO",T87="ERRO",W87="ERRO",Z87="ERRO",AC87="ERRO",AF87="ERRO",AI87="ERRO",AL87="ERRO",AO87="ERRO",AR87="ERRO",AU87="ERRO",AX87="ERRO"),"ERRO","OK")</f>
        <v>OK</v>
      </c>
      <c r="H87" s="9" t="n">
        <f aca="false">COUNTIF(L87:AX87,"ERRO")</f>
        <v>0</v>
      </c>
      <c r="I87" s="9" t="s">
        <v>104</v>
      </c>
      <c r="J87" s="10" t="n">
        <v>1881</v>
      </c>
      <c r="K87" s="10" t="n">
        <v>1961</v>
      </c>
      <c r="L87" s="6" t="n">
        <f aca="false">(10-(LEN(M87)))+1</f>
        <v>5</v>
      </c>
      <c r="M87" s="6" t="n">
        <v>934287</v>
      </c>
      <c r="N87" s="6" t="str">
        <f aca="false">IF($J87="NA","NA",IF(AND($J87&gt;2019,M87&gt;0),"ERRO","OK"))</f>
        <v>OK</v>
      </c>
      <c r="O87" s="6" t="n">
        <f aca="false">(10-(LEN(P87)))+1</f>
        <v>5</v>
      </c>
      <c r="P87" s="6" t="n">
        <v>953649</v>
      </c>
      <c r="Q87" s="6" t="str">
        <f aca="false">IF($J87="NA","NA",IF(AND($J87&gt;2009,P87&gt;0),"ERRO","OK"))</f>
        <v>OK</v>
      </c>
      <c r="R87" s="6" t="n">
        <f aca="false">(10-(LEN(S87)))+1</f>
        <v>5</v>
      </c>
      <c r="S87" s="6" t="n">
        <v>814139</v>
      </c>
      <c r="T87" s="6" t="str">
        <f aca="false">IF($J87="NA","NA",IF(AND($J87&gt;1999,S87&gt;0),"ERRO","OK"))</f>
        <v>OK</v>
      </c>
      <c r="U87" s="6" t="n">
        <f aca="false">(10-(LEN(V87)))+1</f>
        <v>5</v>
      </c>
      <c r="V87" s="6" t="n">
        <v>836181</v>
      </c>
      <c r="W87" s="6" t="str">
        <f aca="false">IF($J87="NA","NA",IF(AND($J87&gt;1989,V87&gt;0),"ERRO","OK"))</f>
        <v>OK</v>
      </c>
      <c r="X87" s="6" t="n">
        <f aca="false">(10-(LEN(Y87)))+1</f>
        <v>5</v>
      </c>
      <c r="Y87" s="6" t="n">
        <v>617774</v>
      </c>
      <c r="Z87" s="6" t="str">
        <f aca="false">IF($J87="NA","NA",IF(AND($J87&gt;1979,Y87&gt;0),"ERRO","OK"))</f>
        <v>OK</v>
      </c>
      <c r="AA87" s="6" t="n">
        <f aca="false">(10-(LEN(AB87)))+1</f>
        <v>5</v>
      </c>
      <c r="AB87" s="6" t="n">
        <v>637543</v>
      </c>
      <c r="AC87" s="6" t="str">
        <f aca="false">IF($J87="NA","NA",IF(AND($J87&gt;1969,AB87&gt;0),"ERRO","OK"))</f>
        <v>OK</v>
      </c>
      <c r="AD87" s="6" t="n">
        <f aca="false">(10-(LEN(AE87)))+1</f>
        <v>5</v>
      </c>
      <c r="AE87" s="6" t="n">
        <v>387702</v>
      </c>
      <c r="AF87" s="6" t="str">
        <f aca="false">IF($J87="NA","NA",IF(AND($J87&gt;1959,AE87&gt;0),"ERRO","OK"))</f>
        <v>OK</v>
      </c>
      <c r="AG87" s="6" t="n">
        <f aca="false">(10-(LEN(AH87)))+1</f>
        <v>5</v>
      </c>
      <c r="AH87" s="6" t="n">
        <v>280411</v>
      </c>
      <c r="AI87" s="6" t="str">
        <f aca="false">IF($J87="NA","NA",IF(AND($J87&gt;1949,AH87&gt;0),"ERRO","OK"))</f>
        <v>OK</v>
      </c>
      <c r="AJ87" s="6" t="n">
        <f aca="false">(10-(LEN(AK87)))+1</f>
        <v>5</v>
      </c>
      <c r="AK87" s="6" t="n">
        <v>139397</v>
      </c>
      <c r="AL87" s="6" t="str">
        <f aca="false">IF($J87="NA","NA",IF(AND($J87&gt;1939,AK87&gt;0),"ERRO","OK"))</f>
        <v>OK</v>
      </c>
      <c r="AM87" s="6" t="n">
        <f aca="false">(10-(LEN(AN87)))+1</f>
        <v>6</v>
      </c>
      <c r="AN87" s="6" t="n">
        <v>72814</v>
      </c>
      <c r="AO87" s="6" t="str">
        <f aca="false">IF($J87="NA","NA",IF(AND($J87&gt;1929,AN87&gt;0),"ERRO","OK"))</f>
        <v>OK</v>
      </c>
      <c r="AP87" s="6" t="n">
        <f aca="false">(10-(LEN(AQ87)))+1</f>
        <v>6</v>
      </c>
      <c r="AQ87" s="6" t="n">
        <v>31142</v>
      </c>
      <c r="AR87" s="6" t="str">
        <f aca="false">IF($J87="NA","NA",IF(AND($J87&gt;1919,AQ87&gt;0),"ERRO","OK"))</f>
        <v>OK</v>
      </c>
      <c r="AS87" s="6" t="n">
        <f aca="false">(10-(LEN(AT87)))+1</f>
        <v>6</v>
      </c>
      <c r="AT87" s="6" t="n">
        <v>28978</v>
      </c>
      <c r="AU87" s="6" t="str">
        <f aca="false">IF($J87="NA","NA",IF(AND($J87&gt;1909,AT87&gt;0),"ERRO","OK"))</f>
        <v>OK</v>
      </c>
      <c r="AV87" s="6" t="n">
        <f aca="false">(10-(LEN(AW87)))+1</f>
        <v>6</v>
      </c>
      <c r="AW87" s="6" t="n">
        <v>24507</v>
      </c>
      <c r="AX87" s="6" t="str">
        <f aca="false">IF($J87="NA","NA",IF(AND($J87&gt;1899,AW87&gt;0),"ERRO","OK"))</f>
        <v>OK</v>
      </c>
    </row>
    <row r="88" customFormat="false" ht="15" hidden="false" customHeight="false" outlineLevel="0" collapsed="false">
      <c r="A88" s="7" t="n">
        <v>85</v>
      </c>
      <c r="B88" s="0" t="s">
        <v>105</v>
      </c>
      <c r="C88" s="8" t="n">
        <v>45307</v>
      </c>
      <c r="D88" s="6" t="n">
        <v>0</v>
      </c>
      <c r="E88" s="0" t="s">
        <v>16</v>
      </c>
      <c r="F88" s="0" t="s">
        <v>17</v>
      </c>
      <c r="G88" s="9" t="str">
        <f aca="false">IF(OR(N88="ERRO",Q88="ERRO",T88="ERRO",W88="ERRO",Z88="ERRO",AC88="ERRO",AF88="ERRO",AI88="ERRO",AL88="ERRO",AO88="ERRO",AR88="ERRO",AU88="ERRO",AX88="ERRO"),"ERRO","OK")</f>
        <v>OK</v>
      </c>
      <c r="H88" s="9" t="n">
        <f aca="false">COUNTIF(L88:AX88,"ERRO")</f>
        <v>0</v>
      </c>
      <c r="I88" s="9" t="s">
        <v>18</v>
      </c>
      <c r="J88" s="10" t="s">
        <v>22</v>
      </c>
      <c r="K88" s="10" t="s">
        <v>22</v>
      </c>
      <c r="L88" s="6" t="n">
        <f aca="false">(10-(LEN(M88)))+1</f>
        <v>10</v>
      </c>
      <c r="M88" s="6" t="n">
        <v>0</v>
      </c>
      <c r="N88" s="6" t="str">
        <f aca="false">IF($J88="NA","NA",IF(AND($J88&gt;2019,M88&gt;0),"ERRO","OK"))</f>
        <v>NA</v>
      </c>
      <c r="O88" s="6" t="n">
        <f aca="false">(10-(LEN(P88)))+1</f>
        <v>10</v>
      </c>
      <c r="P88" s="6" t="n">
        <v>0</v>
      </c>
      <c r="Q88" s="6" t="str">
        <f aca="false">IF($J88="NA","NA",IF(AND($J88&gt;2009,P88&gt;0),"ERRO","OK"))</f>
        <v>NA</v>
      </c>
      <c r="R88" s="6" t="n">
        <f aca="false">(10-(LEN(S88)))+1</f>
        <v>10</v>
      </c>
      <c r="S88" s="6" t="n">
        <v>0</v>
      </c>
      <c r="T88" s="6" t="str">
        <f aca="false">IF($J88="NA","NA",IF(AND($J88&gt;1999,S88&gt;0),"ERRO","OK"))</f>
        <v>NA</v>
      </c>
      <c r="U88" s="6" t="n">
        <f aca="false">(10-(LEN(V88)))+1</f>
        <v>10</v>
      </c>
      <c r="V88" s="6" t="n">
        <v>0</v>
      </c>
      <c r="W88" s="6" t="str">
        <f aca="false">IF($J88="NA","NA",IF(AND($J88&gt;1989,V88&gt;0),"ERRO","OK"))</f>
        <v>NA</v>
      </c>
      <c r="X88" s="6" t="n">
        <f aca="false">(10-(LEN(Y88)))+1</f>
        <v>10</v>
      </c>
      <c r="Y88" s="6" t="n">
        <v>0</v>
      </c>
      <c r="Z88" s="6" t="str">
        <f aca="false">IF($J88="NA","NA",IF(AND($J88&gt;1979,Y88&gt;0),"ERRO","OK"))</f>
        <v>NA</v>
      </c>
      <c r="AA88" s="6" t="n">
        <f aca="false">(10-(LEN(AB88)))+1</f>
        <v>10</v>
      </c>
      <c r="AB88" s="6" t="n">
        <v>0</v>
      </c>
      <c r="AC88" s="6" t="str">
        <f aca="false">IF($J88="NA","NA",IF(AND($J88&gt;1969,AB88&gt;0),"ERRO","OK"))</f>
        <v>NA</v>
      </c>
      <c r="AD88" s="6" t="n">
        <f aca="false">(10-(LEN(AE88)))+1</f>
        <v>10</v>
      </c>
      <c r="AE88" s="6" t="n">
        <v>0</v>
      </c>
      <c r="AF88" s="6" t="str">
        <f aca="false">IF($J88="NA","NA",IF(AND($J88&gt;1959,AE88&gt;0),"ERRO","OK"))</f>
        <v>NA</v>
      </c>
      <c r="AG88" s="6" t="n">
        <f aca="false">(10-(LEN(AH88)))+1</f>
        <v>10</v>
      </c>
      <c r="AH88" s="6" t="n">
        <v>0</v>
      </c>
      <c r="AI88" s="6" t="str">
        <f aca="false">IF($J88="NA","NA",IF(AND($J88&gt;1949,AH88&gt;0),"ERRO","OK"))</f>
        <v>NA</v>
      </c>
      <c r="AJ88" s="6" t="n">
        <f aca="false">(10-(LEN(AK88)))+1</f>
        <v>10</v>
      </c>
      <c r="AK88" s="6" t="n">
        <v>0</v>
      </c>
      <c r="AL88" s="6" t="str">
        <f aca="false">IF($J88="NA","NA",IF(AND($J88&gt;1939,AK88&gt;0),"ERRO","OK"))</f>
        <v>NA</v>
      </c>
      <c r="AM88" s="6" t="n">
        <f aca="false">(10-(LEN(AN88)))+1</f>
        <v>10</v>
      </c>
      <c r="AN88" s="6" t="n">
        <v>0</v>
      </c>
      <c r="AO88" s="6" t="str">
        <f aca="false">IF($J88="NA","NA",IF(AND($J88&gt;1929,AN88&gt;0),"ERRO","OK"))</f>
        <v>NA</v>
      </c>
      <c r="AP88" s="6" t="n">
        <f aca="false">(10-(LEN(AQ88)))+1</f>
        <v>10</v>
      </c>
      <c r="AQ88" s="6" t="n">
        <v>0</v>
      </c>
      <c r="AR88" s="6" t="str">
        <f aca="false">IF($J88="NA","NA",IF(AND($J88&gt;1919,AQ88&gt;0),"ERRO","OK"))</f>
        <v>NA</v>
      </c>
      <c r="AS88" s="6" t="n">
        <f aca="false">(10-(LEN(AT88)))+1</f>
        <v>10</v>
      </c>
      <c r="AT88" s="6" t="n">
        <v>0</v>
      </c>
      <c r="AU88" s="6" t="str">
        <f aca="false">IF($J88="NA","NA",IF(AND($J88&gt;1909,AT88&gt;0),"ERRO","OK"))</f>
        <v>NA</v>
      </c>
      <c r="AV88" s="6" t="n">
        <f aca="false">(10-(LEN(AW88)))+1</f>
        <v>10</v>
      </c>
      <c r="AW88" s="6" t="n">
        <v>0</v>
      </c>
      <c r="AX88" s="6" t="str">
        <f aca="false">IF($J88="NA","NA",IF(AND($J88&gt;1899,AW88&gt;0),"ERRO","OK"))</f>
        <v>NA</v>
      </c>
    </row>
    <row r="89" customFormat="false" ht="15" hidden="false" customHeight="false" outlineLevel="0" collapsed="false">
      <c r="A89" s="7" t="n">
        <v>86</v>
      </c>
      <c r="B89" s="0" t="s">
        <v>106</v>
      </c>
      <c r="C89" s="8" t="n">
        <v>45307</v>
      </c>
      <c r="D89" s="6" t="n">
        <v>0</v>
      </c>
      <c r="E89" s="0" t="s">
        <v>16</v>
      </c>
      <c r="F89" s="0" t="s">
        <v>17</v>
      </c>
      <c r="G89" s="9" t="str">
        <f aca="false">IF(OR(N89="ERRO",Q89="ERRO",T89="ERRO",W89="ERRO",Z89="ERRO",AC89="ERRO",AF89="ERRO",AI89="ERRO",AL89="ERRO",AO89="ERRO",AR89="ERRO",AU89="ERRO",AX89="ERRO"),"ERRO","OK")</f>
        <v>OK</v>
      </c>
      <c r="H89" s="9" t="n">
        <f aca="false">COUNTIF(L89:AX89,"ERRO")</f>
        <v>0</v>
      </c>
      <c r="I89" s="9" t="s">
        <v>18</v>
      </c>
      <c r="J89" s="10" t="n">
        <v>1869</v>
      </c>
      <c r="K89" s="10" t="n">
        <v>1941</v>
      </c>
      <c r="L89" s="6" t="n">
        <f aca="false">(10-(LEN(M89)))+1</f>
        <v>7</v>
      </c>
      <c r="M89" s="6" t="n">
        <v>3873</v>
      </c>
      <c r="N89" s="6" t="str">
        <f aca="false">IF($J89="NA","NA",IF(AND($J89&gt;2019,M89&gt;0),"ERRO","OK"))</f>
        <v>OK</v>
      </c>
      <c r="O89" s="6" t="n">
        <f aca="false">(10-(LEN(P89)))+1</f>
        <v>7</v>
      </c>
      <c r="P89" s="6" t="n">
        <v>6072</v>
      </c>
      <c r="Q89" s="6" t="str">
        <f aca="false">IF($J89="NA","NA",IF(AND($J89&gt;2009,P89&gt;0),"ERRO","OK"))</f>
        <v>OK</v>
      </c>
      <c r="R89" s="6" t="n">
        <f aca="false">(10-(LEN(S89)))+1</f>
        <v>7</v>
      </c>
      <c r="S89" s="6" t="n">
        <v>2899</v>
      </c>
      <c r="T89" s="6" t="str">
        <f aca="false">IF($J89="NA","NA",IF(AND($J89&gt;1999,S89&gt;0),"ERRO","OK"))</f>
        <v>OK</v>
      </c>
      <c r="U89" s="6" t="n">
        <f aca="false">(10-(LEN(V89)))+1</f>
        <v>7</v>
      </c>
      <c r="V89" s="6" t="n">
        <v>2300</v>
      </c>
      <c r="W89" s="6" t="str">
        <f aca="false">IF($J89="NA","NA",IF(AND($J89&gt;1989,V89&gt;0),"ERRO","OK"))</f>
        <v>OK</v>
      </c>
      <c r="X89" s="6" t="n">
        <f aca="false">(10-(LEN(Y89)))+1</f>
        <v>7</v>
      </c>
      <c r="Y89" s="6" t="n">
        <v>3853</v>
      </c>
      <c r="Z89" s="6" t="str">
        <f aca="false">IF($J89="NA","NA",IF(AND($J89&gt;1979,Y89&gt;0),"ERRO","OK"))</f>
        <v>OK</v>
      </c>
      <c r="AA89" s="6" t="n">
        <f aca="false">(10-(LEN(AB89)))+1</f>
        <v>7</v>
      </c>
      <c r="AB89" s="6" t="n">
        <v>3574</v>
      </c>
      <c r="AC89" s="6" t="str">
        <f aca="false">IF($J89="NA","NA",IF(AND($J89&gt;1969,AB89&gt;0),"ERRO","OK"))</f>
        <v>OK</v>
      </c>
      <c r="AD89" s="6" t="n">
        <f aca="false">(10-(LEN(AE89)))+1</f>
        <v>7</v>
      </c>
      <c r="AE89" s="6" t="n">
        <v>2781</v>
      </c>
      <c r="AF89" s="6" t="str">
        <f aca="false">IF($J89="NA","NA",IF(AND($J89&gt;1959,AE89&gt;0),"ERRO","OK"))</f>
        <v>OK</v>
      </c>
      <c r="AG89" s="6" t="n">
        <f aca="false">(10-(LEN(AH89)))+1</f>
        <v>7</v>
      </c>
      <c r="AH89" s="6" t="n">
        <v>4295</v>
      </c>
      <c r="AI89" s="6" t="str">
        <f aca="false">IF($J89="NA","NA",IF(AND($J89&gt;1949,AH89&gt;0),"ERRO","OK"))</f>
        <v>OK</v>
      </c>
      <c r="AJ89" s="6" t="n">
        <f aca="false">(10-(LEN(AK89)))+1</f>
        <v>7</v>
      </c>
      <c r="AK89" s="6" t="n">
        <v>1671</v>
      </c>
      <c r="AL89" s="6" t="str">
        <f aca="false">IF($J89="NA","NA",IF(AND($J89&gt;1939,AK89&gt;0),"ERRO","OK"))</f>
        <v>OK</v>
      </c>
      <c r="AM89" s="6" t="n">
        <f aca="false">(10-(LEN(AN89)))+1</f>
        <v>7</v>
      </c>
      <c r="AN89" s="6" t="n">
        <v>1828</v>
      </c>
      <c r="AO89" s="6" t="str">
        <f aca="false">IF($J89="NA","NA",IF(AND($J89&gt;1929,AN89&gt;0),"ERRO","OK"))</f>
        <v>OK</v>
      </c>
      <c r="AP89" s="6" t="n">
        <f aca="false">(10-(LEN(AQ89)))+1</f>
        <v>6</v>
      </c>
      <c r="AQ89" s="6" t="n">
        <v>12817</v>
      </c>
      <c r="AR89" s="6" t="str">
        <f aca="false">IF($J89="NA","NA",IF(AND($J89&gt;1919,AQ89&gt;0),"ERRO","OK"))</f>
        <v>OK</v>
      </c>
      <c r="AS89" s="6" t="n">
        <f aca="false">(10-(LEN(AT89)))+1</f>
        <v>6</v>
      </c>
      <c r="AT89" s="6" t="n">
        <v>16810</v>
      </c>
      <c r="AU89" s="6" t="str">
        <f aca="false">IF($J89="NA","NA",IF(AND($J89&gt;1909,AT89&gt;0),"ERRO","OK"))</f>
        <v>OK</v>
      </c>
      <c r="AV89" s="6" t="n">
        <f aca="false">(10-(LEN(AW89)))+1</f>
        <v>7</v>
      </c>
      <c r="AW89" s="6" t="n">
        <v>2967</v>
      </c>
      <c r="AX89" s="6" t="str">
        <f aca="false">IF($J89="NA","NA",IF(AND($J89&gt;1899,AW89&gt;0),"ERRO","OK"))</f>
        <v>OK</v>
      </c>
    </row>
    <row r="90" customFormat="false" ht="15" hidden="false" customHeight="false" outlineLevel="0" collapsed="false">
      <c r="A90" s="7" t="n">
        <v>87</v>
      </c>
      <c r="B90" s="0" t="s">
        <v>107</v>
      </c>
      <c r="C90" s="8" t="n">
        <v>45307</v>
      </c>
      <c r="D90" s="6" t="n">
        <v>0</v>
      </c>
      <c r="E90" s="0" t="s">
        <v>16</v>
      </c>
      <c r="F90" s="0" t="s">
        <v>17</v>
      </c>
      <c r="G90" s="9" t="str">
        <f aca="false">IF(OR(N90="ERRO",Q90="ERRO",T90="ERRO",W90="ERRO",Z90="ERRO",AC90="ERRO",AF90="ERRO",AI90="ERRO",AL90="ERRO",AO90="ERRO",AR90="ERRO",AU90="ERRO",AX90="ERRO"),"ERRO","OK")</f>
        <v>OK</v>
      </c>
      <c r="H90" s="9" t="n">
        <f aca="false">COUNTIF(L90:AX90,"ERRO")</f>
        <v>0</v>
      </c>
      <c r="I90" s="9" t="s">
        <v>18</v>
      </c>
      <c r="J90" s="10" t="n">
        <v>1853</v>
      </c>
      <c r="K90" s="10" t="n">
        <v>1929</v>
      </c>
      <c r="L90" s="6" t="n">
        <f aca="false">(10-(LEN(M90)))+1</f>
        <v>7</v>
      </c>
      <c r="M90" s="6" t="n">
        <v>6455</v>
      </c>
      <c r="N90" s="6" t="str">
        <f aca="false">IF($J90="NA","NA",IF(AND($J90&gt;2019,M90&gt;0),"ERRO","OK"))</f>
        <v>OK</v>
      </c>
      <c r="O90" s="6" t="n">
        <f aca="false">(10-(LEN(P90)))+1</f>
        <v>6</v>
      </c>
      <c r="P90" s="6" t="n">
        <v>10771</v>
      </c>
      <c r="Q90" s="6" t="str">
        <f aca="false">IF($J90="NA","NA",IF(AND($J90&gt;2009,P90&gt;0),"ERRO","OK"))</f>
        <v>OK</v>
      </c>
      <c r="R90" s="6" t="n">
        <f aca="false">(10-(LEN(S90)))+1</f>
        <v>6</v>
      </c>
      <c r="S90" s="6" t="n">
        <v>14874</v>
      </c>
      <c r="T90" s="6" t="str">
        <f aca="false">IF($J90="NA","NA",IF(AND($J90&gt;1999,S90&gt;0),"ERRO","OK"))</f>
        <v>OK</v>
      </c>
      <c r="U90" s="6" t="n">
        <f aca="false">(10-(LEN(V90)))+1</f>
        <v>6</v>
      </c>
      <c r="V90" s="6" t="n">
        <v>14625</v>
      </c>
      <c r="W90" s="6" t="str">
        <f aca="false">IF($J90="NA","NA",IF(AND($J90&gt;1989,V90&gt;0),"ERRO","OK"))</f>
        <v>OK</v>
      </c>
      <c r="X90" s="6" t="n">
        <f aca="false">(10-(LEN(Y90)))+1</f>
        <v>7</v>
      </c>
      <c r="Y90" s="6" t="n">
        <v>6475</v>
      </c>
      <c r="Z90" s="6" t="str">
        <f aca="false">IF($J90="NA","NA",IF(AND($J90&gt;1979,Y90&gt;0),"ERRO","OK"))</f>
        <v>OK</v>
      </c>
      <c r="AA90" s="6" t="n">
        <f aca="false">(10-(LEN(AB90)))+1</f>
        <v>7</v>
      </c>
      <c r="AB90" s="6" t="n">
        <v>3867</v>
      </c>
      <c r="AC90" s="6" t="str">
        <f aca="false">IF($J90="NA","NA",IF(AND($J90&gt;1969,AB90&gt;0),"ERRO","OK"))</f>
        <v>OK</v>
      </c>
      <c r="AD90" s="6" t="n">
        <f aca="false">(10-(LEN(AE90)))+1</f>
        <v>7</v>
      </c>
      <c r="AE90" s="6" t="n">
        <v>3857</v>
      </c>
      <c r="AF90" s="6" t="str">
        <f aca="false">IF($J90="NA","NA",IF(AND($J90&gt;1959,AE90&gt;0),"ERRO","OK"))</f>
        <v>OK</v>
      </c>
      <c r="AG90" s="6" t="n">
        <f aca="false">(10-(LEN(AH90)))+1</f>
        <v>7</v>
      </c>
      <c r="AH90" s="6" t="n">
        <v>1432</v>
      </c>
      <c r="AI90" s="6" t="str">
        <f aca="false">IF($J90="NA","NA",IF(AND($J90&gt;1949,AH90&gt;0),"ERRO","OK"))</f>
        <v>OK</v>
      </c>
      <c r="AJ90" s="6" t="n">
        <f aca="false">(10-(LEN(AK90)))+1</f>
        <v>7</v>
      </c>
      <c r="AK90" s="6" t="n">
        <v>4317</v>
      </c>
      <c r="AL90" s="6" t="str">
        <f aca="false">IF($J90="NA","NA",IF(AND($J90&gt;1939,AK90&gt;0),"ERRO","OK"))</f>
        <v>OK</v>
      </c>
      <c r="AM90" s="6" t="n">
        <f aca="false">(10-(LEN(AN90)))+1</f>
        <v>7</v>
      </c>
      <c r="AN90" s="6" t="n">
        <v>3656</v>
      </c>
      <c r="AO90" s="6" t="str">
        <f aca="false">IF($J90="NA","NA",IF(AND($J90&gt;1929,AN90&gt;0),"ERRO","OK"))</f>
        <v>OK</v>
      </c>
      <c r="AP90" s="6" t="n">
        <f aca="false">(10-(LEN(AQ90)))+1</f>
        <v>7</v>
      </c>
      <c r="AQ90" s="6" t="n">
        <v>1702</v>
      </c>
      <c r="AR90" s="6" t="str">
        <f aca="false">IF($J90="NA","NA",IF(AND($J90&gt;1919,AQ90&gt;0),"ERRO","OK"))</f>
        <v>OK</v>
      </c>
      <c r="AS90" s="6" t="n">
        <f aca="false">(10-(LEN(AT90)))+1</f>
        <v>7</v>
      </c>
      <c r="AT90" s="6" t="n">
        <v>1031</v>
      </c>
      <c r="AU90" s="6" t="str">
        <f aca="false">IF($J90="NA","NA",IF(AND($J90&gt;1909,AT90&gt;0),"ERRO","OK"))</f>
        <v>OK</v>
      </c>
      <c r="AV90" s="6" t="n">
        <f aca="false">(10-(LEN(AW90)))+1</f>
        <v>7</v>
      </c>
      <c r="AW90" s="6" t="n">
        <v>3096</v>
      </c>
      <c r="AX90" s="6" t="str">
        <f aca="false">IF($J90="NA","NA",IF(AND($J90&gt;1899,AW90&gt;0),"ERRO","OK"))</f>
        <v>OK</v>
      </c>
    </row>
    <row r="91" customFormat="false" ht="15" hidden="false" customHeight="false" outlineLevel="0" collapsed="false">
      <c r="A91" s="7" t="n">
        <v>88</v>
      </c>
      <c r="B91" s="0" t="s">
        <v>108</v>
      </c>
      <c r="C91" s="8" t="n">
        <v>45307</v>
      </c>
      <c r="D91" s="6" t="n">
        <v>0</v>
      </c>
      <c r="E91" s="0" t="s">
        <v>16</v>
      </c>
      <c r="F91" s="0" t="s">
        <v>17</v>
      </c>
      <c r="G91" s="9" t="str">
        <f aca="false">IF(OR(N91="ERRO",Q91="ERRO",T91="ERRO",W91="ERRO",Z91="ERRO",AC91="ERRO",AF91="ERRO",AI91="ERRO",AL91="ERRO",AO91="ERRO",AR91="ERRO",AU91="ERRO",AX91="ERRO"),"ERRO","OK")</f>
        <v>OK</v>
      </c>
      <c r="H91" s="9" t="n">
        <f aca="false">COUNTIF(L91:AX91,"ERRO")</f>
        <v>0</v>
      </c>
      <c r="I91" s="9" t="s">
        <v>18</v>
      </c>
      <c r="J91" s="10" t="n">
        <v>1888</v>
      </c>
      <c r="K91" s="10" t="n">
        <v>1976</v>
      </c>
      <c r="L91" s="6" t="n">
        <f aca="false">(10-(LEN(M91)))+1</f>
        <v>7</v>
      </c>
      <c r="M91" s="6" t="n">
        <v>8162</v>
      </c>
      <c r="N91" s="6" t="str">
        <f aca="false">IF($J91="NA","NA",IF(AND($J91&gt;2019,M91&gt;0),"ERRO","OK"))</f>
        <v>OK</v>
      </c>
      <c r="O91" s="6" t="n">
        <f aca="false">(10-(LEN(P91)))+1</f>
        <v>6</v>
      </c>
      <c r="P91" s="6" t="n">
        <v>11972</v>
      </c>
      <c r="Q91" s="6" t="str">
        <f aca="false">IF($J91="NA","NA",IF(AND($J91&gt;2009,P91&gt;0),"ERRO","OK"))</f>
        <v>OK</v>
      </c>
      <c r="R91" s="6" t="n">
        <f aca="false">(10-(LEN(S91)))+1</f>
        <v>6</v>
      </c>
      <c r="S91" s="6" t="n">
        <v>13487</v>
      </c>
      <c r="T91" s="6" t="str">
        <f aca="false">IF($J91="NA","NA",IF(AND($J91&gt;1999,S91&gt;0),"ERRO","OK"))</f>
        <v>OK</v>
      </c>
      <c r="U91" s="6" t="n">
        <f aca="false">(10-(LEN(V91)))+1</f>
        <v>6</v>
      </c>
      <c r="V91" s="6" t="n">
        <v>14533</v>
      </c>
      <c r="W91" s="6" t="str">
        <f aca="false">IF($J91="NA","NA",IF(AND($J91&gt;1989,V91&gt;0),"ERRO","OK"))</f>
        <v>OK</v>
      </c>
      <c r="X91" s="6" t="n">
        <f aca="false">(10-(LEN(Y91)))+1</f>
        <v>7</v>
      </c>
      <c r="Y91" s="6" t="n">
        <v>8401</v>
      </c>
      <c r="Z91" s="6" t="str">
        <f aca="false">IF($J91="NA","NA",IF(AND($J91&gt;1979,Y91&gt;0),"ERRO","OK"))</f>
        <v>OK</v>
      </c>
      <c r="AA91" s="6" t="n">
        <f aca="false">(10-(LEN(AB91)))+1</f>
        <v>6</v>
      </c>
      <c r="AB91" s="6" t="n">
        <v>12657</v>
      </c>
      <c r="AC91" s="6" t="str">
        <f aca="false">IF($J91="NA","NA",IF(AND($J91&gt;1969,AB91&gt;0),"ERRO","OK"))</f>
        <v>OK</v>
      </c>
      <c r="AD91" s="6" t="n">
        <f aca="false">(10-(LEN(AE91)))+1</f>
        <v>6</v>
      </c>
      <c r="AE91" s="6" t="n">
        <v>15609</v>
      </c>
      <c r="AF91" s="6" t="str">
        <f aca="false">IF($J91="NA","NA",IF(AND($J91&gt;1959,AE91&gt;0),"ERRO","OK"))</f>
        <v>OK</v>
      </c>
      <c r="AG91" s="6" t="n">
        <f aca="false">(10-(LEN(AH91)))+1</f>
        <v>6</v>
      </c>
      <c r="AH91" s="6" t="n">
        <v>12666</v>
      </c>
      <c r="AI91" s="6" t="str">
        <f aca="false">IF($J91="NA","NA",IF(AND($J91&gt;1949,AH91&gt;0),"ERRO","OK"))</f>
        <v>OK</v>
      </c>
      <c r="AJ91" s="6" t="n">
        <f aca="false">(10-(LEN(AK91)))+1</f>
        <v>6</v>
      </c>
      <c r="AK91" s="6" t="n">
        <v>23535</v>
      </c>
      <c r="AL91" s="6" t="str">
        <f aca="false">IF($J91="NA","NA",IF(AND($J91&gt;1939,AK91&gt;0),"ERRO","OK"))</f>
        <v>OK</v>
      </c>
      <c r="AM91" s="6" t="n">
        <f aca="false">(10-(LEN(AN91)))+1</f>
        <v>6</v>
      </c>
      <c r="AN91" s="6" t="n">
        <v>73880</v>
      </c>
      <c r="AO91" s="6" t="str">
        <f aca="false">IF($J91="NA","NA",IF(AND($J91&gt;1929,AN91&gt;0),"ERRO","OK"))</f>
        <v>OK</v>
      </c>
      <c r="AP91" s="6" t="n">
        <f aca="false">(10-(LEN(AQ91)))+1</f>
        <v>8</v>
      </c>
      <c r="AQ91" s="6" t="n">
        <v>701</v>
      </c>
      <c r="AR91" s="6" t="str">
        <f aca="false">IF($J91="NA","NA",IF(AND($J91&gt;1919,AQ91&gt;0),"ERRO","OK"))</f>
        <v>OK</v>
      </c>
      <c r="AS91" s="6" t="n">
        <f aca="false">(10-(LEN(AT91)))+1</f>
        <v>8</v>
      </c>
      <c r="AT91" s="6" t="n">
        <v>206</v>
      </c>
      <c r="AU91" s="6" t="str">
        <f aca="false">IF($J91="NA","NA",IF(AND($J91&gt;1909,AT91&gt;0),"ERRO","OK"))</f>
        <v>OK</v>
      </c>
      <c r="AV91" s="6" t="n">
        <f aca="false">(10-(LEN(AW91)))+1</f>
        <v>10</v>
      </c>
      <c r="AW91" s="6" t="n">
        <v>0</v>
      </c>
      <c r="AX91" s="6" t="str">
        <f aca="false">IF($J91="NA","NA",IF(AND($J91&gt;1899,AW91&gt;0),"ERRO","OK"))</f>
        <v>OK</v>
      </c>
    </row>
    <row r="92" customFormat="false" ht="15" hidden="false" customHeight="false" outlineLevel="0" collapsed="false">
      <c r="A92" s="7" t="n">
        <v>89</v>
      </c>
      <c r="B92" s="0" t="s">
        <v>109</v>
      </c>
      <c r="C92" s="8" t="n">
        <v>45307</v>
      </c>
      <c r="D92" s="6" t="n">
        <v>0</v>
      </c>
      <c r="E92" s="0" t="s">
        <v>16</v>
      </c>
      <c r="F92" s="0" t="s">
        <v>17</v>
      </c>
      <c r="G92" s="9" t="str">
        <f aca="false">IF(OR(N92="ERRO",Q92="ERRO",T92="ERRO",W92="ERRO",Z92="ERRO",AC92="ERRO",AF92="ERRO",AI92="ERRO",AL92="ERRO",AO92="ERRO",AR92="ERRO",AU92="ERRO",AX92="ERRO"),"ERRO","OK")</f>
        <v>OK</v>
      </c>
      <c r="H92" s="9" t="n">
        <f aca="false">COUNTIF(L92:AX92,"ERRO")</f>
        <v>0</v>
      </c>
      <c r="I92" s="9" t="s">
        <v>18</v>
      </c>
      <c r="J92" s="10" t="n">
        <v>1869</v>
      </c>
      <c r="K92" s="10" t="n">
        <v>1955</v>
      </c>
      <c r="L92" s="6" t="n">
        <f aca="false">(10-(LEN(M92)))+1</f>
        <v>8</v>
      </c>
      <c r="M92" s="6" t="n">
        <v>167</v>
      </c>
      <c r="N92" s="6" t="str">
        <f aca="false">IF($J92="NA","NA",IF(AND($J92&gt;2019,M92&gt;0),"ERRO","OK"))</f>
        <v>OK</v>
      </c>
      <c r="O92" s="6" t="n">
        <f aca="false">(10-(LEN(P92)))+1</f>
        <v>10</v>
      </c>
      <c r="P92" s="6" t="n">
        <v>0</v>
      </c>
      <c r="Q92" s="6" t="str">
        <f aca="false">IF($J92="NA","NA",IF(AND($J92&gt;2009,P92&gt;0),"ERRO","OK"))</f>
        <v>OK</v>
      </c>
      <c r="R92" s="6" t="n">
        <f aca="false">(10-(LEN(S92)))+1</f>
        <v>10</v>
      </c>
      <c r="S92" s="6" t="n">
        <v>0</v>
      </c>
      <c r="T92" s="6" t="str">
        <f aca="false">IF($J92="NA","NA",IF(AND($J92&gt;1999,S92&gt;0),"ERRO","OK"))</f>
        <v>OK</v>
      </c>
      <c r="U92" s="6" t="n">
        <f aca="false">(10-(LEN(V92)))+1</f>
        <v>9</v>
      </c>
      <c r="V92" s="6" t="n">
        <v>46</v>
      </c>
      <c r="W92" s="6" t="str">
        <f aca="false">IF($J92="NA","NA",IF(AND($J92&gt;1989,V92&gt;0),"ERRO","OK"))</f>
        <v>OK</v>
      </c>
      <c r="X92" s="6" t="n">
        <f aca="false">(10-(LEN(Y92)))+1</f>
        <v>10</v>
      </c>
      <c r="Y92" s="6" t="n">
        <v>0</v>
      </c>
      <c r="Z92" s="6" t="str">
        <f aca="false">IF($J92="NA","NA",IF(AND($J92&gt;1979,Y92&gt;0),"ERRO","OK"))</f>
        <v>OK</v>
      </c>
      <c r="AA92" s="6" t="n">
        <f aca="false">(10-(LEN(AB92)))+1</f>
        <v>10</v>
      </c>
      <c r="AB92" s="6" t="n">
        <v>0</v>
      </c>
      <c r="AC92" s="6" t="str">
        <f aca="false">IF($J92="NA","NA",IF(AND($J92&gt;1969,AB92&gt;0),"ERRO","OK"))</f>
        <v>OK</v>
      </c>
      <c r="AD92" s="6" t="n">
        <f aca="false">(10-(LEN(AE92)))+1</f>
        <v>10</v>
      </c>
      <c r="AE92" s="6" t="n">
        <v>0</v>
      </c>
      <c r="AF92" s="6" t="str">
        <f aca="false">IF($J92="NA","NA",IF(AND($J92&gt;1959,AE92&gt;0),"ERRO","OK"))</f>
        <v>OK</v>
      </c>
      <c r="AG92" s="6" t="n">
        <f aca="false">(10-(LEN(AH92)))+1</f>
        <v>8</v>
      </c>
      <c r="AH92" s="6" t="n">
        <v>110</v>
      </c>
      <c r="AI92" s="6" t="str">
        <f aca="false">IF($J92="NA","NA",IF(AND($J92&gt;1949,AH92&gt;0),"ERRO","OK"))</f>
        <v>OK</v>
      </c>
      <c r="AJ92" s="6" t="n">
        <f aca="false">(10-(LEN(AK92)))+1</f>
        <v>10</v>
      </c>
      <c r="AK92" s="6" t="n">
        <v>0</v>
      </c>
      <c r="AL92" s="6" t="str">
        <f aca="false">IF($J92="NA","NA",IF(AND($J92&gt;1939,AK92&gt;0),"ERRO","OK"))</f>
        <v>OK</v>
      </c>
      <c r="AM92" s="6" t="n">
        <f aca="false">(10-(LEN(AN92)))+1</f>
        <v>8</v>
      </c>
      <c r="AN92" s="6" t="n">
        <v>152</v>
      </c>
      <c r="AO92" s="6" t="str">
        <f aca="false">IF($J92="NA","NA",IF(AND($J92&gt;1929,AN92&gt;0),"ERRO","OK"))</f>
        <v>OK</v>
      </c>
      <c r="AP92" s="6" t="n">
        <f aca="false">(10-(LEN(AQ92)))+1</f>
        <v>8</v>
      </c>
      <c r="AQ92" s="6" t="n">
        <v>601</v>
      </c>
      <c r="AR92" s="6" t="str">
        <f aca="false">IF($J92="NA","NA",IF(AND($J92&gt;1919,AQ92&gt;0),"ERRO","OK"))</f>
        <v>OK</v>
      </c>
      <c r="AS92" s="6" t="n">
        <f aca="false">(10-(LEN(AT92)))+1</f>
        <v>8</v>
      </c>
      <c r="AT92" s="6" t="n">
        <v>206</v>
      </c>
      <c r="AU92" s="6" t="str">
        <f aca="false">IF($J92="NA","NA",IF(AND($J92&gt;1909,AT92&gt;0),"ERRO","OK"))</f>
        <v>OK</v>
      </c>
      <c r="AV92" s="6" t="n">
        <f aca="false">(10-(LEN(AW92)))+1</f>
        <v>8</v>
      </c>
      <c r="AW92" s="6" t="n">
        <v>129</v>
      </c>
      <c r="AX92" s="6" t="str">
        <f aca="false">IF($J92="NA","NA",IF(AND($J92&gt;1899,AW92&gt;0),"ERRO","OK"))</f>
        <v>OK</v>
      </c>
    </row>
    <row r="93" customFormat="false" ht="15" hidden="false" customHeight="false" outlineLevel="0" collapsed="false">
      <c r="A93" s="7" t="n">
        <v>90</v>
      </c>
      <c r="B93" s="0" t="s">
        <v>110</v>
      </c>
      <c r="C93" s="8" t="n">
        <v>45307</v>
      </c>
      <c r="D93" s="6" t="n">
        <v>0</v>
      </c>
      <c r="E93" s="0" t="s">
        <v>16</v>
      </c>
      <c r="F93" s="0" t="s">
        <v>17</v>
      </c>
      <c r="G93" s="9" t="str">
        <f aca="false">IF(OR(N93="ERRO",Q93="ERRO",T93="ERRO",W93="ERRO",Z93="ERRO",AC93="ERRO",AF93="ERRO",AI93="ERRO",AL93="ERRO",AO93="ERRO",AR93="ERRO",AU93="ERRO",AX93="ERRO"),"ERRO","OK")</f>
        <v>OK</v>
      </c>
      <c r="H93" s="9" t="n">
        <f aca="false">COUNTIF(L93:AX93,"ERRO")</f>
        <v>0</v>
      </c>
      <c r="I93" s="9" t="s">
        <v>18</v>
      </c>
      <c r="J93" s="10" t="n">
        <v>1879</v>
      </c>
      <c r="K93" s="10" t="n">
        <v>1960</v>
      </c>
      <c r="L93" s="6" t="n">
        <f aca="false">(10-(LEN(M93)))+1</f>
        <v>7</v>
      </c>
      <c r="M93" s="6" t="n">
        <v>4997</v>
      </c>
      <c r="N93" s="6" t="str">
        <f aca="false">IF($J93="NA","NA",IF(AND($J93&gt;2019,M93&gt;0),"ERRO","OK"))</f>
        <v>OK</v>
      </c>
      <c r="O93" s="6" t="n">
        <f aca="false">(10-(LEN(P93)))+1</f>
        <v>7</v>
      </c>
      <c r="P93" s="6" t="n">
        <v>6724</v>
      </c>
      <c r="Q93" s="6" t="str">
        <f aca="false">IF($J93="NA","NA",IF(AND($J93&gt;2009,P93&gt;0),"ERRO","OK"))</f>
        <v>OK</v>
      </c>
      <c r="R93" s="6" t="n">
        <f aca="false">(10-(LEN(S93)))+1</f>
        <v>7</v>
      </c>
      <c r="S93" s="6" t="n">
        <v>7773</v>
      </c>
      <c r="T93" s="6" t="str">
        <f aca="false">IF($J93="NA","NA",IF(AND($J93&gt;1999,S93&gt;0),"ERRO","OK"))</f>
        <v>OK</v>
      </c>
      <c r="U93" s="6" t="n">
        <f aca="false">(10-(LEN(V93)))+1</f>
        <v>7</v>
      </c>
      <c r="V93" s="6" t="n">
        <v>6531</v>
      </c>
      <c r="W93" s="6" t="str">
        <f aca="false">IF($J93="NA","NA",IF(AND($J93&gt;1989,V93&gt;0),"ERRO","OK"))</f>
        <v>OK</v>
      </c>
      <c r="X93" s="6" t="n">
        <f aca="false">(10-(LEN(Y93)))+1</f>
        <v>7</v>
      </c>
      <c r="Y93" s="6" t="n">
        <v>7652</v>
      </c>
      <c r="Z93" s="6" t="str">
        <f aca="false">IF($J93="NA","NA",IF(AND($J93&gt;1979,Y93&gt;0),"ERRO","OK"))</f>
        <v>OK</v>
      </c>
      <c r="AA93" s="6" t="n">
        <f aca="false">(10-(LEN(AB93)))+1</f>
        <v>6</v>
      </c>
      <c r="AB93" s="6" t="n">
        <v>10255</v>
      </c>
      <c r="AC93" s="6" t="str">
        <f aca="false">IF($J93="NA","NA",IF(AND($J93&gt;1969,AB93&gt;0),"ERRO","OK"))</f>
        <v>OK</v>
      </c>
      <c r="AD93" s="6" t="n">
        <f aca="false">(10-(LEN(AE93)))+1</f>
        <v>7</v>
      </c>
      <c r="AE93" s="6" t="n">
        <v>5023</v>
      </c>
      <c r="AF93" s="6" t="str">
        <f aca="false">IF($J93="NA","NA",IF(AND($J93&gt;1959,AE93&gt;0),"ERRO","OK"))</f>
        <v>OK</v>
      </c>
      <c r="AG93" s="6" t="n">
        <f aca="false">(10-(LEN(AH93)))+1</f>
        <v>6</v>
      </c>
      <c r="AH93" s="6" t="n">
        <v>43835</v>
      </c>
      <c r="AI93" s="6" t="str">
        <f aca="false">IF($J93="NA","NA",IF(AND($J93&gt;1949,AH93&gt;0),"ERRO","OK"))</f>
        <v>OK</v>
      </c>
      <c r="AJ93" s="6" t="n">
        <f aca="false">(10-(LEN(AK93)))+1</f>
        <v>6</v>
      </c>
      <c r="AK93" s="6" t="n">
        <v>34257</v>
      </c>
      <c r="AL93" s="6" t="str">
        <f aca="false">IF($J93="NA","NA",IF(AND($J93&gt;1939,AK93&gt;0),"ERRO","OK"))</f>
        <v>OK</v>
      </c>
      <c r="AM93" s="6" t="n">
        <f aca="false">(10-(LEN(AN93)))+1</f>
        <v>5</v>
      </c>
      <c r="AN93" s="6" t="n">
        <v>103280</v>
      </c>
      <c r="AO93" s="6" t="str">
        <f aca="false">IF($J93="NA","NA",IF(AND($J93&gt;1929,AN93&gt;0),"ERRO","OK"))</f>
        <v>OK</v>
      </c>
      <c r="AP93" s="6" t="n">
        <f aca="false">(10-(LEN(AQ93)))+1</f>
        <v>7</v>
      </c>
      <c r="AQ93" s="6" t="n">
        <v>5908</v>
      </c>
      <c r="AR93" s="6" t="str">
        <f aca="false">IF($J93="NA","NA",IF(AND($J93&gt;1919,AQ93&gt;0),"ERRO","OK"))</f>
        <v>OK</v>
      </c>
      <c r="AS93" s="6" t="n">
        <f aca="false">(10-(LEN(AT93)))+1</f>
        <v>6</v>
      </c>
      <c r="AT93" s="6" t="n">
        <v>11138</v>
      </c>
      <c r="AU93" s="6" t="str">
        <f aca="false">IF($J93="NA","NA",IF(AND($J93&gt;1909,AT93&gt;0),"ERRO","OK"))</f>
        <v>OK</v>
      </c>
      <c r="AV93" s="6" t="n">
        <f aca="false">(10-(LEN(AW93)))+1</f>
        <v>7</v>
      </c>
      <c r="AW93" s="6" t="n">
        <v>7223</v>
      </c>
      <c r="AX93" s="6" t="str">
        <f aca="false">IF($J93="NA","NA",IF(AND($J93&gt;1899,AW93&gt;0),"ERRO","OK"))</f>
        <v>OK</v>
      </c>
    </row>
    <row r="94" customFormat="false" ht="15" hidden="false" customHeight="false" outlineLevel="0" collapsed="false">
      <c r="A94" s="7" t="n">
        <v>91</v>
      </c>
      <c r="B94" s="0" t="s">
        <v>111</v>
      </c>
      <c r="C94" s="8" t="n">
        <v>45307</v>
      </c>
      <c r="D94" s="6" t="n">
        <v>0</v>
      </c>
      <c r="E94" s="0" t="s">
        <v>16</v>
      </c>
      <c r="F94" s="0" t="s">
        <v>17</v>
      </c>
      <c r="G94" s="9" t="str">
        <f aca="false">IF(OR(N94="ERRO",Q94="ERRO",T94="ERRO",W94="ERRO",Z94="ERRO",AC94="ERRO",AF94="ERRO",AI94="ERRO",AL94="ERRO",AO94="ERRO",AR94="ERRO",AU94="ERRO",AX94="ERRO"),"ERRO","OK")</f>
        <v>OK</v>
      </c>
      <c r="H94" s="9" t="n">
        <f aca="false">COUNTIF(L94:AX94,"ERRO")</f>
        <v>0</v>
      </c>
      <c r="I94" s="9" t="s">
        <v>18</v>
      </c>
      <c r="J94" s="10" t="n">
        <v>1879</v>
      </c>
      <c r="K94" s="10" t="n">
        <v>1973</v>
      </c>
      <c r="L94" s="6" t="n">
        <f aca="false">(10-(LEN(M94)))+1</f>
        <v>10</v>
      </c>
      <c r="M94" s="6" t="n">
        <v>0</v>
      </c>
      <c r="N94" s="6" t="str">
        <f aca="false">IF($J94="NA","NA",IF(AND($J94&gt;2019,M94&gt;0),"ERRO","OK"))</f>
        <v>OK</v>
      </c>
      <c r="O94" s="6" t="n">
        <f aca="false">(10-(LEN(P94)))+1</f>
        <v>10</v>
      </c>
      <c r="P94" s="6" t="n">
        <v>0</v>
      </c>
      <c r="Q94" s="6" t="str">
        <f aca="false">IF($J94="NA","NA",IF(AND($J94&gt;2009,P94&gt;0),"ERRO","OK"))</f>
        <v>OK</v>
      </c>
      <c r="R94" s="6" t="n">
        <f aca="false">(10-(LEN(S94)))+1</f>
        <v>10</v>
      </c>
      <c r="S94" s="6" t="n">
        <v>0</v>
      </c>
      <c r="T94" s="6" t="str">
        <f aca="false">IF($J94="NA","NA",IF(AND($J94&gt;1999,S94&gt;0),"ERRO","OK"))</f>
        <v>OK</v>
      </c>
      <c r="U94" s="6" t="n">
        <f aca="false">(10-(LEN(V94)))+1</f>
        <v>10</v>
      </c>
      <c r="V94" s="6" t="n">
        <v>0</v>
      </c>
      <c r="W94" s="6" t="str">
        <f aca="false">IF($J94="NA","NA",IF(AND($J94&gt;1989,V94&gt;0),"ERRO","OK"))</f>
        <v>OK</v>
      </c>
      <c r="X94" s="6" t="n">
        <f aca="false">(10-(LEN(Y94)))+1</f>
        <v>10</v>
      </c>
      <c r="Y94" s="6" t="n">
        <v>0</v>
      </c>
      <c r="Z94" s="6" t="str">
        <f aca="false">IF($J94="NA","NA",IF(AND($J94&gt;1979,Y94&gt;0),"ERRO","OK"))</f>
        <v>OK</v>
      </c>
      <c r="AA94" s="6" t="n">
        <f aca="false">(10-(LEN(AB94)))+1</f>
        <v>10</v>
      </c>
      <c r="AB94" s="6" t="n">
        <v>0</v>
      </c>
      <c r="AC94" s="6" t="str">
        <f aca="false">IF($J94="NA","NA",IF(AND($J94&gt;1969,AB94&gt;0),"ERRO","OK"))</f>
        <v>OK</v>
      </c>
      <c r="AD94" s="6" t="n">
        <f aca="false">(10-(LEN(AE94)))+1</f>
        <v>10</v>
      </c>
      <c r="AE94" s="6" t="n">
        <v>0</v>
      </c>
      <c r="AF94" s="6" t="str">
        <f aca="false">IF($J94="NA","NA",IF(AND($J94&gt;1959,AE94&gt;0),"ERRO","OK"))</f>
        <v>OK</v>
      </c>
      <c r="AG94" s="6" t="n">
        <f aca="false">(10-(LEN(AH94)))+1</f>
        <v>10</v>
      </c>
      <c r="AH94" s="6" t="n">
        <v>0</v>
      </c>
      <c r="AI94" s="6" t="str">
        <f aca="false">IF($J94="NA","NA",IF(AND($J94&gt;1949,AH94&gt;0),"ERRO","OK"))</f>
        <v>OK</v>
      </c>
      <c r="AJ94" s="6" t="n">
        <f aca="false">(10-(LEN(AK94)))+1</f>
        <v>10</v>
      </c>
      <c r="AK94" s="6" t="n">
        <v>0</v>
      </c>
      <c r="AL94" s="6" t="str">
        <f aca="false">IF($J94="NA","NA",IF(AND($J94&gt;1939,AK94&gt;0),"ERRO","OK"))</f>
        <v>OK</v>
      </c>
      <c r="AM94" s="6" t="n">
        <f aca="false">(10-(LEN(AN94)))+1</f>
        <v>10</v>
      </c>
      <c r="AN94" s="6" t="n">
        <v>0</v>
      </c>
      <c r="AO94" s="6" t="str">
        <f aca="false">IF($J94="NA","NA",IF(AND($J94&gt;1929,AN94&gt;0),"ERRO","OK"))</f>
        <v>OK</v>
      </c>
      <c r="AP94" s="6" t="n">
        <f aca="false">(10-(LEN(AQ94)))+1</f>
        <v>10</v>
      </c>
      <c r="AQ94" s="6" t="n">
        <v>0</v>
      </c>
      <c r="AR94" s="6" t="str">
        <f aca="false">IF($J94="NA","NA",IF(AND($J94&gt;1919,AQ94&gt;0),"ERRO","OK"))</f>
        <v>OK</v>
      </c>
      <c r="AS94" s="6" t="n">
        <f aca="false">(10-(LEN(AT94)))+1</f>
        <v>10</v>
      </c>
      <c r="AT94" s="6" t="n">
        <v>0</v>
      </c>
      <c r="AU94" s="6" t="str">
        <f aca="false">IF($J94="NA","NA",IF(AND($J94&gt;1909,AT94&gt;0),"ERRO","OK"))</f>
        <v>OK</v>
      </c>
      <c r="AV94" s="6" t="n">
        <f aca="false">(10-(LEN(AW94)))+1</f>
        <v>10</v>
      </c>
      <c r="AW94" s="6" t="n">
        <v>0</v>
      </c>
      <c r="AX94" s="6" t="str">
        <f aca="false">IF($J94="NA","NA",IF(AND($J94&gt;1899,AW94&gt;0),"ERRO","OK"))</f>
        <v>OK</v>
      </c>
    </row>
    <row r="95" customFormat="false" ht="15" hidden="false" customHeight="false" outlineLevel="0" collapsed="false">
      <c r="A95" s="7" t="n">
        <v>92</v>
      </c>
      <c r="B95" s="0" t="s">
        <v>112</v>
      </c>
      <c r="C95" s="8" t="n">
        <v>45307</v>
      </c>
      <c r="D95" s="6" t="n">
        <v>0</v>
      </c>
      <c r="E95" s="0" t="s">
        <v>16</v>
      </c>
      <c r="F95" s="0" t="s">
        <v>17</v>
      </c>
      <c r="G95" s="9" t="str">
        <f aca="false">IF(OR(N95="ERRO",Q95="ERRO",T95="ERRO",W95="ERRO",Z95="ERRO",AC95="ERRO",AF95="ERRO",AI95="ERRO",AL95="ERRO",AO95="ERRO",AR95="ERRO",AU95="ERRO",AX95="ERRO"),"ERRO","OK")</f>
        <v>OK</v>
      </c>
      <c r="H95" s="9" t="n">
        <f aca="false">COUNTIF(L95:AX95,"ERRO")</f>
        <v>0</v>
      </c>
      <c r="I95" s="9" t="s">
        <v>18</v>
      </c>
      <c r="J95" s="10" t="n">
        <v>1881</v>
      </c>
      <c r="K95" s="10" t="n">
        <v>1934</v>
      </c>
      <c r="L95" s="6" t="n">
        <f aca="false">(10-(LEN(M95)))+1</f>
        <v>8</v>
      </c>
      <c r="M95" s="6" t="n">
        <v>625</v>
      </c>
      <c r="N95" s="6" t="str">
        <f aca="false">IF($J95="NA","NA",IF(AND($J95&gt;2019,M95&gt;0),"ERRO","OK"))</f>
        <v>OK</v>
      </c>
      <c r="O95" s="6" t="n">
        <f aca="false">(10-(LEN(P95)))+1</f>
        <v>7</v>
      </c>
      <c r="P95" s="6" t="n">
        <v>2264</v>
      </c>
      <c r="Q95" s="6" t="str">
        <f aca="false">IF($J95="NA","NA",IF(AND($J95&gt;2009,P95&gt;0),"ERRO","OK"))</f>
        <v>OK</v>
      </c>
      <c r="R95" s="6" t="n">
        <f aca="false">(10-(LEN(S95)))+1</f>
        <v>8</v>
      </c>
      <c r="S95" s="6" t="n">
        <v>630</v>
      </c>
      <c r="T95" s="6" t="str">
        <f aca="false">IF($J95="NA","NA",IF(AND($J95&gt;1999,S95&gt;0),"ERRO","OK"))</f>
        <v>OK</v>
      </c>
      <c r="U95" s="6" t="n">
        <f aca="false">(10-(LEN(V95)))+1</f>
        <v>8</v>
      </c>
      <c r="V95" s="6" t="n">
        <v>184</v>
      </c>
      <c r="W95" s="6" t="str">
        <f aca="false">IF($J95="NA","NA",IF(AND($J95&gt;1989,V95&gt;0),"ERRO","OK"))</f>
        <v>OK</v>
      </c>
      <c r="X95" s="6" t="n">
        <f aca="false">(10-(LEN(Y95)))+1</f>
        <v>7</v>
      </c>
      <c r="Y95" s="6" t="n">
        <v>1498</v>
      </c>
      <c r="Z95" s="6" t="str">
        <f aca="false">IF($J95="NA","NA",IF(AND($J95&gt;1979,Y95&gt;0),"ERRO","OK"))</f>
        <v>OK</v>
      </c>
      <c r="AA95" s="6" t="n">
        <f aca="false">(10-(LEN(AB95)))+1</f>
        <v>8</v>
      </c>
      <c r="AB95" s="6" t="n">
        <v>410</v>
      </c>
      <c r="AC95" s="6" t="str">
        <f aca="false">IF($J95="NA","NA",IF(AND($J95&gt;1969,AB95&gt;0),"ERRO","OK"))</f>
        <v>OK</v>
      </c>
      <c r="AD95" s="6" t="n">
        <f aca="false">(10-(LEN(AE95)))+1</f>
        <v>7</v>
      </c>
      <c r="AE95" s="6" t="n">
        <v>1884</v>
      </c>
      <c r="AF95" s="6" t="str">
        <f aca="false">IF($J95="NA","NA",IF(AND($J95&gt;1959,AE95&gt;0),"ERRO","OK"))</f>
        <v>OK</v>
      </c>
      <c r="AG95" s="6" t="n">
        <f aca="false">(10-(LEN(AH95)))+1</f>
        <v>8</v>
      </c>
      <c r="AH95" s="6" t="n">
        <v>881</v>
      </c>
      <c r="AI95" s="6" t="str">
        <f aca="false">IF($J95="NA","NA",IF(AND($J95&gt;1949,AH95&gt;0),"ERRO","OK"))</f>
        <v>OK</v>
      </c>
      <c r="AJ95" s="6" t="n">
        <f aca="false">(10-(LEN(AK95)))+1</f>
        <v>7</v>
      </c>
      <c r="AK95" s="6" t="n">
        <v>2089</v>
      </c>
      <c r="AL95" s="6" t="str">
        <f aca="false">IF($J95="NA","NA",IF(AND($J95&gt;1939,AK95&gt;0),"ERRO","OK"))</f>
        <v>OK</v>
      </c>
      <c r="AM95" s="6" t="n">
        <f aca="false">(10-(LEN(AN95)))+1</f>
        <v>7</v>
      </c>
      <c r="AN95" s="6" t="n">
        <v>5636</v>
      </c>
      <c r="AO95" s="6" t="str">
        <f aca="false">IF($J95="NA","NA",IF(AND($J95&gt;1929,AN95&gt;0),"ERRO","OK"))</f>
        <v>OK</v>
      </c>
      <c r="AP95" s="6" t="n">
        <f aca="false">(10-(LEN(AQ95)))+1</f>
        <v>8</v>
      </c>
      <c r="AQ95" s="6" t="n">
        <v>601</v>
      </c>
      <c r="AR95" s="6" t="str">
        <f aca="false">IF($J95="NA","NA",IF(AND($J95&gt;1919,AQ95&gt;0),"ERRO","OK"))</f>
        <v>OK</v>
      </c>
      <c r="AS95" s="6" t="n">
        <f aca="false">(10-(LEN(AT95)))+1</f>
        <v>10</v>
      </c>
      <c r="AT95" s="6" t="n">
        <v>0</v>
      </c>
      <c r="AU95" s="6" t="str">
        <f aca="false">IF($J95="NA","NA",IF(AND($J95&gt;1909,AT95&gt;0),"ERRO","OK"))</f>
        <v>OK</v>
      </c>
      <c r="AV95" s="6" t="n">
        <f aca="false">(10-(LEN(AW95)))+1</f>
        <v>8</v>
      </c>
      <c r="AW95" s="6" t="n">
        <v>387</v>
      </c>
      <c r="AX95" s="6" t="str">
        <f aca="false">IF($J95="NA","NA",IF(AND($J95&gt;1899,AW95&gt;0),"ERRO","OK"))</f>
        <v>OK</v>
      </c>
    </row>
    <row r="96" customFormat="false" ht="15" hidden="false" customHeight="false" outlineLevel="0" collapsed="false">
      <c r="A96" s="7" t="n">
        <v>93</v>
      </c>
      <c r="B96" s="0" t="s">
        <v>113</v>
      </c>
      <c r="C96" s="8" t="n">
        <v>45307</v>
      </c>
      <c r="D96" s="6" t="n">
        <v>0</v>
      </c>
      <c r="E96" s="0" t="s">
        <v>16</v>
      </c>
      <c r="F96" s="0" t="s">
        <v>17</v>
      </c>
      <c r="G96" s="9" t="str">
        <f aca="false">IF(OR(N96="ERRO",Q96="ERRO",T96="ERRO",W96="ERRO",Z96="ERRO",AC96="ERRO",AF96="ERRO",AI96="ERRO",AL96="ERRO",AO96="ERRO",AR96="ERRO",AU96="ERRO",AX96="ERRO"),"ERRO","OK")</f>
        <v>OK</v>
      </c>
      <c r="H96" s="9" t="n">
        <f aca="false">COUNTIF(L96:AX96,"ERRO")</f>
        <v>0</v>
      </c>
      <c r="I96" s="9" t="s">
        <v>18</v>
      </c>
      <c r="J96" s="10" t="n">
        <v>1889</v>
      </c>
      <c r="K96" s="10" t="n">
        <v>1953</v>
      </c>
      <c r="L96" s="6" t="n">
        <f aca="false">(10-(LEN(M96)))+1</f>
        <v>7</v>
      </c>
      <c r="M96" s="6" t="n">
        <v>2540</v>
      </c>
      <c r="N96" s="6" t="str">
        <f aca="false">IF($J96="NA","NA",IF(AND($J96&gt;2019,M96&gt;0),"ERRO","OK"))</f>
        <v>OK</v>
      </c>
      <c r="O96" s="6" t="n">
        <f aca="false">(10-(LEN(P96)))+1</f>
        <v>7</v>
      </c>
      <c r="P96" s="6" t="n">
        <v>2847</v>
      </c>
      <c r="Q96" s="6" t="str">
        <f aca="false">IF($J96="NA","NA",IF(AND($J96&gt;2009,P96&gt;0),"ERRO","OK"))</f>
        <v>OK</v>
      </c>
      <c r="R96" s="6" t="n">
        <f aca="false">(10-(LEN(S96)))+1</f>
        <v>7</v>
      </c>
      <c r="S96" s="6" t="n">
        <v>6638</v>
      </c>
      <c r="T96" s="6" t="str">
        <f aca="false">IF($J96="NA","NA",IF(AND($J96&gt;1999,S96&gt;0),"ERRO","OK"))</f>
        <v>OK</v>
      </c>
      <c r="U96" s="6" t="n">
        <f aca="false">(10-(LEN(V96)))+1</f>
        <v>7</v>
      </c>
      <c r="V96" s="6" t="n">
        <v>7773</v>
      </c>
      <c r="W96" s="6" t="str">
        <f aca="false">IF($J96="NA","NA",IF(AND($J96&gt;1989,V96&gt;0),"ERRO","OK"))</f>
        <v>OK</v>
      </c>
      <c r="X96" s="6" t="n">
        <f aca="false">(10-(LEN(Y96)))+1</f>
        <v>7</v>
      </c>
      <c r="Y96" s="6" t="n">
        <v>7331</v>
      </c>
      <c r="Z96" s="6" t="str">
        <f aca="false">IF($J96="NA","NA",IF(AND($J96&gt;1979,Y96&gt;0),"ERRO","OK"))</f>
        <v>OK</v>
      </c>
      <c r="AA96" s="6" t="n">
        <f aca="false">(10-(LEN(AB96)))+1</f>
        <v>7</v>
      </c>
      <c r="AB96" s="6" t="n">
        <v>5918</v>
      </c>
      <c r="AC96" s="6" t="str">
        <f aca="false">IF($J96="NA","NA",IF(AND($J96&gt;1969,AB96&gt;0),"ERRO","OK"))</f>
        <v>OK</v>
      </c>
      <c r="AD96" s="6" t="n">
        <f aca="false">(10-(LEN(AE96)))+1</f>
        <v>7</v>
      </c>
      <c r="AE96" s="6" t="n">
        <v>4485</v>
      </c>
      <c r="AF96" s="6" t="str">
        <f aca="false">IF($J96="NA","NA",IF(AND($J96&gt;1959,AE96&gt;0),"ERRO","OK"))</f>
        <v>OK</v>
      </c>
      <c r="AG96" s="6" t="n">
        <f aca="false">(10-(LEN(AH96)))+1</f>
        <v>6</v>
      </c>
      <c r="AH96" s="6" t="n">
        <v>19164</v>
      </c>
      <c r="AI96" s="6" t="str">
        <f aca="false">IF($J96="NA","NA",IF(AND($J96&gt;1949,AH96&gt;0),"ERRO","OK"))</f>
        <v>OK</v>
      </c>
      <c r="AJ96" s="6" t="n">
        <f aca="false">(10-(LEN(AK96)))+1</f>
        <v>6</v>
      </c>
      <c r="AK96" s="6" t="n">
        <v>27991</v>
      </c>
      <c r="AL96" s="6" t="str">
        <f aca="false">IF($J96="NA","NA",IF(AND($J96&gt;1939,AK96&gt;0),"ERRO","OK"))</f>
        <v>OK</v>
      </c>
      <c r="AM96" s="6" t="n">
        <f aca="false">(10-(LEN(AN96)))+1</f>
        <v>7</v>
      </c>
      <c r="AN96" s="6" t="n">
        <v>5636</v>
      </c>
      <c r="AO96" s="6" t="str">
        <f aca="false">IF($J96="NA","NA",IF(AND($J96&gt;1929,AN96&gt;0),"ERRO","OK"))</f>
        <v>OK</v>
      </c>
      <c r="AP96" s="6" t="n">
        <f aca="false">(10-(LEN(AQ96)))+1</f>
        <v>8</v>
      </c>
      <c r="AQ96" s="6" t="n">
        <v>100</v>
      </c>
      <c r="AR96" s="6" t="str">
        <f aca="false">IF($J96="NA","NA",IF(AND($J96&gt;1919,AQ96&gt;0),"ERRO","OK"))</f>
        <v>OK</v>
      </c>
      <c r="AS96" s="6" t="n">
        <f aca="false">(10-(LEN(AT96)))+1</f>
        <v>10</v>
      </c>
      <c r="AT96" s="6" t="n">
        <v>0</v>
      </c>
      <c r="AU96" s="6" t="str">
        <f aca="false">IF($J96="NA","NA",IF(AND($J96&gt;1909,AT96&gt;0),"ERRO","OK"))</f>
        <v>OK</v>
      </c>
      <c r="AV96" s="6" t="n">
        <f aca="false">(10-(LEN(AW96)))+1</f>
        <v>10</v>
      </c>
      <c r="AW96" s="6" t="n">
        <v>0</v>
      </c>
      <c r="AX96" s="6" t="str">
        <f aca="false">IF($J96="NA","NA",IF(AND($J96&gt;1899,AW96&gt;0),"ERRO","OK"))</f>
        <v>OK</v>
      </c>
    </row>
    <row r="97" customFormat="false" ht="15" hidden="false" customHeight="false" outlineLevel="0" collapsed="false">
      <c r="A97" s="7" t="n">
        <v>94</v>
      </c>
      <c r="B97" s="0" t="s">
        <v>114</v>
      </c>
      <c r="C97" s="8" t="n">
        <v>45307</v>
      </c>
      <c r="D97" s="6" t="n">
        <v>0</v>
      </c>
      <c r="E97" s="0" t="s">
        <v>16</v>
      </c>
      <c r="F97" s="0" t="s">
        <v>17</v>
      </c>
      <c r="G97" s="9" t="str">
        <f aca="false">IF(OR(N97="ERRO",Q97="ERRO",T97="ERRO",W97="ERRO",Z97="ERRO",AC97="ERRO",AF97="ERRO",AI97="ERRO",AL97="ERRO",AO97="ERRO",AR97="ERRO",AU97="ERRO",AX97="ERRO"),"ERRO","OK")</f>
        <v>OK</v>
      </c>
      <c r="H97" s="9" t="n">
        <f aca="false">COUNTIF(L97:AX97,"ERRO")</f>
        <v>0</v>
      </c>
      <c r="I97" s="9" t="s">
        <v>18</v>
      </c>
      <c r="J97" s="10" t="n">
        <v>1881</v>
      </c>
      <c r="K97" s="10" t="n">
        <v>1940</v>
      </c>
      <c r="L97" s="6" t="n">
        <f aca="false">(10-(LEN(M97)))+1</f>
        <v>9</v>
      </c>
      <c r="M97" s="6" t="n">
        <v>42</v>
      </c>
      <c r="N97" s="6" t="str">
        <f aca="false">IF($J97="NA","NA",IF(AND($J97&gt;2019,M97&gt;0),"ERRO","OK"))</f>
        <v>OK</v>
      </c>
      <c r="O97" s="6" t="n">
        <f aca="false">(10-(LEN(P97)))+1</f>
        <v>7</v>
      </c>
      <c r="P97" s="6" t="n">
        <v>1029</v>
      </c>
      <c r="Q97" s="6" t="str">
        <f aca="false">IF($J97="NA","NA",IF(AND($J97&gt;2009,P97&gt;0),"ERRO","OK"))</f>
        <v>OK</v>
      </c>
      <c r="R97" s="6" t="n">
        <f aca="false">(10-(LEN(S97)))+1</f>
        <v>6</v>
      </c>
      <c r="S97" s="6" t="n">
        <v>12647</v>
      </c>
      <c r="T97" s="6" t="str">
        <f aca="false">IF($J97="NA","NA",IF(AND($J97&gt;1999,S97&gt;0),"ERRO","OK"))</f>
        <v>OK</v>
      </c>
      <c r="U97" s="6" t="n">
        <f aca="false">(10-(LEN(V97)))+1</f>
        <v>8</v>
      </c>
      <c r="V97" s="6" t="n">
        <v>460</v>
      </c>
      <c r="W97" s="6" t="str">
        <f aca="false">IF($J97="NA","NA",IF(AND($J97&gt;1989,V97&gt;0),"ERRO","OK"))</f>
        <v>OK</v>
      </c>
      <c r="X97" s="6" t="n">
        <f aca="false">(10-(LEN(Y97)))+1</f>
        <v>8</v>
      </c>
      <c r="Y97" s="6" t="n">
        <v>321</v>
      </c>
      <c r="Z97" s="6" t="str">
        <f aca="false">IF($J97="NA","NA",IF(AND($J97&gt;1979,Y97&gt;0),"ERRO","OK"))</f>
        <v>OK</v>
      </c>
      <c r="AA97" s="6" t="n">
        <f aca="false">(10-(LEN(AB97)))+1</f>
        <v>7</v>
      </c>
      <c r="AB97" s="6" t="n">
        <v>1817</v>
      </c>
      <c r="AC97" s="6" t="str">
        <f aca="false">IF($J97="NA","NA",IF(AND($J97&gt;1969,AB97&gt;0),"ERRO","OK"))</f>
        <v>OK</v>
      </c>
      <c r="AD97" s="6" t="n">
        <f aca="false">(10-(LEN(AE97)))+1</f>
        <v>7</v>
      </c>
      <c r="AE97" s="6" t="n">
        <v>1076</v>
      </c>
      <c r="AF97" s="6" t="str">
        <f aca="false">IF($J97="NA","NA",IF(AND($J97&gt;1959,AE97&gt;0),"ERRO","OK"))</f>
        <v>OK</v>
      </c>
      <c r="AG97" s="6" t="n">
        <f aca="false">(10-(LEN(AH97)))+1</f>
        <v>7</v>
      </c>
      <c r="AH97" s="6" t="n">
        <v>1542</v>
      </c>
      <c r="AI97" s="6" t="str">
        <f aca="false">IF($J97="NA","NA",IF(AND($J97&gt;1949,AH97&gt;0),"ERRO","OK"))</f>
        <v>OK</v>
      </c>
      <c r="AJ97" s="6" t="n">
        <f aca="false">(10-(LEN(AK97)))+1</f>
        <v>7</v>
      </c>
      <c r="AK97" s="6" t="n">
        <v>6406</v>
      </c>
      <c r="AL97" s="6" t="str">
        <f aca="false">IF($J97="NA","NA",IF(AND($J97&gt;1939,AK97&gt;0),"ERRO","OK"))</f>
        <v>OK</v>
      </c>
      <c r="AM97" s="6" t="n">
        <f aca="false">(10-(LEN(AN97)))+1</f>
        <v>7</v>
      </c>
      <c r="AN97" s="6" t="n">
        <v>7464</v>
      </c>
      <c r="AO97" s="6" t="str">
        <f aca="false">IF($J97="NA","NA",IF(AND($J97&gt;1929,AN97&gt;0),"ERRO","OK"))</f>
        <v>OK</v>
      </c>
      <c r="AP97" s="6" t="n">
        <f aca="false">(10-(LEN(AQ97)))+1</f>
        <v>7</v>
      </c>
      <c r="AQ97" s="6" t="n">
        <v>4806</v>
      </c>
      <c r="AR97" s="6" t="str">
        <f aca="false">IF($J97="NA","NA",IF(AND($J97&gt;1919,AQ97&gt;0),"ERRO","OK"))</f>
        <v>OK</v>
      </c>
      <c r="AS97" s="6" t="n">
        <f aca="false">(10-(LEN(AT97)))+1</f>
        <v>7</v>
      </c>
      <c r="AT97" s="6" t="n">
        <v>1134</v>
      </c>
      <c r="AU97" s="6" t="str">
        <f aca="false">IF($J97="NA","NA",IF(AND($J97&gt;1909,AT97&gt;0),"ERRO","OK"))</f>
        <v>OK</v>
      </c>
      <c r="AV97" s="6" t="n">
        <f aca="false">(10-(LEN(AW97)))+1</f>
        <v>10</v>
      </c>
      <c r="AW97" s="6" t="n">
        <v>0</v>
      </c>
      <c r="AX97" s="6" t="str">
        <f aca="false">IF($J97="NA","NA",IF(AND($J97&gt;1899,AW97&gt;0),"ERRO","OK"))</f>
        <v>OK</v>
      </c>
    </row>
    <row r="98" customFormat="false" ht="15" hidden="false" customHeight="false" outlineLevel="0" collapsed="false">
      <c r="A98" s="7" t="n">
        <v>95</v>
      </c>
      <c r="B98" s="0" t="s">
        <v>115</v>
      </c>
      <c r="C98" s="8" t="n">
        <v>45307</v>
      </c>
      <c r="D98" s="6" t="n">
        <v>0</v>
      </c>
      <c r="E98" s="0" t="s">
        <v>16</v>
      </c>
      <c r="F98" s="0" t="s">
        <v>17</v>
      </c>
      <c r="G98" s="9" t="str">
        <f aca="false">IF(OR(N98="ERRO",Q98="ERRO",T98="ERRO",W98="ERRO",Z98="ERRO",AC98="ERRO",AF98="ERRO",AI98="ERRO",AL98="ERRO",AO98="ERRO",AR98="ERRO",AU98="ERRO",AX98="ERRO"),"ERRO","OK")</f>
        <v>OK</v>
      </c>
      <c r="H98" s="9" t="n">
        <f aca="false">COUNTIF(L98:AX98,"ERRO")</f>
        <v>0</v>
      </c>
      <c r="I98" s="9" t="s">
        <v>18</v>
      </c>
      <c r="J98" s="10" t="n">
        <v>1885</v>
      </c>
      <c r="K98" s="10" t="n">
        <v>1970</v>
      </c>
      <c r="L98" s="6" t="n">
        <f aca="false">(10-(LEN(M98)))+1</f>
        <v>10</v>
      </c>
      <c r="M98" s="6" t="n">
        <v>0</v>
      </c>
      <c r="N98" s="6" t="str">
        <f aca="false">IF($J98="NA","NA",IF(AND($J98&gt;2019,M98&gt;0),"ERRO","OK"))</f>
        <v>OK</v>
      </c>
      <c r="O98" s="6" t="n">
        <f aca="false">(10-(LEN(P98)))+1</f>
        <v>9</v>
      </c>
      <c r="P98" s="6" t="n">
        <v>34</v>
      </c>
      <c r="Q98" s="6" t="str">
        <f aca="false">IF($J98="NA","NA",IF(AND($J98&gt;2009,P98&gt;0),"ERRO","OK"))</f>
        <v>OK</v>
      </c>
      <c r="R98" s="6" t="n">
        <f aca="false">(10-(LEN(S98)))+1</f>
        <v>9</v>
      </c>
      <c r="S98" s="6" t="n">
        <v>84</v>
      </c>
      <c r="T98" s="6" t="str">
        <f aca="false">IF($J98="NA","NA",IF(AND($J98&gt;1999,S98&gt;0),"ERRO","OK"))</f>
        <v>OK</v>
      </c>
      <c r="U98" s="6" t="n">
        <f aca="false">(10-(LEN(V98)))+1</f>
        <v>9</v>
      </c>
      <c r="V98" s="6" t="n">
        <v>92</v>
      </c>
      <c r="W98" s="6" t="str">
        <f aca="false">IF($J98="NA","NA",IF(AND($J98&gt;1989,V98&gt;0),"ERRO","OK"))</f>
        <v>OK</v>
      </c>
      <c r="X98" s="6" t="n">
        <f aca="false">(10-(LEN(Y98)))+1</f>
        <v>10</v>
      </c>
      <c r="Y98" s="6" t="n">
        <v>0</v>
      </c>
      <c r="Z98" s="6" t="str">
        <f aca="false">IF($J98="NA","NA",IF(AND($J98&gt;1979,Y98&gt;0),"ERRO","OK"))</f>
        <v>OK</v>
      </c>
      <c r="AA98" s="6" t="n">
        <f aca="false">(10-(LEN(AB98)))+1</f>
        <v>8</v>
      </c>
      <c r="AB98" s="6" t="n">
        <v>234</v>
      </c>
      <c r="AC98" s="6" t="str">
        <f aca="false">IF($J98="NA","NA",IF(AND($J98&gt;1969,AB98&gt;0),"ERRO","OK"))</f>
        <v>OK</v>
      </c>
      <c r="AD98" s="6" t="n">
        <f aca="false">(10-(LEN(AE98)))+1</f>
        <v>10</v>
      </c>
      <c r="AE98" s="6" t="n">
        <v>0</v>
      </c>
      <c r="AF98" s="6" t="str">
        <f aca="false">IF($J98="NA","NA",IF(AND($J98&gt;1959,AE98&gt;0),"ERRO","OK"))</f>
        <v>OK</v>
      </c>
      <c r="AG98" s="6" t="n">
        <f aca="false">(10-(LEN(AH98)))+1</f>
        <v>10</v>
      </c>
      <c r="AH98" s="6" t="n">
        <v>0</v>
      </c>
      <c r="AI98" s="6" t="str">
        <f aca="false">IF($J98="NA","NA",IF(AND($J98&gt;1949,AH98&gt;0),"ERRO","OK"))</f>
        <v>OK</v>
      </c>
      <c r="AJ98" s="6" t="n">
        <f aca="false">(10-(LEN(AK98)))+1</f>
        <v>8</v>
      </c>
      <c r="AK98" s="6" t="n">
        <v>418</v>
      </c>
      <c r="AL98" s="6" t="str">
        <f aca="false">IF($J98="NA","NA",IF(AND($J98&gt;1939,AK98&gt;0),"ERRO","OK"))</f>
        <v>OK</v>
      </c>
      <c r="AM98" s="6" t="n">
        <f aca="false">(10-(LEN(AN98)))+1</f>
        <v>10</v>
      </c>
      <c r="AN98" s="6" t="n">
        <v>0</v>
      </c>
      <c r="AO98" s="6" t="str">
        <f aca="false">IF($J98="NA","NA",IF(AND($J98&gt;1929,AN98&gt;0),"ERRO","OK"))</f>
        <v>OK</v>
      </c>
      <c r="AP98" s="6" t="n">
        <f aca="false">(10-(LEN(AQ98)))+1</f>
        <v>10</v>
      </c>
      <c r="AQ98" s="6" t="n">
        <v>0</v>
      </c>
      <c r="AR98" s="6" t="str">
        <f aca="false">IF($J98="NA","NA",IF(AND($J98&gt;1919,AQ98&gt;0),"ERRO","OK"))</f>
        <v>OK</v>
      </c>
      <c r="AS98" s="6" t="n">
        <f aca="false">(10-(LEN(AT98)))+1</f>
        <v>10</v>
      </c>
      <c r="AT98" s="6" t="n">
        <v>0</v>
      </c>
      <c r="AU98" s="6" t="str">
        <f aca="false">IF($J98="NA","NA",IF(AND($J98&gt;1909,AT98&gt;0),"ERRO","OK"))</f>
        <v>OK</v>
      </c>
      <c r="AV98" s="6" t="n">
        <f aca="false">(10-(LEN(AW98)))+1</f>
        <v>10</v>
      </c>
      <c r="AW98" s="6" t="n">
        <v>0</v>
      </c>
      <c r="AX98" s="6" t="str">
        <f aca="false">IF($J98="NA","NA",IF(AND($J98&gt;1899,AW98&gt;0),"ERRO","OK"))</f>
        <v>OK</v>
      </c>
    </row>
    <row r="99" customFormat="false" ht="15" hidden="false" customHeight="false" outlineLevel="0" collapsed="false">
      <c r="A99" s="7" t="n">
        <v>96</v>
      </c>
      <c r="B99" s="0" t="s">
        <v>116</v>
      </c>
      <c r="C99" s="8" t="n">
        <v>45307</v>
      </c>
      <c r="D99" s="6" t="n">
        <v>0</v>
      </c>
      <c r="E99" s="0" t="s">
        <v>16</v>
      </c>
      <c r="F99" s="0" t="s">
        <v>17</v>
      </c>
      <c r="G99" s="9" t="str">
        <f aca="false">IF(OR(N99="ERRO",Q99="ERRO",T99="ERRO",W99="ERRO",Z99="ERRO",AC99="ERRO",AF99="ERRO",AI99="ERRO",AL99="ERRO",AO99="ERRO",AR99="ERRO",AU99="ERRO",AX99="ERRO"),"ERRO","OK")</f>
        <v>OK</v>
      </c>
      <c r="H99" s="9" t="n">
        <f aca="false">COUNTIF(L99:AX99,"ERRO")</f>
        <v>0</v>
      </c>
      <c r="I99" s="9" t="s">
        <v>18</v>
      </c>
      <c r="J99" s="10" t="n">
        <v>1902</v>
      </c>
      <c r="K99" s="10" t="n">
        <v>1988</v>
      </c>
      <c r="L99" s="6" t="n">
        <f aca="false">(10-(LEN(M99)))+1</f>
        <v>8</v>
      </c>
      <c r="M99" s="6" t="n">
        <v>370</v>
      </c>
      <c r="N99" s="6" t="str">
        <f aca="false">IF($J99="NA","NA",IF(AND($J99&gt;2019,M99&gt;0),"ERRO","OK"))</f>
        <v>OK</v>
      </c>
      <c r="O99" s="6" t="n">
        <f aca="false">(10-(LEN(P99)))+1</f>
        <v>9</v>
      </c>
      <c r="P99" s="6" t="n">
        <v>76</v>
      </c>
      <c r="Q99" s="6" t="str">
        <f aca="false">IF($J99="NA","NA",IF(AND($J99&gt;2009,P99&gt;0),"ERRO","OK"))</f>
        <v>OK</v>
      </c>
      <c r="R99" s="6" t="n">
        <f aca="false">(10-(LEN(S99)))+1</f>
        <v>8</v>
      </c>
      <c r="S99" s="6" t="n">
        <v>139</v>
      </c>
      <c r="T99" s="6" t="str">
        <f aca="false">IF($J99="NA","NA",IF(AND($J99&gt;1999,S99&gt;0),"ERRO","OK"))</f>
        <v>OK</v>
      </c>
      <c r="U99" s="6" t="n">
        <f aca="false">(10-(LEN(V99)))+1</f>
        <v>9</v>
      </c>
      <c r="V99" s="6" t="n">
        <v>51</v>
      </c>
      <c r="W99" s="6" t="str">
        <f aca="false">IF($J99="NA","NA",IF(AND($J99&gt;1989,V99&gt;0),"ERRO","OK"))</f>
        <v>OK</v>
      </c>
      <c r="X99" s="6" t="n">
        <f aca="false">(10-(LEN(Y99)))+1</f>
        <v>10</v>
      </c>
      <c r="Y99" s="6" t="n">
        <v>0</v>
      </c>
      <c r="Z99" s="6" t="str">
        <f aca="false">IF($J99="NA","NA",IF(AND($J99&gt;1979,Y99&gt;0),"ERRO","OK"))</f>
        <v>OK</v>
      </c>
      <c r="AA99" s="6" t="n">
        <f aca="false">(10-(LEN(AB99)))+1</f>
        <v>10</v>
      </c>
      <c r="AB99" s="6" t="n">
        <v>0</v>
      </c>
      <c r="AC99" s="6" t="str">
        <f aca="false">IF($J99="NA","NA",IF(AND($J99&gt;1969,AB99&gt;0),"ERRO","OK"))</f>
        <v>OK</v>
      </c>
      <c r="AD99" s="6" t="n">
        <f aca="false">(10-(LEN(AE99)))+1</f>
        <v>10</v>
      </c>
      <c r="AE99" s="6" t="n">
        <v>0</v>
      </c>
      <c r="AF99" s="6" t="str">
        <f aca="false">IF($J99="NA","NA",IF(AND($J99&gt;1959,AE99&gt;0),"ERRO","OK"))</f>
        <v>OK</v>
      </c>
      <c r="AG99" s="6" t="n">
        <f aca="false">(10-(LEN(AH99)))+1</f>
        <v>10</v>
      </c>
      <c r="AH99" s="6" t="n">
        <v>0</v>
      </c>
      <c r="AI99" s="6" t="str">
        <f aca="false">IF($J99="NA","NA",IF(AND($J99&gt;1949,AH99&gt;0),"ERRO","OK"))</f>
        <v>OK</v>
      </c>
      <c r="AJ99" s="6" t="n">
        <f aca="false">(10-(LEN(AK99)))+1</f>
        <v>8</v>
      </c>
      <c r="AK99" s="6" t="n">
        <v>155</v>
      </c>
      <c r="AL99" s="6" t="str">
        <f aca="false">IF($J99="NA","NA",IF(AND($J99&gt;1939,AK99&gt;0),"ERRO","OK"))</f>
        <v>OK</v>
      </c>
      <c r="AM99" s="6" t="n">
        <f aca="false">(10-(LEN(AN99)))+1</f>
        <v>10</v>
      </c>
      <c r="AN99" s="6" t="n">
        <v>0</v>
      </c>
      <c r="AO99" s="6" t="str">
        <f aca="false">IF($J99="NA","NA",IF(AND($J99&gt;1929,AN99&gt;0),"ERRO","OK"))</f>
        <v>OK</v>
      </c>
      <c r="AP99" s="6" t="n">
        <f aca="false">(10-(LEN(AQ99)))+1</f>
        <v>8</v>
      </c>
      <c r="AQ99" s="6" t="n">
        <v>111</v>
      </c>
      <c r="AR99" s="6" t="str">
        <f aca="false">IF($J99="NA","NA",IF(AND($J99&gt;1919,AQ99&gt;0),"ERRO","OK"))</f>
        <v>OK</v>
      </c>
      <c r="AS99" s="6" t="n">
        <f aca="false">(10-(LEN(AT99)))+1</f>
        <v>10</v>
      </c>
      <c r="AT99" s="6" t="n">
        <v>0</v>
      </c>
      <c r="AU99" s="6" t="str">
        <f aca="false">IF($J99="NA","NA",IF(AND($J99&gt;1909,AT99&gt;0),"ERRO","OK"))</f>
        <v>OK</v>
      </c>
      <c r="AV99" s="6" t="n">
        <f aca="false">(10-(LEN(AW99)))+1</f>
        <v>10</v>
      </c>
      <c r="AW99" s="6" t="n">
        <v>0</v>
      </c>
      <c r="AX99" s="6" t="str">
        <f aca="false">IF($J99="NA","NA",IF(AND($J99&gt;1899,AW99&gt;0),"ERRO","OK"))</f>
        <v>OK</v>
      </c>
    </row>
    <row r="100" customFormat="false" ht="15" hidden="false" customHeight="false" outlineLevel="0" collapsed="false">
      <c r="A100" s="7" t="n">
        <v>97</v>
      </c>
      <c r="B100" s="0" t="s">
        <v>117</v>
      </c>
      <c r="C100" s="8" t="n">
        <v>45307</v>
      </c>
      <c r="D100" s="6" t="n">
        <v>0</v>
      </c>
      <c r="E100" s="0" t="s">
        <v>16</v>
      </c>
      <c r="F100" s="0" t="s">
        <v>17</v>
      </c>
      <c r="G100" s="9" t="str">
        <f aca="false">IF(OR(N100="ERRO",Q100="ERRO",T100="ERRO",W100="ERRO",Z100="ERRO",AC100="ERRO",AF100="ERRO",AI100="ERRO",AL100="ERRO",AO100="ERRO",AR100="ERRO",AU100="ERRO",AX100="ERRO"),"ERRO","OK")</f>
        <v>OK</v>
      </c>
      <c r="H100" s="9" t="n">
        <f aca="false">COUNTIF(L100:AX100,"ERRO")</f>
        <v>0</v>
      </c>
      <c r="I100" s="9" t="s">
        <v>18</v>
      </c>
      <c r="J100" s="10" t="n">
        <v>1902</v>
      </c>
      <c r="K100" s="10" t="n">
        <v>1984</v>
      </c>
      <c r="L100" s="6" t="n">
        <f aca="false">(10-(LEN(M100)))+1</f>
        <v>9</v>
      </c>
      <c r="M100" s="6" t="n">
        <v>46</v>
      </c>
      <c r="N100" s="6" t="str">
        <f aca="false">IF($J100="NA","NA",IF(AND($J100&gt;2019,M100&gt;0),"ERRO","OK"))</f>
        <v>OK</v>
      </c>
      <c r="O100" s="6" t="n">
        <f aca="false">(10-(LEN(P100)))+1</f>
        <v>10</v>
      </c>
      <c r="P100" s="6" t="n">
        <v>0</v>
      </c>
      <c r="Q100" s="6" t="str">
        <f aca="false">IF($J100="NA","NA",IF(AND($J100&gt;2009,P100&gt;0),"ERRO","OK"))</f>
        <v>OK</v>
      </c>
      <c r="R100" s="6" t="n">
        <f aca="false">(10-(LEN(S100)))+1</f>
        <v>9</v>
      </c>
      <c r="S100" s="6" t="n">
        <v>46</v>
      </c>
      <c r="T100" s="6" t="str">
        <f aca="false">IF($J100="NA","NA",IF(AND($J100&gt;1999,S100&gt;0),"ERRO","OK"))</f>
        <v>OK</v>
      </c>
      <c r="U100" s="6" t="n">
        <f aca="false">(10-(LEN(V100)))+1</f>
        <v>10</v>
      </c>
      <c r="V100" s="6" t="n">
        <v>0</v>
      </c>
      <c r="W100" s="6" t="str">
        <f aca="false">IF($J100="NA","NA",IF(AND($J100&gt;1989,V100&gt;0),"ERRO","OK"))</f>
        <v>OK</v>
      </c>
      <c r="X100" s="6" t="n">
        <f aca="false">(10-(LEN(Y100)))+1</f>
        <v>8</v>
      </c>
      <c r="Y100" s="6" t="n">
        <v>178</v>
      </c>
      <c r="Z100" s="6" t="str">
        <f aca="false">IF($J100="NA","NA",IF(AND($J100&gt;1979,Y100&gt;0),"ERRO","OK"))</f>
        <v>OK</v>
      </c>
      <c r="AA100" s="6" t="n">
        <f aca="false">(10-(LEN(AB100)))+1</f>
        <v>10</v>
      </c>
      <c r="AB100" s="6" t="n">
        <v>0</v>
      </c>
      <c r="AC100" s="6" t="str">
        <f aca="false">IF($J100="NA","NA",IF(AND($J100&gt;1969,AB100&gt;0),"ERRO","OK"))</f>
        <v>OK</v>
      </c>
      <c r="AD100" s="6" t="n">
        <f aca="false">(10-(LEN(AE100)))+1</f>
        <v>10</v>
      </c>
      <c r="AE100" s="6" t="n">
        <v>0</v>
      </c>
      <c r="AF100" s="6" t="str">
        <f aca="false">IF($J100="NA","NA",IF(AND($J100&gt;1959,AE100&gt;0),"ERRO","OK"))</f>
        <v>OK</v>
      </c>
      <c r="AG100" s="6" t="n">
        <f aca="false">(10-(LEN(AH100)))+1</f>
        <v>10</v>
      </c>
      <c r="AH100" s="6" t="n">
        <v>0</v>
      </c>
      <c r="AI100" s="6" t="str">
        <f aca="false">IF($J100="NA","NA",IF(AND($J100&gt;1949,AH100&gt;0),"ERRO","OK"))</f>
        <v>OK</v>
      </c>
      <c r="AJ100" s="6" t="n">
        <f aca="false">(10-(LEN(AK100)))+1</f>
        <v>8</v>
      </c>
      <c r="AK100" s="6" t="n">
        <v>309</v>
      </c>
      <c r="AL100" s="6" t="str">
        <f aca="false">IF($J100="NA","NA",IF(AND($J100&gt;1939,AK100&gt;0),"ERRO","OK"))</f>
        <v>OK</v>
      </c>
      <c r="AM100" s="6" t="n">
        <f aca="false">(10-(LEN(AN100)))+1</f>
        <v>10</v>
      </c>
      <c r="AN100" s="6" t="n">
        <v>0</v>
      </c>
      <c r="AO100" s="6" t="str">
        <f aca="false">IF($J100="NA","NA",IF(AND($J100&gt;1929,AN100&gt;0),"ERRO","OK"))</f>
        <v>OK</v>
      </c>
      <c r="AP100" s="6" t="n">
        <f aca="false">(10-(LEN(AQ100)))+1</f>
        <v>10</v>
      </c>
      <c r="AQ100" s="6" t="n">
        <v>0</v>
      </c>
      <c r="AR100" s="6" t="str">
        <f aca="false">IF($J100="NA","NA",IF(AND($J100&gt;1919,AQ100&gt;0),"ERRO","OK"))</f>
        <v>OK</v>
      </c>
      <c r="AS100" s="6" t="n">
        <f aca="false">(10-(LEN(AT100)))+1</f>
        <v>10</v>
      </c>
      <c r="AT100" s="6" t="n">
        <v>0</v>
      </c>
      <c r="AU100" s="6" t="str">
        <f aca="false">IF($J100="NA","NA",IF(AND($J100&gt;1909,AT100&gt;0),"ERRO","OK"))</f>
        <v>OK</v>
      </c>
      <c r="AV100" s="6" t="n">
        <f aca="false">(10-(LEN(AW100)))+1</f>
        <v>10</v>
      </c>
      <c r="AW100" s="6" t="n">
        <v>0</v>
      </c>
      <c r="AX100" s="6" t="str">
        <f aca="false">IF($J100="NA","NA",IF(AND($J100&gt;1899,AW100&gt;0),"ERRO","OK"))</f>
        <v>OK</v>
      </c>
    </row>
    <row r="101" customFormat="false" ht="15" hidden="false" customHeight="false" outlineLevel="0" collapsed="false">
      <c r="A101" s="7" t="n">
        <v>98</v>
      </c>
      <c r="B101" s="0" t="s">
        <v>118</v>
      </c>
      <c r="C101" s="8" t="n">
        <v>45307</v>
      </c>
      <c r="D101" s="6" t="n">
        <v>0</v>
      </c>
      <c r="E101" s="0" t="s">
        <v>16</v>
      </c>
      <c r="F101" s="0" t="s">
        <v>17</v>
      </c>
      <c r="G101" s="9" t="str">
        <f aca="false">IF(OR(N101="ERRO",Q101="ERRO",T101="ERRO",W101="ERRO",Z101="ERRO",AC101="ERRO",AF101="ERRO",AI101="ERRO",AL101="ERRO",AO101="ERRO",AR101="ERRO",AU101="ERRO",AX101="ERRO"),"ERRO","OK")</f>
        <v>OK</v>
      </c>
      <c r="H101" s="9" t="n">
        <f aca="false">COUNTIF(L101:AX101,"ERRO")</f>
        <v>0</v>
      </c>
      <c r="I101" s="9" t="s">
        <v>18</v>
      </c>
      <c r="J101" s="10" t="n">
        <v>1878</v>
      </c>
      <c r="K101" s="10" t="n">
        <v>1959</v>
      </c>
      <c r="L101" s="6" t="n">
        <f aca="false">(10-(LEN(M101)))+1</f>
        <v>8</v>
      </c>
      <c r="M101" s="6" t="n">
        <v>416</v>
      </c>
      <c r="N101" s="6" t="str">
        <f aca="false">IF($J101="NA","NA",IF(AND($J101&gt;2019,M101&gt;0),"ERRO","OK"))</f>
        <v>OK</v>
      </c>
      <c r="O101" s="6" t="n">
        <f aca="false">(10-(LEN(P101)))+1</f>
        <v>8</v>
      </c>
      <c r="P101" s="6" t="n">
        <v>137</v>
      </c>
      <c r="Q101" s="6" t="str">
        <f aca="false">IF($J101="NA","NA",IF(AND($J101&gt;2009,P101&gt;0),"ERRO","OK"))</f>
        <v>OK</v>
      </c>
      <c r="R101" s="6" t="n">
        <f aca="false">(10-(LEN(S101)))+1</f>
        <v>7</v>
      </c>
      <c r="S101" s="6" t="n">
        <v>1092</v>
      </c>
      <c r="T101" s="6" t="str">
        <f aca="false">IF($J101="NA","NA",IF(AND($J101&gt;1999,S101&gt;0),"ERRO","OK"))</f>
        <v>OK</v>
      </c>
      <c r="U101" s="6" t="n">
        <f aca="false">(10-(LEN(V101)))+1</f>
        <v>8</v>
      </c>
      <c r="V101" s="6" t="n">
        <v>322</v>
      </c>
      <c r="W101" s="6" t="str">
        <f aca="false">IF($J101="NA","NA",IF(AND($J101&gt;1989,V101&gt;0),"ERRO","OK"))</f>
        <v>OK</v>
      </c>
      <c r="X101" s="6" t="n">
        <f aca="false">(10-(LEN(Y101)))+1</f>
        <v>8</v>
      </c>
      <c r="Y101" s="6" t="n">
        <v>803</v>
      </c>
      <c r="Z101" s="6" t="str">
        <f aca="false">IF($J101="NA","NA",IF(AND($J101&gt;1979,Y101&gt;0),"ERRO","OK"))</f>
        <v>OK</v>
      </c>
      <c r="AA101" s="6" t="n">
        <f aca="false">(10-(LEN(AB101)))+1</f>
        <v>7</v>
      </c>
      <c r="AB101" s="6" t="n">
        <v>1113</v>
      </c>
      <c r="AC101" s="6" t="str">
        <f aca="false">IF($J101="NA","NA",IF(AND($J101&gt;1969,AB101&gt;0),"ERRO","OK"))</f>
        <v>OK</v>
      </c>
      <c r="AD101" s="6" t="n">
        <f aca="false">(10-(LEN(AE101)))+1</f>
        <v>7</v>
      </c>
      <c r="AE101" s="6" t="n">
        <v>1166</v>
      </c>
      <c r="AF101" s="6" t="str">
        <f aca="false">IF($J101="NA","NA",IF(AND($J101&gt;1959,AE101&gt;0),"ERRO","OK"))</f>
        <v>OK</v>
      </c>
      <c r="AG101" s="6" t="n">
        <f aca="false">(10-(LEN(AH101)))+1</f>
        <v>8</v>
      </c>
      <c r="AH101" s="6" t="n">
        <v>551</v>
      </c>
      <c r="AI101" s="6" t="str">
        <f aca="false">IF($J101="NA","NA",IF(AND($J101&gt;1949,AH101&gt;0),"ERRO","OK"))</f>
        <v>OK</v>
      </c>
      <c r="AJ101" s="6" t="n">
        <f aca="false">(10-(LEN(AK101)))+1</f>
        <v>8</v>
      </c>
      <c r="AK101" s="6" t="n">
        <v>139</v>
      </c>
      <c r="AL101" s="6" t="str">
        <f aca="false">IF($J101="NA","NA",IF(AND($J101&gt;1939,AK101&gt;0),"ERRO","OK"))</f>
        <v>OK</v>
      </c>
      <c r="AM101" s="6" t="n">
        <f aca="false">(10-(LEN(AN101)))+1</f>
        <v>7</v>
      </c>
      <c r="AN101" s="6" t="n">
        <v>1676</v>
      </c>
      <c r="AO101" s="6" t="str">
        <f aca="false">IF($J101="NA","NA",IF(AND($J101&gt;1929,AN101&gt;0),"ERRO","OK"))</f>
        <v>OK</v>
      </c>
      <c r="AP101" s="6" t="n">
        <f aca="false">(10-(LEN(AQ101)))+1</f>
        <v>7</v>
      </c>
      <c r="AQ101" s="6" t="n">
        <v>1802</v>
      </c>
      <c r="AR101" s="6" t="str">
        <f aca="false">IF($J101="NA","NA",IF(AND($J101&gt;1919,AQ101&gt;0),"ERRO","OK"))</f>
        <v>OK</v>
      </c>
      <c r="AS101" s="6" t="n">
        <f aca="false">(10-(LEN(AT101)))+1</f>
        <v>10</v>
      </c>
      <c r="AT101" s="6" t="n">
        <v>0</v>
      </c>
      <c r="AU101" s="6" t="str">
        <f aca="false">IF($J101="NA","NA",IF(AND($J101&gt;1909,AT101&gt;0),"ERRO","OK"))</f>
        <v>OK</v>
      </c>
      <c r="AV101" s="6" t="n">
        <f aca="false">(10-(LEN(AW101)))+1</f>
        <v>10</v>
      </c>
      <c r="AW101" s="6" t="n">
        <v>0</v>
      </c>
      <c r="AX101" s="6" t="str">
        <f aca="false">IF($J101="NA","NA",IF(AND($J101&gt;1899,AW101&gt;0),"ERRO","OK"))</f>
        <v>OK</v>
      </c>
    </row>
    <row r="102" customFormat="false" ht="15" hidden="false" customHeight="false" outlineLevel="0" collapsed="false">
      <c r="A102" s="7" t="n">
        <v>99</v>
      </c>
      <c r="B102" s="0" t="s">
        <v>119</v>
      </c>
      <c r="C102" s="8" t="n">
        <v>45307</v>
      </c>
      <c r="D102" s="6" t="n">
        <v>0</v>
      </c>
      <c r="E102" s="0" t="s">
        <v>16</v>
      </c>
      <c r="F102" s="0" t="s">
        <v>17</v>
      </c>
      <c r="G102" s="9" t="str">
        <f aca="false">IF(OR(N102="ERRO",Q102="ERRO",T102="ERRO",W102="ERRO",Z102="ERRO",AC102="ERRO",AF102="ERRO",AI102="ERRO",AL102="ERRO",AO102="ERRO",AR102="ERRO",AU102="ERRO",AX102="ERRO"),"ERRO","OK")</f>
        <v>OK</v>
      </c>
      <c r="H102" s="9" t="n">
        <f aca="false">COUNTIF(L102:AX102,"ERRO")</f>
        <v>0</v>
      </c>
      <c r="I102" s="9" t="s">
        <v>18</v>
      </c>
      <c r="J102" s="10" t="s">
        <v>22</v>
      </c>
      <c r="K102" s="10" t="s">
        <v>22</v>
      </c>
      <c r="L102" s="6" t="n">
        <f aca="false">(10-(LEN(M102)))+1</f>
        <v>10</v>
      </c>
      <c r="M102" s="6" t="n">
        <v>0</v>
      </c>
      <c r="N102" s="6" t="str">
        <f aca="false">IF($J102="NA","NA",IF(AND($J102&gt;2019,M102&gt;0),"ERRO","OK"))</f>
        <v>NA</v>
      </c>
      <c r="O102" s="6" t="n">
        <f aca="false">(10-(LEN(P102)))+1</f>
        <v>10</v>
      </c>
      <c r="P102" s="6" t="n">
        <v>0</v>
      </c>
      <c r="Q102" s="6" t="str">
        <f aca="false">IF($J102="NA","NA",IF(AND($J102&gt;2009,P102&gt;0),"ERRO","OK"))</f>
        <v>NA</v>
      </c>
      <c r="R102" s="6" t="n">
        <f aca="false">(10-(LEN(S102)))+1</f>
        <v>10</v>
      </c>
      <c r="S102" s="6" t="n">
        <v>0</v>
      </c>
      <c r="T102" s="6" t="str">
        <f aca="false">IF($J102="NA","NA",IF(AND($J102&gt;1999,S102&gt;0),"ERRO","OK"))</f>
        <v>NA</v>
      </c>
      <c r="U102" s="6" t="n">
        <f aca="false">(10-(LEN(V102)))+1</f>
        <v>10</v>
      </c>
      <c r="V102" s="6" t="n">
        <v>0</v>
      </c>
      <c r="W102" s="6" t="str">
        <f aca="false">IF($J102="NA","NA",IF(AND($J102&gt;1989,V102&gt;0),"ERRO","OK"))</f>
        <v>NA</v>
      </c>
      <c r="X102" s="6" t="n">
        <f aca="false">(10-(LEN(Y102)))+1</f>
        <v>10</v>
      </c>
      <c r="Y102" s="6" t="n">
        <v>0</v>
      </c>
      <c r="Z102" s="6" t="str">
        <f aca="false">IF($J102="NA","NA",IF(AND($J102&gt;1979,Y102&gt;0),"ERRO","OK"))</f>
        <v>NA</v>
      </c>
      <c r="AA102" s="6" t="n">
        <f aca="false">(10-(LEN(AB102)))+1</f>
        <v>10</v>
      </c>
      <c r="AB102" s="6" t="n">
        <v>0</v>
      </c>
      <c r="AC102" s="6" t="str">
        <f aca="false">IF($J102="NA","NA",IF(AND($J102&gt;1969,AB102&gt;0),"ERRO","OK"))</f>
        <v>NA</v>
      </c>
      <c r="AD102" s="6" t="n">
        <f aca="false">(10-(LEN(AE102)))+1</f>
        <v>10</v>
      </c>
      <c r="AE102" s="6" t="n">
        <v>0</v>
      </c>
      <c r="AF102" s="6" t="str">
        <f aca="false">IF($J102="NA","NA",IF(AND($J102&gt;1959,AE102&gt;0),"ERRO","OK"))</f>
        <v>NA</v>
      </c>
      <c r="AG102" s="6" t="n">
        <f aca="false">(10-(LEN(AH102)))+1</f>
        <v>10</v>
      </c>
      <c r="AH102" s="6" t="n">
        <v>0</v>
      </c>
      <c r="AI102" s="6" t="str">
        <f aca="false">IF($J102="NA","NA",IF(AND($J102&gt;1949,AH102&gt;0),"ERRO","OK"))</f>
        <v>NA</v>
      </c>
      <c r="AJ102" s="6" t="n">
        <f aca="false">(10-(LEN(AK102)))+1</f>
        <v>10</v>
      </c>
      <c r="AK102" s="6" t="n">
        <v>0</v>
      </c>
      <c r="AL102" s="6" t="str">
        <f aca="false">IF($J102="NA","NA",IF(AND($J102&gt;1939,AK102&gt;0),"ERRO","OK"))</f>
        <v>NA</v>
      </c>
      <c r="AM102" s="6" t="n">
        <f aca="false">(10-(LEN(AN102)))+1</f>
        <v>10</v>
      </c>
      <c r="AN102" s="6" t="n">
        <v>0</v>
      </c>
      <c r="AO102" s="6" t="str">
        <f aca="false">IF($J102="NA","NA",IF(AND($J102&gt;1929,AN102&gt;0),"ERRO","OK"))</f>
        <v>NA</v>
      </c>
      <c r="AP102" s="6" t="n">
        <f aca="false">(10-(LEN(AQ102)))+1</f>
        <v>10</v>
      </c>
      <c r="AQ102" s="6" t="n">
        <v>0</v>
      </c>
      <c r="AR102" s="6" t="str">
        <f aca="false">IF($J102="NA","NA",IF(AND($J102&gt;1919,AQ102&gt;0),"ERRO","OK"))</f>
        <v>NA</v>
      </c>
      <c r="AS102" s="6" t="n">
        <f aca="false">(10-(LEN(AT102)))+1</f>
        <v>10</v>
      </c>
      <c r="AT102" s="6" t="n">
        <v>0</v>
      </c>
      <c r="AU102" s="6" t="str">
        <f aca="false">IF($J102="NA","NA",IF(AND($J102&gt;1909,AT102&gt;0),"ERRO","OK"))</f>
        <v>NA</v>
      </c>
      <c r="AV102" s="6" t="n">
        <f aca="false">(10-(LEN(AW102)))+1</f>
        <v>10</v>
      </c>
      <c r="AW102" s="6" t="n">
        <v>0</v>
      </c>
      <c r="AX102" s="6" t="str">
        <f aca="false">IF($J102="NA","NA",IF(AND($J102&gt;1899,AW102&gt;0),"ERRO","OK"))</f>
        <v>NA</v>
      </c>
    </row>
    <row r="103" customFormat="false" ht="15" hidden="false" customHeight="false" outlineLevel="0" collapsed="false">
      <c r="A103" s="7" t="n">
        <v>100</v>
      </c>
      <c r="B103" s="0" t="s">
        <v>120</v>
      </c>
      <c r="C103" s="8" t="n">
        <v>45307</v>
      </c>
      <c r="D103" s="6" t="n">
        <v>0</v>
      </c>
      <c r="E103" s="0" t="s">
        <v>16</v>
      </c>
      <c r="F103" s="0" t="s">
        <v>17</v>
      </c>
      <c r="G103" s="9" t="str">
        <f aca="false">IF(OR(N103="ERRO",Q103="ERRO",T103="ERRO",W103="ERRO",Z103="ERRO",AC103="ERRO",AF103="ERRO",AI103="ERRO",AL103="ERRO",AO103="ERRO",AR103="ERRO",AU103="ERRO",AX103="ERRO"),"ERRO","OK")</f>
        <v>OK</v>
      </c>
      <c r="H103" s="9" t="n">
        <f aca="false">COUNTIF(L103:AX103,"ERRO")</f>
        <v>0</v>
      </c>
      <c r="I103" s="9" t="s">
        <v>18</v>
      </c>
      <c r="J103" s="10" t="n">
        <v>1864</v>
      </c>
      <c r="K103" s="10" t="n">
        <v>1941</v>
      </c>
      <c r="L103" s="6" t="n">
        <f aca="false">(10-(LEN(M103)))+1</f>
        <v>9</v>
      </c>
      <c r="M103" s="6" t="n">
        <v>88</v>
      </c>
      <c r="N103" s="6" t="str">
        <f aca="false">IF($J103="NA","NA",IF(AND($J103&gt;2019,M103&gt;0),"ERRO","OK"))</f>
        <v>OK</v>
      </c>
      <c r="O103" s="6" t="n">
        <f aca="false">(10-(LEN(P103)))+1</f>
        <v>8</v>
      </c>
      <c r="P103" s="6" t="n">
        <v>108</v>
      </c>
      <c r="Q103" s="6" t="str">
        <f aca="false">IF($J103="NA","NA",IF(AND($J103&gt;2009,P103&gt;0),"ERRO","OK"))</f>
        <v>OK</v>
      </c>
      <c r="R103" s="6" t="n">
        <f aca="false">(10-(LEN(S103)))+1</f>
        <v>8</v>
      </c>
      <c r="S103" s="6" t="n">
        <v>176</v>
      </c>
      <c r="T103" s="6" t="str">
        <f aca="false">IF($J103="NA","NA",IF(AND($J103&gt;1999,S103&gt;0),"ERRO","OK"))</f>
        <v>OK</v>
      </c>
      <c r="U103" s="6" t="n">
        <f aca="false">(10-(LEN(V103)))+1</f>
        <v>7</v>
      </c>
      <c r="V103" s="6" t="n">
        <v>1161</v>
      </c>
      <c r="W103" s="6" t="str">
        <f aca="false">IF($J103="NA","NA",IF(AND($J103&gt;1989,V103&gt;0),"ERRO","OK"))</f>
        <v>OK</v>
      </c>
      <c r="X103" s="6" t="n">
        <f aca="false">(10-(LEN(Y103)))+1</f>
        <v>7</v>
      </c>
      <c r="Y103" s="6" t="n">
        <v>2138</v>
      </c>
      <c r="Z103" s="6" t="str">
        <f aca="false">IF($J103="NA","NA",IF(AND($J103&gt;1979,Y103&gt;0),"ERRO","OK"))</f>
        <v>OK</v>
      </c>
      <c r="AA103" s="6" t="n">
        <f aca="false">(10-(LEN(AB103)))+1</f>
        <v>8</v>
      </c>
      <c r="AB103" s="6" t="n">
        <v>246</v>
      </c>
      <c r="AC103" s="6" t="str">
        <f aca="false">IF($J103="NA","NA",IF(AND($J103&gt;1969,AB103&gt;0),"ERRO","OK"))</f>
        <v>OK</v>
      </c>
      <c r="AD103" s="6" t="n">
        <f aca="false">(10-(LEN(AE103)))+1</f>
        <v>8</v>
      </c>
      <c r="AE103" s="6" t="n">
        <v>943</v>
      </c>
      <c r="AF103" s="6" t="str">
        <f aca="false">IF($J103="NA","NA",IF(AND($J103&gt;1959,AE103&gt;0),"ERRO","OK"))</f>
        <v>OK</v>
      </c>
      <c r="AG103" s="6" t="n">
        <f aca="false">(10-(LEN(AH103)))+1</f>
        <v>8</v>
      </c>
      <c r="AH103" s="6" t="n">
        <v>116</v>
      </c>
      <c r="AI103" s="6" t="str">
        <f aca="false">IF($J103="NA","NA",IF(AND($J103&gt;1949,AH103&gt;0),"ERRO","OK"))</f>
        <v>OK</v>
      </c>
      <c r="AJ103" s="6" t="n">
        <f aca="false">(10-(LEN(AK103)))+1</f>
        <v>7</v>
      </c>
      <c r="AK103" s="6" t="n">
        <v>2785</v>
      </c>
      <c r="AL103" s="6" t="str">
        <f aca="false">IF($J103="NA","NA",IF(AND($J103&gt;1939,AK103&gt;0),"ERRO","OK"))</f>
        <v>OK</v>
      </c>
      <c r="AM103" s="6" t="n">
        <f aca="false">(10-(LEN(AN103)))+1</f>
        <v>8</v>
      </c>
      <c r="AN103" s="6" t="n">
        <v>160</v>
      </c>
      <c r="AO103" s="6" t="str">
        <f aca="false">IF($J103="NA","NA",IF(AND($J103&gt;1929,AN103&gt;0),"ERRO","OK"))</f>
        <v>OK</v>
      </c>
      <c r="AP103" s="6" t="n">
        <f aca="false">(10-(LEN(AQ103)))+1</f>
        <v>10</v>
      </c>
      <c r="AQ103" s="6" t="n">
        <v>0</v>
      </c>
      <c r="AR103" s="6" t="str">
        <f aca="false">IF($J103="NA","NA",IF(AND($J103&gt;1919,AQ103&gt;0),"ERRO","OK"))</f>
        <v>OK</v>
      </c>
      <c r="AS103" s="6" t="n">
        <f aca="false">(10-(LEN(AT103)))+1</f>
        <v>10</v>
      </c>
      <c r="AT103" s="6" t="n">
        <v>0</v>
      </c>
      <c r="AU103" s="6" t="str">
        <f aca="false">IF($J103="NA","NA",IF(AND($J103&gt;1909,AT103&gt;0),"ERRO","OK"))</f>
        <v>OK</v>
      </c>
      <c r="AV103" s="6" t="n">
        <f aca="false">(10-(LEN(AW103)))+1</f>
        <v>10</v>
      </c>
      <c r="AW103" s="6" t="n">
        <v>0</v>
      </c>
      <c r="AX103" s="6" t="str">
        <f aca="false">IF($J103="NA","NA",IF(AND($J103&gt;1899,AW103&gt;0),"ERRO","OK"))</f>
        <v>OK</v>
      </c>
    </row>
    <row r="104" customFormat="false" ht="15" hidden="false" customHeight="false" outlineLevel="0" collapsed="false">
      <c r="A104" s="7" t="n">
        <v>101</v>
      </c>
      <c r="B104" s="0" t="s">
        <v>121</v>
      </c>
      <c r="C104" s="8" t="n">
        <v>45307</v>
      </c>
      <c r="D104" s="6" t="n">
        <v>0</v>
      </c>
      <c r="E104" s="0" t="s">
        <v>16</v>
      </c>
      <c r="F104" s="0" t="s">
        <v>17</v>
      </c>
      <c r="G104" s="9" t="str">
        <f aca="false">IF(OR(N104="ERRO",Q104="ERRO",T104="ERRO",W104="ERRO",Z104="ERRO",AC104="ERRO",AF104="ERRO",AI104="ERRO",AL104="ERRO",AO104="ERRO",AR104="ERRO",AU104="ERRO",AX104="ERRO"),"ERRO","OK")</f>
        <v>OK</v>
      </c>
      <c r="H104" s="9" t="n">
        <f aca="false">COUNTIF(L104:AX104,"ERRO")</f>
        <v>0</v>
      </c>
      <c r="I104" s="9" t="s">
        <v>18</v>
      </c>
      <c r="J104" s="10" t="n">
        <v>1887</v>
      </c>
      <c r="K104" s="10" t="n">
        <v>1986</v>
      </c>
      <c r="L104" s="6" t="n">
        <f aca="false">(10-(LEN(M104)))+1</f>
        <v>6</v>
      </c>
      <c r="M104" s="6" t="n">
        <v>77292</v>
      </c>
      <c r="N104" s="6" t="str">
        <f aca="false">IF($J104="NA","NA",IF(AND($J104&gt;2019,M104&gt;0),"ERRO","OK"))</f>
        <v>OK</v>
      </c>
      <c r="O104" s="6" t="n">
        <f aca="false">(10-(LEN(P104)))+1</f>
        <v>5</v>
      </c>
      <c r="P104" s="6" t="n">
        <v>118451</v>
      </c>
      <c r="Q104" s="6" t="str">
        <f aca="false">IF($J104="NA","NA",IF(AND($J104&gt;2009,P104&gt;0),"ERRO","OK"))</f>
        <v>OK</v>
      </c>
      <c r="R104" s="6" t="n">
        <f aca="false">(10-(LEN(S104)))+1</f>
        <v>5</v>
      </c>
      <c r="S104" s="6" t="n">
        <v>161341</v>
      </c>
      <c r="T104" s="6" t="str">
        <f aca="false">IF($J104="NA","NA",IF(AND($J104&gt;1999,S104&gt;0),"ERRO","OK"))</f>
        <v>OK</v>
      </c>
      <c r="U104" s="6" t="n">
        <f aca="false">(10-(LEN(V104)))+1</f>
        <v>5</v>
      </c>
      <c r="V104" s="6" t="n">
        <v>160512</v>
      </c>
      <c r="W104" s="6" t="str">
        <f aca="false">IF($J104="NA","NA",IF(AND($J104&gt;1989,V104&gt;0),"ERRO","OK"))</f>
        <v>OK</v>
      </c>
      <c r="X104" s="6" t="n">
        <f aca="false">(10-(LEN(Y104)))+1</f>
        <v>6</v>
      </c>
      <c r="Y104" s="6" t="n">
        <v>77588</v>
      </c>
      <c r="Z104" s="6" t="str">
        <f aca="false">IF($J104="NA","NA",IF(AND($J104&gt;1979,Y104&gt;0),"ERRO","OK"))</f>
        <v>OK</v>
      </c>
      <c r="AA104" s="6" t="n">
        <f aca="false">(10-(LEN(AB104)))+1</f>
        <v>6</v>
      </c>
      <c r="AB104" s="6" t="n">
        <v>15470</v>
      </c>
      <c r="AC104" s="6" t="str">
        <f aca="false">IF($J104="NA","NA",IF(AND($J104&gt;1969,AB104&gt;0),"ERRO","OK"))</f>
        <v>OK</v>
      </c>
      <c r="AD104" s="6" t="n">
        <f aca="false">(10-(LEN(AE104)))+1</f>
        <v>6</v>
      </c>
      <c r="AE104" s="6" t="n">
        <v>12738</v>
      </c>
      <c r="AF104" s="6" t="str">
        <f aca="false">IF($J104="NA","NA",IF(AND($J104&gt;1959,AE104&gt;0),"ERRO","OK"))</f>
        <v>OK</v>
      </c>
      <c r="AG104" s="6" t="n">
        <f aca="false">(10-(LEN(AH104)))+1</f>
        <v>6</v>
      </c>
      <c r="AH104" s="6" t="n">
        <v>17732</v>
      </c>
      <c r="AI104" s="6" t="str">
        <f aca="false">IF($J104="NA","NA",IF(AND($J104&gt;1949,AH104&gt;0),"ERRO","OK"))</f>
        <v>OK</v>
      </c>
      <c r="AJ104" s="6" t="n">
        <f aca="false">(10-(LEN(AK104)))+1</f>
        <v>6</v>
      </c>
      <c r="AK104" s="6" t="n">
        <v>35093</v>
      </c>
      <c r="AL104" s="6" t="str">
        <f aca="false">IF($J104="NA","NA",IF(AND($J104&gt;1939,AK104&gt;0),"ERRO","OK"))</f>
        <v>OK</v>
      </c>
      <c r="AM104" s="6" t="n">
        <f aca="false">(10-(LEN(AN104)))+1</f>
        <v>7</v>
      </c>
      <c r="AN104" s="6" t="n">
        <v>9749</v>
      </c>
      <c r="AO104" s="6" t="str">
        <f aca="false">IF($J104="NA","NA",IF(AND($J104&gt;1929,AN104&gt;0),"ERRO","OK"))</f>
        <v>OK</v>
      </c>
      <c r="AP104" s="6" t="n">
        <f aca="false">(10-(LEN(AQ104)))+1</f>
        <v>7</v>
      </c>
      <c r="AQ104" s="6" t="n">
        <v>2704</v>
      </c>
      <c r="AR104" s="6" t="str">
        <f aca="false">IF($J104="NA","NA",IF(AND($J104&gt;1919,AQ104&gt;0),"ERRO","OK"))</f>
        <v>OK</v>
      </c>
      <c r="AS104" s="6" t="n">
        <f aca="false">(10-(LEN(AT104)))+1</f>
        <v>8</v>
      </c>
      <c r="AT104" s="6" t="n">
        <v>103</v>
      </c>
      <c r="AU104" s="6" t="str">
        <f aca="false">IF($J104="NA","NA",IF(AND($J104&gt;1909,AT104&gt;0),"ERRO","OK"))</f>
        <v>OK</v>
      </c>
      <c r="AV104" s="6" t="n">
        <f aca="false">(10-(LEN(AW104)))+1</f>
        <v>10</v>
      </c>
      <c r="AW104" s="6" t="n">
        <v>0</v>
      </c>
      <c r="AX104" s="6" t="str">
        <f aca="false">IF($J104="NA","NA",IF(AND($J104&gt;1899,AW104&gt;0),"ERRO","OK"))</f>
        <v>OK</v>
      </c>
    </row>
    <row r="105" customFormat="false" ht="15" hidden="false" customHeight="false" outlineLevel="0" collapsed="false">
      <c r="A105" s="7" t="n">
        <v>102</v>
      </c>
      <c r="B105" s="0" t="s">
        <v>122</v>
      </c>
      <c r="C105" s="8" t="n">
        <v>45307</v>
      </c>
      <c r="D105" s="6" t="n">
        <v>0</v>
      </c>
      <c r="E105" s="0" t="s">
        <v>16</v>
      </c>
      <c r="F105" s="0" t="s">
        <v>17</v>
      </c>
      <c r="G105" s="9" t="str">
        <f aca="false">IF(OR(N105="ERRO",Q105="ERRO",T105="ERRO",W105="ERRO",Z105="ERRO",AC105="ERRO",AF105="ERRO",AI105="ERRO",AL105="ERRO",AO105="ERRO",AR105="ERRO",AU105="ERRO",AX105="ERRO"),"ERRO","OK")</f>
        <v>OK</v>
      </c>
      <c r="H105" s="9" t="n">
        <f aca="false">COUNTIF(L105:AX105,"ERRO")</f>
        <v>0</v>
      </c>
      <c r="I105" s="9" t="s">
        <v>18</v>
      </c>
      <c r="J105" s="10" t="n">
        <v>1891</v>
      </c>
      <c r="K105" s="10" t="n">
        <v>1976</v>
      </c>
      <c r="L105" s="6" t="n">
        <f aca="false">(10-(LEN(M105)))+1</f>
        <v>6</v>
      </c>
      <c r="M105" s="6" t="n">
        <v>71211</v>
      </c>
      <c r="N105" s="6" t="str">
        <f aca="false">IF($J105="NA","NA",IF(AND($J105&gt;2019,M105&gt;0),"ERRO","OK"))</f>
        <v>OK</v>
      </c>
      <c r="O105" s="6" t="n">
        <f aca="false">(10-(LEN(P105)))+1</f>
        <v>6</v>
      </c>
      <c r="P105" s="6" t="n">
        <v>96840</v>
      </c>
      <c r="Q105" s="6" t="str">
        <f aca="false">IF($J105="NA","NA",IF(AND($J105&gt;2009,P105&gt;0),"ERRO","OK"))</f>
        <v>OK</v>
      </c>
      <c r="R105" s="6" t="n">
        <f aca="false">(10-(LEN(S105)))+1</f>
        <v>6</v>
      </c>
      <c r="S105" s="6" t="n">
        <v>88485</v>
      </c>
      <c r="T105" s="6" t="str">
        <f aca="false">IF($J105="NA","NA",IF(AND($J105&gt;1999,S105&gt;0),"ERRO","OK"))</f>
        <v>OK</v>
      </c>
      <c r="U105" s="6" t="n">
        <f aca="false">(10-(LEN(V105)))+1</f>
        <v>5</v>
      </c>
      <c r="V105" s="6" t="n">
        <v>121373</v>
      </c>
      <c r="W105" s="6" t="str">
        <f aca="false">IF($J105="NA","NA",IF(AND($J105&gt;1989,V105&gt;0),"ERRO","OK"))</f>
        <v>OK</v>
      </c>
      <c r="X105" s="6" t="n">
        <f aca="false">(10-(LEN(Y105)))+1</f>
        <v>6</v>
      </c>
      <c r="Y105" s="6" t="n">
        <v>93267</v>
      </c>
      <c r="Z105" s="6" t="str">
        <f aca="false">IF($J105="NA","NA",IF(AND($J105&gt;1979,Y105&gt;0),"ERRO","OK"))</f>
        <v>OK</v>
      </c>
      <c r="AA105" s="6" t="n">
        <f aca="false">(10-(LEN(AB105)))+1</f>
        <v>6</v>
      </c>
      <c r="AB105" s="6" t="n">
        <v>75357</v>
      </c>
      <c r="AC105" s="6" t="str">
        <f aca="false">IF($J105="NA","NA",IF(AND($J105&gt;1969,AB105&gt;0),"ERRO","OK"))</f>
        <v>OK</v>
      </c>
      <c r="AD105" s="6" t="n">
        <f aca="false">(10-(LEN(AE105)))+1</f>
        <v>6</v>
      </c>
      <c r="AE105" s="6" t="n">
        <v>47543</v>
      </c>
      <c r="AF105" s="6" t="str">
        <f aca="false">IF($J105="NA","NA",IF(AND($J105&gt;1959,AE105&gt;0),"ERRO","OK"))</f>
        <v>OK</v>
      </c>
      <c r="AG105" s="6" t="n">
        <f aca="false">(10-(LEN(AH105)))+1</f>
        <v>6</v>
      </c>
      <c r="AH105" s="6" t="n">
        <v>32821</v>
      </c>
      <c r="AI105" s="6" t="str">
        <f aca="false">IF($J105="NA","NA",IF(AND($J105&gt;1949,AH105&gt;0),"ERRO","OK"))</f>
        <v>OK</v>
      </c>
      <c r="AJ105" s="6" t="n">
        <f aca="false">(10-(LEN(AK105)))+1</f>
        <v>6</v>
      </c>
      <c r="AK105" s="6" t="n">
        <v>35232</v>
      </c>
      <c r="AL105" s="6" t="str">
        <f aca="false">IF($J105="NA","NA",IF(AND($J105&gt;1939,AK105&gt;0),"ERRO","OK"))</f>
        <v>OK</v>
      </c>
      <c r="AM105" s="6" t="n">
        <f aca="false">(10-(LEN(AN105)))+1</f>
        <v>7</v>
      </c>
      <c r="AN105" s="6" t="n">
        <v>4875</v>
      </c>
      <c r="AO105" s="6" t="str">
        <f aca="false">IF($J105="NA","NA",IF(AND($J105&gt;1929,AN105&gt;0),"ERRO","OK"))</f>
        <v>OK</v>
      </c>
      <c r="AP105" s="6" t="n">
        <f aca="false">(10-(LEN(AQ105)))+1</f>
        <v>8</v>
      </c>
      <c r="AQ105" s="6" t="n">
        <v>300</v>
      </c>
      <c r="AR105" s="6" t="str">
        <f aca="false">IF($J105="NA","NA",IF(AND($J105&gt;1919,AQ105&gt;0),"ERRO","OK"))</f>
        <v>OK</v>
      </c>
      <c r="AS105" s="6" t="n">
        <f aca="false">(10-(LEN(AT105)))+1</f>
        <v>8</v>
      </c>
      <c r="AT105" s="6" t="n">
        <v>103</v>
      </c>
      <c r="AU105" s="6" t="str">
        <f aca="false">IF($J105="NA","NA",IF(AND($J105&gt;1909,AT105&gt;0),"ERRO","OK"))</f>
        <v>OK</v>
      </c>
      <c r="AV105" s="6" t="n">
        <f aca="false">(10-(LEN(AW105)))+1</f>
        <v>7</v>
      </c>
      <c r="AW105" s="6" t="n">
        <v>1677</v>
      </c>
      <c r="AX105" s="6" t="str">
        <f aca="false">IF($J105="NA","NA",IF(AND($J105&gt;1899,AW105&gt;0),"ERRO","OK"))</f>
        <v>OK</v>
      </c>
    </row>
    <row r="106" customFormat="false" ht="15" hidden="false" customHeight="false" outlineLevel="0" collapsed="false">
      <c r="A106" s="7" t="n">
        <v>103</v>
      </c>
      <c r="B106" s="0" t="s">
        <v>123</v>
      </c>
      <c r="C106" s="8" t="n">
        <v>45308</v>
      </c>
      <c r="D106" s="6" t="n">
        <v>0</v>
      </c>
      <c r="E106" s="0" t="s">
        <v>16</v>
      </c>
      <c r="F106" s="0" t="s">
        <v>17</v>
      </c>
      <c r="G106" s="9" t="str">
        <f aca="false">IF(OR(N106="ERRO",Q106="ERRO",T106="ERRO",W106="ERRO",Z106="ERRO",AC106="ERRO",AF106="ERRO",AI106="ERRO",AL106="ERRO",AO106="ERRO",AR106="ERRO",AU106="ERRO",AX106="ERRO"),"ERRO","OK")</f>
        <v>OK</v>
      </c>
      <c r="H106" s="9" t="n">
        <f aca="false">COUNTIF(L106:AX106,"ERRO")</f>
        <v>0</v>
      </c>
      <c r="I106" s="9" t="s">
        <v>18</v>
      </c>
      <c r="J106" s="10" t="n">
        <v>1878</v>
      </c>
      <c r="K106" s="10" t="n">
        <v>1941</v>
      </c>
      <c r="L106" s="6" t="n">
        <f aca="false">(10-(LEN(M106)))+1</f>
        <v>10</v>
      </c>
      <c r="M106" s="6" t="n">
        <v>0</v>
      </c>
      <c r="N106" s="6" t="str">
        <f aca="false">IF($J106="NA","NA",IF(AND($J106&gt;2019,M106&gt;0),"ERRO","OK"))</f>
        <v>OK</v>
      </c>
      <c r="O106" s="6" t="n">
        <f aca="false">(10-(LEN(P106)))+1</f>
        <v>10</v>
      </c>
      <c r="P106" s="6" t="n">
        <v>0</v>
      </c>
      <c r="Q106" s="6" t="str">
        <f aca="false">IF($J106="NA","NA",IF(AND($J106&gt;2009,P106&gt;0),"ERRO","OK"))</f>
        <v>OK</v>
      </c>
      <c r="R106" s="6" t="n">
        <f aca="false">(10-(LEN(S106)))+1</f>
        <v>10</v>
      </c>
      <c r="S106" s="6" t="n">
        <v>0</v>
      </c>
      <c r="T106" s="6" t="str">
        <f aca="false">IF($J106="NA","NA",IF(AND($J106&gt;1999,S106&gt;0),"ERRO","OK"))</f>
        <v>OK</v>
      </c>
      <c r="U106" s="6" t="n">
        <f aca="false">(10-(LEN(V106)))+1</f>
        <v>10</v>
      </c>
      <c r="V106" s="6" t="n">
        <v>0</v>
      </c>
      <c r="W106" s="6" t="str">
        <f aca="false">IF($J106="NA","NA",IF(AND($J106&gt;1989,V106&gt;0),"ERRO","OK"))</f>
        <v>OK</v>
      </c>
      <c r="X106" s="6" t="n">
        <f aca="false">(10-(LEN(Y106)))+1</f>
        <v>10</v>
      </c>
      <c r="Y106" s="6" t="n">
        <v>0</v>
      </c>
      <c r="Z106" s="6" t="str">
        <f aca="false">IF($J106="NA","NA",IF(AND($J106&gt;1979,Y106&gt;0),"ERRO","OK"))</f>
        <v>OK</v>
      </c>
      <c r="AA106" s="6" t="n">
        <f aca="false">(10-(LEN(AB106)))+1</f>
        <v>10</v>
      </c>
      <c r="AB106" s="6" t="n">
        <v>0</v>
      </c>
      <c r="AC106" s="6" t="str">
        <f aca="false">IF($J106="NA","NA",IF(AND($J106&gt;1969,AB106&gt;0),"ERRO","OK"))</f>
        <v>OK</v>
      </c>
      <c r="AD106" s="6" t="n">
        <f aca="false">(10-(LEN(AE106)))+1</f>
        <v>10</v>
      </c>
      <c r="AE106" s="6" t="n">
        <v>0</v>
      </c>
      <c r="AF106" s="6" t="str">
        <f aca="false">IF($J106="NA","NA",IF(AND($J106&gt;1959,AE106&gt;0),"ERRO","OK"))</f>
        <v>OK</v>
      </c>
      <c r="AG106" s="6" t="n">
        <f aca="false">(10-(LEN(AH106)))+1</f>
        <v>10</v>
      </c>
      <c r="AH106" s="6" t="n">
        <v>0</v>
      </c>
      <c r="AI106" s="6" t="str">
        <f aca="false">IF($J106="NA","NA",IF(AND($J106&gt;1949,AH106&gt;0),"ERRO","OK"))</f>
        <v>OK</v>
      </c>
      <c r="AJ106" s="6" t="n">
        <f aca="false">(10-(LEN(AK106)))+1</f>
        <v>10</v>
      </c>
      <c r="AK106" s="6" t="n">
        <v>0</v>
      </c>
      <c r="AL106" s="6" t="str">
        <f aca="false">IF($J106="NA","NA",IF(AND($J106&gt;1939,AK106&gt;0),"ERRO","OK"))</f>
        <v>OK</v>
      </c>
      <c r="AM106" s="6" t="n">
        <f aca="false">(10-(LEN(AN106)))+1</f>
        <v>10</v>
      </c>
      <c r="AN106" s="6" t="n">
        <v>0</v>
      </c>
      <c r="AO106" s="6" t="str">
        <f aca="false">IF($J106="NA","NA",IF(AND($J106&gt;1929,AN106&gt;0),"ERRO","OK"))</f>
        <v>OK</v>
      </c>
      <c r="AP106" s="6" t="n">
        <f aca="false">(10-(LEN(AQ106)))+1</f>
        <v>10</v>
      </c>
      <c r="AQ106" s="6" t="n">
        <v>0</v>
      </c>
      <c r="AR106" s="6" t="str">
        <f aca="false">IF($J106="NA","NA",IF(AND($J106&gt;1919,AQ106&gt;0),"ERRO","OK"))</f>
        <v>OK</v>
      </c>
      <c r="AS106" s="6" t="n">
        <f aca="false">(10-(LEN(AT106)))+1</f>
        <v>10</v>
      </c>
      <c r="AT106" s="6" t="n">
        <v>0</v>
      </c>
      <c r="AU106" s="6" t="str">
        <f aca="false">IF($J106="NA","NA",IF(AND($J106&gt;1909,AT106&gt;0),"ERRO","OK"))</f>
        <v>OK</v>
      </c>
      <c r="AV106" s="6" t="n">
        <f aca="false">(10-(LEN(AW106)))+1</f>
        <v>10</v>
      </c>
      <c r="AW106" s="6" t="n">
        <v>0</v>
      </c>
      <c r="AX106" s="6" t="str">
        <f aca="false">IF($J106="NA","NA",IF(AND($J106&gt;1899,AW106&gt;0),"ERRO","OK"))</f>
        <v>OK</v>
      </c>
    </row>
    <row r="107" customFormat="false" ht="15" hidden="false" customHeight="false" outlineLevel="0" collapsed="false">
      <c r="A107" s="7" t="n">
        <v>104</v>
      </c>
      <c r="B107" s="0" t="s">
        <v>124</v>
      </c>
      <c r="C107" s="8" t="n">
        <v>45308</v>
      </c>
      <c r="D107" s="6" t="n">
        <v>0</v>
      </c>
      <c r="E107" s="0" t="s">
        <v>16</v>
      </c>
      <c r="F107" s="0" t="s">
        <v>17</v>
      </c>
      <c r="G107" s="9" t="str">
        <f aca="false">IF(OR(N107="ERRO",Q107="ERRO",T107="ERRO",W107="ERRO",Z107="ERRO",AC107="ERRO",AF107="ERRO",AI107="ERRO",AL107="ERRO",AO107="ERRO",AR107="ERRO",AU107="ERRO",AX107="ERRO"),"ERRO","OK")</f>
        <v>OK</v>
      </c>
      <c r="H107" s="9" t="n">
        <f aca="false">COUNTIF(L107:AX107,"ERRO")</f>
        <v>0</v>
      </c>
      <c r="I107" s="9" t="s">
        <v>18</v>
      </c>
      <c r="J107" s="10" t="n">
        <v>1883</v>
      </c>
      <c r="K107" s="10" t="n">
        <v>1947</v>
      </c>
      <c r="L107" s="6" t="n">
        <f aca="false">(10-(LEN(M107)))+1</f>
        <v>7</v>
      </c>
      <c r="M107" s="6" t="n">
        <v>1624</v>
      </c>
      <c r="N107" s="6" t="str">
        <f aca="false">IF($J107="NA","NA",IF(AND($J107&gt;2019,M107&gt;0),"ERRO","OK"))</f>
        <v>OK</v>
      </c>
      <c r="O107" s="6" t="n">
        <f aca="false">(10-(LEN(P107)))+1</f>
        <v>7</v>
      </c>
      <c r="P107" s="6" t="n">
        <v>1578</v>
      </c>
      <c r="Q107" s="6" t="str">
        <f aca="false">IF($J107="NA","NA",IF(AND($J107&gt;2009,P107&gt;0),"ERRO","OK"))</f>
        <v>OK</v>
      </c>
      <c r="R107" s="6" t="n">
        <f aca="false">(10-(LEN(S107)))+1</f>
        <v>7</v>
      </c>
      <c r="S107" s="6" t="n">
        <v>3151</v>
      </c>
      <c r="T107" s="6" t="str">
        <f aca="false">IF($J107="NA","NA",IF(AND($J107&gt;1999,S107&gt;0),"ERRO","OK"))</f>
        <v>OK</v>
      </c>
      <c r="U107" s="6" t="n">
        <f aca="false">(10-(LEN(V107)))+1</f>
        <v>7</v>
      </c>
      <c r="V107" s="6" t="n">
        <v>9244</v>
      </c>
      <c r="W107" s="6" t="str">
        <f aca="false">IF($J107="NA","NA",IF(AND($J107&gt;1989,V107&gt;0),"ERRO","OK"))</f>
        <v>OK</v>
      </c>
      <c r="X107" s="6" t="n">
        <f aca="false">(10-(LEN(Y107)))+1</f>
        <v>7</v>
      </c>
      <c r="Y107" s="6" t="n">
        <v>5779</v>
      </c>
      <c r="Z107" s="6" t="str">
        <f aca="false">IF($J107="NA","NA",IF(AND($J107&gt;1979,Y107&gt;0),"ERRO","OK"))</f>
        <v>OK</v>
      </c>
      <c r="AA107" s="6" t="n">
        <f aca="false">(10-(LEN(AB107)))+1</f>
        <v>7</v>
      </c>
      <c r="AB107" s="6" t="n">
        <v>6329</v>
      </c>
      <c r="AC107" s="6" t="str">
        <f aca="false">IF($J107="NA","NA",IF(AND($J107&gt;1969,AB107&gt;0),"ERRO","OK"))</f>
        <v>OK</v>
      </c>
      <c r="AD107" s="6" t="n">
        <f aca="false">(10-(LEN(AE107)))+1</f>
        <v>7</v>
      </c>
      <c r="AE107" s="6" t="n">
        <v>2691</v>
      </c>
      <c r="AF107" s="6" t="str">
        <f aca="false">IF($J107="NA","NA",IF(AND($J107&gt;1959,AE107&gt;0),"ERRO","OK"))</f>
        <v>OK</v>
      </c>
      <c r="AG107" s="6" t="n">
        <f aca="false">(10-(LEN(AH107)))+1</f>
        <v>6</v>
      </c>
      <c r="AH107" s="6" t="n">
        <v>12335</v>
      </c>
      <c r="AI107" s="6" t="str">
        <f aca="false">IF($J107="NA","NA",IF(AND($J107&gt;1949,AH107&gt;0),"ERRO","OK"))</f>
        <v>OK</v>
      </c>
      <c r="AJ107" s="6" t="n">
        <f aca="false">(10-(LEN(AK107)))+1</f>
        <v>7</v>
      </c>
      <c r="AK107" s="6" t="n">
        <v>4874</v>
      </c>
      <c r="AL107" s="6" t="str">
        <f aca="false">IF($J107="NA","NA",IF(AND($J107&gt;1939,AK107&gt;0),"ERRO","OK"))</f>
        <v>OK</v>
      </c>
      <c r="AM107" s="6" t="n">
        <f aca="false">(10-(LEN(AN107)))+1</f>
        <v>7</v>
      </c>
      <c r="AN107" s="6" t="n">
        <v>4875</v>
      </c>
      <c r="AO107" s="6" t="str">
        <f aca="false">IF($J107="NA","NA",IF(AND($J107&gt;1929,AN107&gt;0),"ERRO","OK"))</f>
        <v>OK</v>
      </c>
      <c r="AP107" s="6" t="n">
        <f aca="false">(10-(LEN(AQ107)))+1</f>
        <v>8</v>
      </c>
      <c r="AQ107" s="6" t="n">
        <v>601</v>
      </c>
      <c r="AR107" s="6" t="str">
        <f aca="false">IF($J107="NA","NA",IF(AND($J107&gt;1919,AQ107&gt;0),"ERRO","OK"))</f>
        <v>OK</v>
      </c>
      <c r="AS107" s="6" t="n">
        <f aca="false">(10-(LEN(AT107)))+1</f>
        <v>10</v>
      </c>
      <c r="AT107" s="6" t="n">
        <v>0</v>
      </c>
      <c r="AU107" s="6" t="str">
        <f aca="false">IF($J107="NA","NA",IF(AND($J107&gt;1909,AT107&gt;0),"ERRO","OK"))</f>
        <v>OK</v>
      </c>
      <c r="AV107" s="6" t="n">
        <f aca="false">(10-(LEN(AW107)))+1</f>
        <v>10</v>
      </c>
      <c r="AW107" s="6" t="n">
        <v>0</v>
      </c>
      <c r="AX107" s="6" t="str">
        <f aca="false">IF($J107="NA","NA",IF(AND($J107&gt;1899,AW107&gt;0),"ERRO","OK"))</f>
        <v>OK</v>
      </c>
    </row>
    <row r="108" customFormat="false" ht="15" hidden="false" customHeight="false" outlineLevel="0" collapsed="false">
      <c r="A108" s="7" t="n">
        <v>105</v>
      </c>
      <c r="B108" s="0" t="s">
        <v>125</v>
      </c>
      <c r="C108" s="8" t="n">
        <v>45308</v>
      </c>
      <c r="D108" s="6" t="n">
        <v>0</v>
      </c>
      <c r="E108" s="0" t="s">
        <v>16</v>
      </c>
      <c r="F108" s="0" t="s">
        <v>17</v>
      </c>
      <c r="G108" s="9" t="str">
        <f aca="false">IF(OR(N108="ERRO",Q108="ERRO",T108="ERRO",W108="ERRO",Z108="ERRO",AC108="ERRO",AF108="ERRO",AI108="ERRO",AL108="ERRO",AO108="ERRO",AR108="ERRO",AU108="ERRO",AX108="ERRO"),"ERRO","OK")</f>
        <v>OK</v>
      </c>
      <c r="H108" s="9" t="n">
        <f aca="false">COUNTIF(L108:AX108,"ERRO")</f>
        <v>0</v>
      </c>
      <c r="I108" s="9" t="s">
        <v>18</v>
      </c>
      <c r="J108" s="10" t="n">
        <v>1885</v>
      </c>
      <c r="K108" s="10" t="n">
        <v>1930</v>
      </c>
      <c r="L108" s="6" t="n">
        <f aca="false">(10-(LEN(M108)))+1</f>
        <v>7</v>
      </c>
      <c r="M108" s="6" t="n">
        <v>1749</v>
      </c>
      <c r="N108" s="6" t="str">
        <f aca="false">IF($J108="NA","NA",IF(AND($J108&gt;2019,M108&gt;0),"ERRO","OK"))</f>
        <v>OK</v>
      </c>
      <c r="O108" s="6" t="n">
        <f aca="false">(10-(LEN(P108)))+1</f>
        <v>7</v>
      </c>
      <c r="P108" s="6" t="n">
        <v>1544</v>
      </c>
      <c r="Q108" s="6" t="str">
        <f aca="false">IF($J108="NA","NA",IF(AND($J108&gt;2009,P108&gt;0),"ERRO","OK"))</f>
        <v>OK</v>
      </c>
      <c r="R108" s="6" t="n">
        <f aca="false">(10-(LEN(S108)))+1</f>
        <v>7</v>
      </c>
      <c r="S108" s="6" t="n">
        <v>4202</v>
      </c>
      <c r="T108" s="6" t="str">
        <f aca="false">IF($J108="NA","NA",IF(AND($J108&gt;1999,S108&gt;0),"ERRO","OK"))</f>
        <v>OK</v>
      </c>
      <c r="U108" s="6" t="n">
        <f aca="false">(10-(LEN(V108)))+1</f>
        <v>7</v>
      </c>
      <c r="V108" s="6" t="n">
        <v>6853</v>
      </c>
      <c r="W108" s="6" t="str">
        <f aca="false">IF($J108="NA","NA",IF(AND($J108&gt;1989,V108&gt;0),"ERRO","OK"))</f>
        <v>OK</v>
      </c>
      <c r="X108" s="6" t="n">
        <f aca="false">(10-(LEN(Y108)))+1</f>
        <v>7</v>
      </c>
      <c r="Y108" s="6" t="n">
        <v>5244</v>
      </c>
      <c r="Z108" s="6" t="str">
        <f aca="false">IF($J108="NA","NA",IF(AND($J108&gt;1979,Y108&gt;0),"ERRO","OK"))</f>
        <v>OK</v>
      </c>
      <c r="AA108" s="6" t="n">
        <f aca="false">(10-(LEN(AB108)))+1</f>
        <v>7</v>
      </c>
      <c r="AB108" s="6" t="n">
        <v>4981</v>
      </c>
      <c r="AC108" s="6" t="str">
        <f aca="false">IF($J108="NA","NA",IF(AND($J108&gt;1969,AB108&gt;0),"ERRO","OK"))</f>
        <v>OK</v>
      </c>
      <c r="AD108" s="6" t="n">
        <f aca="false">(10-(LEN(AE108)))+1</f>
        <v>7</v>
      </c>
      <c r="AE108" s="6" t="n">
        <v>5293</v>
      </c>
      <c r="AF108" s="6" t="str">
        <f aca="false">IF($J108="NA","NA",IF(AND($J108&gt;1959,AE108&gt;0),"ERRO","OK"))</f>
        <v>OK</v>
      </c>
      <c r="AG108" s="6" t="n">
        <f aca="false">(10-(LEN(AH108)))+1</f>
        <v>7</v>
      </c>
      <c r="AH108" s="6" t="n">
        <v>4736</v>
      </c>
      <c r="AI108" s="6" t="str">
        <f aca="false">IF($J108="NA","NA",IF(AND($J108&gt;1949,AH108&gt;0),"ERRO","OK"))</f>
        <v>OK</v>
      </c>
      <c r="AJ108" s="6" t="n">
        <f aca="false">(10-(LEN(AK108)))+1</f>
        <v>7</v>
      </c>
      <c r="AK108" s="6" t="n">
        <v>5570</v>
      </c>
      <c r="AL108" s="6" t="str">
        <f aca="false">IF($J108="NA","NA",IF(AND($J108&gt;1939,AK108&gt;0),"ERRO","OK"))</f>
        <v>OK</v>
      </c>
      <c r="AM108" s="6" t="n">
        <f aca="false">(10-(LEN(AN108)))+1</f>
        <v>7</v>
      </c>
      <c r="AN108" s="6" t="n">
        <v>4418</v>
      </c>
      <c r="AO108" s="6" t="str">
        <f aca="false">IF($J108="NA","NA",IF(AND($J108&gt;1929,AN108&gt;0),"ERRO","OK"))</f>
        <v>OK</v>
      </c>
      <c r="AP108" s="6" t="n">
        <f aca="false">(10-(LEN(AQ108)))+1</f>
        <v>7</v>
      </c>
      <c r="AQ108" s="6" t="n">
        <v>1402</v>
      </c>
      <c r="AR108" s="6" t="str">
        <f aca="false">IF($J108="NA","NA",IF(AND($J108&gt;1919,AQ108&gt;0),"ERRO","OK"))</f>
        <v>OK</v>
      </c>
      <c r="AS108" s="6" t="n">
        <f aca="false">(10-(LEN(AT108)))+1</f>
        <v>10</v>
      </c>
      <c r="AT108" s="6" t="n">
        <v>0</v>
      </c>
      <c r="AU108" s="6" t="str">
        <f aca="false">IF($J108="NA","NA",IF(AND($J108&gt;1909,AT108&gt;0),"ERRO","OK"))</f>
        <v>OK</v>
      </c>
      <c r="AV108" s="6" t="n">
        <f aca="false">(10-(LEN(AW108)))+1</f>
        <v>10</v>
      </c>
      <c r="AW108" s="6" t="n">
        <v>0</v>
      </c>
      <c r="AX108" s="6" t="str">
        <f aca="false">IF($J108="NA","NA",IF(AND($J108&gt;1899,AW108&gt;0),"ERRO","OK"))</f>
        <v>OK</v>
      </c>
    </row>
    <row r="109" customFormat="false" ht="15" hidden="false" customHeight="false" outlineLevel="0" collapsed="false">
      <c r="A109" s="7" t="n">
        <v>106</v>
      </c>
      <c r="B109" s="0" t="s">
        <v>126</v>
      </c>
      <c r="C109" s="8" t="n">
        <v>45308</v>
      </c>
      <c r="D109" s="6" t="n">
        <v>0</v>
      </c>
      <c r="E109" s="0" t="s">
        <v>16</v>
      </c>
      <c r="F109" s="0" t="s">
        <v>17</v>
      </c>
      <c r="G109" s="9" t="str">
        <f aca="false">IF(OR(N109="ERRO",Q109="ERRO",T109="ERRO",W109="ERRO",Z109="ERRO",AC109="ERRO",AF109="ERRO",AI109="ERRO",AL109="ERRO",AO109="ERRO",AR109="ERRO",AU109="ERRO",AX109="ERRO"),"ERRO","OK")</f>
        <v>OK</v>
      </c>
      <c r="H109" s="9" t="n">
        <f aca="false">COUNTIF(L109:AX109,"ERRO")</f>
        <v>0</v>
      </c>
      <c r="I109" s="9" t="s">
        <v>18</v>
      </c>
      <c r="J109" s="10" t="n">
        <v>1893</v>
      </c>
      <c r="K109" s="10" t="n">
        <v>1969</v>
      </c>
      <c r="L109" s="6" t="n">
        <f aca="false">(10-(LEN(M109)))+1</f>
        <v>8</v>
      </c>
      <c r="M109" s="6" t="n">
        <v>791</v>
      </c>
      <c r="N109" s="6" t="str">
        <f aca="false">IF($J109="NA","NA",IF(AND($J109&gt;2019,M109&gt;0),"ERRO","OK"))</f>
        <v>OK</v>
      </c>
      <c r="O109" s="6" t="n">
        <f aca="false">(10-(LEN(P109)))+1</f>
        <v>7</v>
      </c>
      <c r="P109" s="6" t="n">
        <v>3705</v>
      </c>
      <c r="Q109" s="6" t="str">
        <f aca="false">IF($J109="NA","NA",IF(AND($J109&gt;2009,P109&gt;0),"ERRO","OK"))</f>
        <v>OK</v>
      </c>
      <c r="R109" s="6" t="n">
        <f aca="false">(10-(LEN(S109)))+1</f>
        <v>7</v>
      </c>
      <c r="S109" s="6" t="n">
        <v>1723</v>
      </c>
      <c r="T109" s="6" t="str">
        <f aca="false">IF($J109="NA","NA",IF(AND($J109&gt;1999,S109&gt;0),"ERRO","OK"))</f>
        <v>OK</v>
      </c>
      <c r="U109" s="6" t="n">
        <f aca="false">(10-(LEN(V109)))+1</f>
        <v>7</v>
      </c>
      <c r="V109" s="6" t="n">
        <v>2576</v>
      </c>
      <c r="W109" s="6" t="str">
        <f aca="false">IF($J109="NA","NA",IF(AND($J109&gt;1989,V109&gt;0),"ERRO","OK"))</f>
        <v>OK</v>
      </c>
      <c r="X109" s="6" t="n">
        <f aca="false">(10-(LEN(Y109)))+1</f>
        <v>7</v>
      </c>
      <c r="Y109" s="6" t="n">
        <v>1391</v>
      </c>
      <c r="Z109" s="6" t="str">
        <f aca="false">IF($J109="NA","NA",IF(AND($J109&gt;1979,Y109&gt;0),"ERRO","OK"))</f>
        <v>OK</v>
      </c>
      <c r="AA109" s="6" t="n">
        <f aca="false">(10-(LEN(AB109)))+1</f>
        <v>7</v>
      </c>
      <c r="AB109" s="6" t="n">
        <v>4746</v>
      </c>
      <c r="AC109" s="6" t="str">
        <f aca="false">IF($J109="NA","NA",IF(AND($J109&gt;1969,AB109&gt;0),"ERRO","OK"))</f>
        <v>OK</v>
      </c>
      <c r="AD109" s="6" t="n">
        <f aca="false">(10-(LEN(AE109)))+1</f>
        <v>7</v>
      </c>
      <c r="AE109" s="6" t="n">
        <v>6100</v>
      </c>
      <c r="AF109" s="6" t="str">
        <f aca="false">IF($J109="NA","NA",IF(AND($J109&gt;1959,AE109&gt;0),"ERRO","OK"))</f>
        <v>OK</v>
      </c>
      <c r="AG109" s="6" t="n">
        <f aca="false">(10-(LEN(AH109)))+1</f>
        <v>7</v>
      </c>
      <c r="AH109" s="6" t="n">
        <v>3414</v>
      </c>
      <c r="AI109" s="6" t="str">
        <f aca="false">IF($J109="NA","NA",IF(AND($J109&gt;1949,AH109&gt;0),"ERRO","OK"))</f>
        <v>OK</v>
      </c>
      <c r="AJ109" s="6" t="n">
        <f aca="false">(10-(LEN(AK109)))+1</f>
        <v>7</v>
      </c>
      <c r="AK109" s="6" t="n">
        <v>3203</v>
      </c>
      <c r="AL109" s="6" t="str">
        <f aca="false">IF($J109="NA","NA",IF(AND($J109&gt;1939,AK109&gt;0),"ERRO","OK"))</f>
        <v>OK</v>
      </c>
      <c r="AM109" s="6" t="n">
        <f aca="false">(10-(LEN(AN109)))+1</f>
        <v>6</v>
      </c>
      <c r="AN109" s="6" t="n">
        <v>19041</v>
      </c>
      <c r="AO109" s="6" t="str">
        <f aca="false">IF($J109="NA","NA",IF(AND($J109&gt;1929,AN109&gt;0),"ERRO","OK"))</f>
        <v>OK</v>
      </c>
      <c r="AP109" s="6" t="n">
        <f aca="false">(10-(LEN(AQ109)))+1</f>
        <v>8</v>
      </c>
      <c r="AQ109" s="6" t="n">
        <v>601</v>
      </c>
      <c r="AR109" s="6" t="str">
        <f aca="false">IF($J109="NA","NA",IF(AND($J109&gt;1919,AQ109&gt;0),"ERRO","OK"))</f>
        <v>OK</v>
      </c>
      <c r="AS109" s="6" t="n">
        <f aca="false">(10-(LEN(AT109)))+1</f>
        <v>10</v>
      </c>
      <c r="AT109" s="6" t="n">
        <v>0</v>
      </c>
      <c r="AU109" s="6" t="str">
        <f aca="false">IF($J109="NA","NA",IF(AND($J109&gt;1909,AT109&gt;0),"ERRO","OK"))</f>
        <v>OK</v>
      </c>
      <c r="AV109" s="6" t="n">
        <f aca="false">(10-(LEN(AW109)))+1</f>
        <v>10</v>
      </c>
      <c r="AW109" s="6" t="n">
        <v>0</v>
      </c>
      <c r="AX109" s="6" t="str">
        <f aca="false">IF($J109="NA","NA",IF(AND($J109&gt;1899,AW109&gt;0),"ERRO","OK"))</f>
        <v>OK</v>
      </c>
    </row>
    <row r="110" customFormat="false" ht="15" hidden="false" customHeight="false" outlineLevel="0" collapsed="false">
      <c r="A110" s="7" t="n">
        <v>107</v>
      </c>
      <c r="B110" s="0" t="s">
        <v>127</v>
      </c>
      <c r="C110" s="8" t="n">
        <v>45308</v>
      </c>
      <c r="D110" s="6" t="n">
        <v>0</v>
      </c>
      <c r="E110" s="0" t="s">
        <v>16</v>
      </c>
      <c r="F110" s="0" t="s">
        <v>17</v>
      </c>
      <c r="G110" s="9" t="str">
        <f aca="false">IF(OR(N110="ERRO",Q110="ERRO",T110="ERRO",W110="ERRO",Z110="ERRO",AC110="ERRO",AF110="ERRO",AI110="ERRO",AL110="ERRO",AO110="ERRO",AR110="ERRO",AU110="ERRO",AX110="ERRO"),"ERRO","OK")</f>
        <v>OK</v>
      </c>
      <c r="H110" s="9" t="n">
        <f aca="false">COUNTIF(L110:AX110,"ERRO")</f>
        <v>0</v>
      </c>
      <c r="I110" s="9" t="s">
        <v>18</v>
      </c>
      <c r="J110" s="10" t="n">
        <v>1897</v>
      </c>
      <c r="K110" s="10" t="n">
        <v>1982</v>
      </c>
      <c r="L110" s="6" t="n">
        <f aca="false">(10-(LEN(M110)))+1</f>
        <v>6</v>
      </c>
      <c r="M110" s="6" t="n">
        <v>22405</v>
      </c>
      <c r="N110" s="6" t="str">
        <f aca="false">IF($J110="NA","NA",IF(AND($J110&gt;2019,M110&gt;0),"ERRO","OK"))</f>
        <v>OK</v>
      </c>
      <c r="O110" s="6" t="n">
        <f aca="false">(10-(LEN(P110)))+1</f>
        <v>6</v>
      </c>
      <c r="P110" s="6" t="n">
        <v>32417</v>
      </c>
      <c r="Q110" s="6" t="str">
        <f aca="false">IF($J110="NA","NA",IF(AND($J110&gt;2009,P110&gt;0),"ERRO","OK"))</f>
        <v>OK</v>
      </c>
      <c r="R110" s="6" t="n">
        <f aca="false">(10-(LEN(S110)))+1</f>
        <v>6</v>
      </c>
      <c r="S110" s="6" t="n">
        <v>35335</v>
      </c>
      <c r="T110" s="6" t="str">
        <f aca="false">IF($J110="NA","NA",IF(AND($J110&gt;1999,S110&gt;0),"ERRO","OK"))</f>
        <v>OK</v>
      </c>
      <c r="U110" s="6" t="n">
        <f aca="false">(10-(LEN(V110)))+1</f>
        <v>6</v>
      </c>
      <c r="V110" s="6" t="n">
        <v>32654</v>
      </c>
      <c r="W110" s="6" t="str">
        <f aca="false">IF($J110="NA","NA",IF(AND($J110&gt;1989,V110&gt;0),"ERRO","OK"))</f>
        <v>OK</v>
      </c>
      <c r="X110" s="6" t="n">
        <f aca="false">(10-(LEN(Y110)))+1</f>
        <v>6</v>
      </c>
      <c r="Y110" s="6" t="n">
        <v>29002</v>
      </c>
      <c r="Z110" s="6" t="str">
        <f aca="false">IF($J110="NA","NA",IF(AND($J110&gt;1979,Y110&gt;0),"ERRO","OK"))</f>
        <v>OK</v>
      </c>
      <c r="AA110" s="6" t="n">
        <f aca="false">(10-(LEN(AB110)))+1</f>
        <v>6</v>
      </c>
      <c r="AB110" s="6" t="n">
        <v>34514</v>
      </c>
      <c r="AC110" s="6" t="str">
        <f aca="false">IF($J110="NA","NA",IF(AND($J110&gt;1969,AB110&gt;0),"ERRO","OK"))</f>
        <v>OK</v>
      </c>
      <c r="AD110" s="6" t="n">
        <f aca="false">(10-(LEN(AE110)))+1</f>
        <v>6</v>
      </c>
      <c r="AE110" s="6" t="n">
        <v>23682</v>
      </c>
      <c r="AF110" s="6" t="str">
        <f aca="false">IF($J110="NA","NA",IF(AND($J110&gt;1959,AE110&gt;0),"ERRO","OK"))</f>
        <v>OK</v>
      </c>
      <c r="AG110" s="6" t="n">
        <f aca="false">(10-(LEN(AH110)))+1</f>
        <v>6</v>
      </c>
      <c r="AH110" s="6" t="n">
        <v>28636</v>
      </c>
      <c r="AI110" s="6" t="str">
        <f aca="false">IF($J110="NA","NA",IF(AND($J110&gt;1949,AH110&gt;0),"ERRO","OK"))</f>
        <v>OK</v>
      </c>
      <c r="AJ110" s="6" t="n">
        <f aca="false">(10-(LEN(AK110)))+1</f>
        <v>6</v>
      </c>
      <c r="AK110" s="6" t="n">
        <v>16989</v>
      </c>
      <c r="AL110" s="6" t="str">
        <f aca="false">IF($J110="NA","NA",IF(AND($J110&gt;1939,AK110&gt;0),"ERRO","OK"))</f>
        <v>OK</v>
      </c>
      <c r="AM110" s="6" t="n">
        <f aca="false">(10-(LEN(AN110)))+1</f>
        <v>7</v>
      </c>
      <c r="AN110" s="6" t="n">
        <v>2285</v>
      </c>
      <c r="AO110" s="6" t="str">
        <f aca="false">IF($J110="NA","NA",IF(AND($J110&gt;1929,AN110&gt;0),"ERRO","OK"))</f>
        <v>OK</v>
      </c>
      <c r="AP110" s="6" t="n">
        <f aca="false">(10-(LEN(AQ110)))+1</f>
        <v>8</v>
      </c>
      <c r="AQ110" s="6" t="n">
        <v>401</v>
      </c>
      <c r="AR110" s="6" t="str">
        <f aca="false">IF($J110="NA","NA",IF(AND($J110&gt;1919,AQ110&gt;0),"ERRO","OK"))</f>
        <v>OK</v>
      </c>
      <c r="AS110" s="6" t="n">
        <f aca="false">(10-(LEN(AT110)))+1</f>
        <v>10</v>
      </c>
      <c r="AT110" s="6" t="n">
        <v>0</v>
      </c>
      <c r="AU110" s="6" t="str">
        <f aca="false">IF($J110="NA","NA",IF(AND($J110&gt;1909,AT110&gt;0),"ERRO","OK"))</f>
        <v>OK</v>
      </c>
      <c r="AV110" s="6" t="n">
        <f aca="false">(10-(LEN(AW110)))+1</f>
        <v>10</v>
      </c>
      <c r="AW110" s="6" t="n">
        <v>0</v>
      </c>
      <c r="AX110" s="6" t="str">
        <f aca="false">IF($J110="NA","NA",IF(AND($J110&gt;1899,AW110&gt;0),"ERRO","OK"))</f>
        <v>OK</v>
      </c>
    </row>
    <row r="111" customFormat="false" ht="15" hidden="false" customHeight="false" outlineLevel="0" collapsed="false">
      <c r="A111" s="7" t="n">
        <v>108</v>
      </c>
      <c r="B111" s="0" t="s">
        <v>128</v>
      </c>
      <c r="C111" s="8" t="n">
        <v>45308</v>
      </c>
      <c r="D111" s="6" t="n">
        <v>0</v>
      </c>
      <c r="E111" s="0" t="s">
        <v>16</v>
      </c>
      <c r="F111" s="0" t="s">
        <v>17</v>
      </c>
      <c r="G111" s="9" t="str">
        <f aca="false">IF(OR(N111="ERRO",Q111="ERRO",T111="ERRO",W111="ERRO",Z111="ERRO",AC111="ERRO",AF111="ERRO",AI111="ERRO",AL111="ERRO",AO111="ERRO",AR111="ERRO",AU111="ERRO",AX111="ERRO"),"ERRO","OK")</f>
        <v>OK</v>
      </c>
      <c r="H111" s="9" t="n">
        <f aca="false">COUNTIF(L111:AX111,"ERRO")</f>
        <v>0</v>
      </c>
      <c r="I111" s="9" t="s">
        <v>18</v>
      </c>
      <c r="J111" s="10" t="n">
        <v>1900</v>
      </c>
      <c r="K111" s="10" t="n">
        <v>1960</v>
      </c>
      <c r="L111" s="6" t="n">
        <f aca="false">(10-(LEN(M111)))+1</f>
        <v>7</v>
      </c>
      <c r="M111" s="6" t="n">
        <v>1582</v>
      </c>
      <c r="N111" s="6" t="str">
        <f aca="false">IF($J111="NA","NA",IF(AND($J111&gt;2019,M111&gt;0),"ERRO","OK"))</f>
        <v>OK</v>
      </c>
      <c r="O111" s="6" t="n">
        <f aca="false">(10-(LEN(P111)))+1</f>
        <v>7</v>
      </c>
      <c r="P111" s="6" t="n">
        <v>1304</v>
      </c>
      <c r="Q111" s="6" t="str">
        <f aca="false">IF($J111="NA","NA",IF(AND($J111&gt;2009,P111&gt;0),"ERRO","OK"))</f>
        <v>OK</v>
      </c>
      <c r="R111" s="6" t="n">
        <f aca="false">(10-(LEN(S111)))+1</f>
        <v>7</v>
      </c>
      <c r="S111" s="6" t="n">
        <v>1260</v>
      </c>
      <c r="T111" s="6" t="str">
        <f aca="false">IF($J111="NA","NA",IF(AND($J111&gt;1999,S111&gt;0),"ERRO","OK"))</f>
        <v>OK</v>
      </c>
      <c r="U111" s="6" t="n">
        <f aca="false">(10-(LEN(V111)))+1</f>
        <v>8</v>
      </c>
      <c r="V111" s="6" t="n">
        <v>828</v>
      </c>
      <c r="W111" s="6" t="str">
        <f aca="false">IF($J111="NA","NA",IF(AND($J111&gt;1989,V111&gt;0),"ERRO","OK"))</f>
        <v>OK</v>
      </c>
      <c r="X111" s="6" t="n">
        <f aca="false">(10-(LEN(Y111)))+1</f>
        <v>8</v>
      </c>
      <c r="Y111" s="6" t="n">
        <v>375</v>
      </c>
      <c r="Z111" s="6" t="str">
        <f aca="false">IF($J111="NA","NA",IF(AND($J111&gt;1979,Y111&gt;0),"ERRO","OK"))</f>
        <v>OK</v>
      </c>
      <c r="AA111" s="6" t="n">
        <f aca="false">(10-(LEN(AB111)))+1</f>
        <v>8</v>
      </c>
      <c r="AB111" s="6" t="n">
        <v>469</v>
      </c>
      <c r="AC111" s="6" t="str">
        <f aca="false">IF($J111="NA","NA",IF(AND($J111&gt;1969,AB111&gt;0),"ERRO","OK"))</f>
        <v>OK</v>
      </c>
      <c r="AD111" s="6" t="n">
        <f aca="false">(10-(LEN(AE111)))+1</f>
        <v>8</v>
      </c>
      <c r="AE111" s="6" t="n">
        <v>179</v>
      </c>
      <c r="AF111" s="6" t="str">
        <f aca="false">IF($J111="NA","NA",IF(AND($J111&gt;1959,AE111&gt;0),"ERRO","OK"))</f>
        <v>OK</v>
      </c>
      <c r="AG111" s="6" t="n">
        <f aca="false">(10-(LEN(AH111)))+1</f>
        <v>10</v>
      </c>
      <c r="AH111" s="6" t="n">
        <v>0</v>
      </c>
      <c r="AI111" s="6" t="str">
        <f aca="false">IF($J111="NA","NA",IF(AND($J111&gt;1949,AH111&gt;0),"ERRO","OK"))</f>
        <v>OK</v>
      </c>
      <c r="AJ111" s="6" t="n">
        <f aca="false">(10-(LEN(AK111)))+1</f>
        <v>10</v>
      </c>
      <c r="AK111" s="6" t="n">
        <v>0</v>
      </c>
      <c r="AL111" s="6" t="str">
        <f aca="false">IF($J111="NA","NA",IF(AND($J111&gt;1939,AK111&gt;0),"ERRO","OK"))</f>
        <v>OK</v>
      </c>
      <c r="AM111" s="6" t="n">
        <f aca="false">(10-(LEN(AN111)))+1</f>
        <v>10</v>
      </c>
      <c r="AN111" s="6" t="n">
        <v>0</v>
      </c>
      <c r="AO111" s="6" t="str">
        <f aca="false">IF($J111="NA","NA",IF(AND($J111&gt;1929,AN111&gt;0),"ERRO","OK"))</f>
        <v>OK</v>
      </c>
      <c r="AP111" s="6" t="n">
        <f aca="false">(10-(LEN(AQ111)))+1</f>
        <v>10</v>
      </c>
      <c r="AQ111" s="6" t="n">
        <v>0</v>
      </c>
      <c r="AR111" s="6" t="str">
        <f aca="false">IF($J111="NA","NA",IF(AND($J111&gt;1919,AQ111&gt;0),"ERRO","OK"))</f>
        <v>OK</v>
      </c>
      <c r="AS111" s="6" t="n">
        <f aca="false">(10-(LEN(AT111)))+1</f>
        <v>10</v>
      </c>
      <c r="AT111" s="6" t="n">
        <v>0</v>
      </c>
      <c r="AU111" s="6" t="str">
        <f aca="false">IF($J111="NA","NA",IF(AND($J111&gt;1909,AT111&gt;0),"ERRO","OK"))</f>
        <v>OK</v>
      </c>
      <c r="AV111" s="6" t="n">
        <f aca="false">(10-(LEN(AW111)))+1</f>
        <v>10</v>
      </c>
      <c r="AW111" s="6" t="n">
        <v>0</v>
      </c>
      <c r="AX111" s="6" t="str">
        <f aca="false">IF($J111="NA","NA",IF(AND($J111&gt;1899,AW111&gt;0),"ERRO","OK"))</f>
        <v>OK</v>
      </c>
    </row>
    <row r="112" customFormat="false" ht="15" hidden="false" customHeight="false" outlineLevel="0" collapsed="false">
      <c r="A112" s="7" t="n">
        <v>109</v>
      </c>
      <c r="B112" s="0" t="s">
        <v>129</v>
      </c>
      <c r="C112" s="8" t="n">
        <v>45308</v>
      </c>
      <c r="D112" s="6" t="n">
        <v>0</v>
      </c>
      <c r="E112" s="0" t="s">
        <v>16</v>
      </c>
      <c r="F112" s="0" t="s">
        <v>17</v>
      </c>
      <c r="G112" s="9" t="str">
        <f aca="false">IF(OR(N112="ERRO",Q112="ERRO",T112="ERRO",W112="ERRO",Z112="ERRO",AC112="ERRO",AF112="ERRO",AI112="ERRO",AL112="ERRO",AO112="ERRO",AR112="ERRO",AU112="ERRO",AX112="ERRO"),"ERRO","OK")</f>
        <v>OK</v>
      </c>
      <c r="H112" s="9" t="n">
        <f aca="false">COUNTIF(L112:AX112,"ERRO")</f>
        <v>0</v>
      </c>
      <c r="I112" s="9" t="s">
        <v>18</v>
      </c>
      <c r="J112" s="10" t="n">
        <v>1889</v>
      </c>
      <c r="K112" s="10" t="n">
        <v>1970</v>
      </c>
      <c r="L112" s="6" t="n">
        <f aca="false">(10-(LEN(M112)))+1</f>
        <v>7</v>
      </c>
      <c r="M112" s="6" t="n">
        <v>3581</v>
      </c>
      <c r="N112" s="6" t="str">
        <f aca="false">IF($J112="NA","NA",IF(AND($J112&gt;2019,M112&gt;0),"ERRO","OK"))</f>
        <v>OK</v>
      </c>
      <c r="O112" s="6" t="n">
        <f aca="false">(10-(LEN(P112)))+1</f>
        <v>7</v>
      </c>
      <c r="P112" s="6" t="n">
        <v>5866</v>
      </c>
      <c r="Q112" s="6" t="str">
        <f aca="false">IF($J112="NA","NA",IF(AND($J112&gt;2009,P112&gt;0),"ERRO","OK"))</f>
        <v>OK</v>
      </c>
      <c r="R112" s="6" t="n">
        <f aca="false">(10-(LEN(S112)))+1</f>
        <v>7</v>
      </c>
      <c r="S112" s="6" t="n">
        <v>4328</v>
      </c>
      <c r="T112" s="6" t="str">
        <f aca="false">IF($J112="NA","NA",IF(AND($J112&gt;1999,S112&gt;0),"ERRO","OK"))</f>
        <v>OK</v>
      </c>
      <c r="U112" s="6" t="n">
        <f aca="false">(10-(LEN(V112)))+1</f>
        <v>7</v>
      </c>
      <c r="V112" s="6" t="n">
        <v>7635</v>
      </c>
      <c r="W112" s="6" t="str">
        <f aca="false">IF($J112="NA","NA",IF(AND($J112&gt;1989,V112&gt;0),"ERRO","OK"))</f>
        <v>OK</v>
      </c>
      <c r="X112" s="6" t="n">
        <f aca="false">(10-(LEN(Y112)))+1</f>
        <v>7</v>
      </c>
      <c r="Y112" s="6" t="n">
        <v>7919</v>
      </c>
      <c r="Z112" s="6" t="str">
        <f aca="false">IF($J112="NA","NA",IF(AND($J112&gt;1979,Y112&gt;0),"ERRO","OK"))</f>
        <v>OK</v>
      </c>
      <c r="AA112" s="6" t="n">
        <f aca="false">(10-(LEN(AB112)))+1</f>
        <v>7</v>
      </c>
      <c r="AB112" s="6" t="n">
        <v>5450</v>
      </c>
      <c r="AC112" s="6" t="str">
        <f aca="false">IF($J112="NA","NA",IF(AND($J112&gt;1969,AB112&gt;0),"ERRO","OK"))</f>
        <v>OK</v>
      </c>
      <c r="AD112" s="6" t="n">
        <f aca="false">(10-(LEN(AE112)))+1</f>
        <v>7</v>
      </c>
      <c r="AE112" s="6" t="n">
        <v>5472</v>
      </c>
      <c r="AF112" s="6" t="str">
        <f aca="false">IF($J112="NA","NA",IF(AND($J112&gt;1959,AE112&gt;0),"ERRO","OK"))</f>
        <v>OK</v>
      </c>
      <c r="AG112" s="6" t="n">
        <f aca="false">(10-(LEN(AH112)))+1</f>
        <v>7</v>
      </c>
      <c r="AH112" s="6" t="n">
        <v>8260</v>
      </c>
      <c r="AI112" s="6" t="str">
        <f aca="false">IF($J112="NA","NA",IF(AND($J112&gt;1949,AH112&gt;0),"ERRO","OK"))</f>
        <v>OK</v>
      </c>
      <c r="AJ112" s="6" t="n">
        <f aca="false">(10-(LEN(AK112)))+1</f>
        <v>7</v>
      </c>
      <c r="AK112" s="6" t="n">
        <v>4178</v>
      </c>
      <c r="AL112" s="6" t="str">
        <f aca="false">IF($J112="NA","NA",IF(AND($J112&gt;1939,AK112&gt;0),"ERRO","OK"))</f>
        <v>OK</v>
      </c>
      <c r="AM112" s="6" t="n">
        <f aca="false">(10-(LEN(AN112)))+1</f>
        <v>8</v>
      </c>
      <c r="AN112" s="6" t="n">
        <v>762</v>
      </c>
      <c r="AO112" s="6" t="str">
        <f aca="false">IF($J112="NA","NA",IF(AND($J112&gt;1929,AN112&gt;0),"ERRO","OK"))</f>
        <v>OK</v>
      </c>
      <c r="AP112" s="6" t="n">
        <f aca="false">(10-(LEN(AQ112)))+1</f>
        <v>10</v>
      </c>
      <c r="AQ112" s="6" t="n">
        <v>0</v>
      </c>
      <c r="AR112" s="6" t="str">
        <f aca="false">IF($J112="NA","NA",IF(AND($J112&gt;1919,AQ112&gt;0),"ERRO","OK"))</f>
        <v>OK</v>
      </c>
      <c r="AS112" s="6" t="n">
        <f aca="false">(10-(LEN(AT112)))+1</f>
        <v>10</v>
      </c>
      <c r="AT112" s="6" t="n">
        <v>0</v>
      </c>
      <c r="AU112" s="6" t="str">
        <f aca="false">IF($J112="NA","NA",IF(AND($J112&gt;1909,AT112&gt;0),"ERRO","OK"))</f>
        <v>OK</v>
      </c>
      <c r="AV112" s="6" t="n">
        <f aca="false">(10-(LEN(AW112)))+1</f>
        <v>10</v>
      </c>
      <c r="AW112" s="6" t="n">
        <v>0</v>
      </c>
      <c r="AX112" s="6" t="str">
        <f aca="false">IF($J112="NA","NA",IF(AND($J112&gt;1899,AW112&gt;0),"ERRO","OK"))</f>
        <v>OK</v>
      </c>
    </row>
    <row r="113" customFormat="false" ht="15" hidden="false" customHeight="false" outlineLevel="0" collapsed="false">
      <c r="A113" s="7" t="n">
        <v>110</v>
      </c>
      <c r="B113" s="0" t="s">
        <v>130</v>
      </c>
      <c r="C113" s="8" t="n">
        <v>45308</v>
      </c>
      <c r="D113" s="6" t="n">
        <v>0</v>
      </c>
      <c r="E113" s="0" t="s">
        <v>16</v>
      </c>
      <c r="F113" s="0" t="s">
        <v>17</v>
      </c>
      <c r="G113" s="9" t="str">
        <f aca="false">IF(OR(N113="ERRO",Q113="ERRO",T113="ERRO",W113="ERRO",Z113="ERRO",AC113="ERRO",AF113="ERRO",AI113="ERRO",AL113="ERRO",AO113="ERRO",AR113="ERRO",AU113="ERRO",AX113="ERRO"),"ERRO","OK")</f>
        <v>OK</v>
      </c>
      <c r="H113" s="9" t="n">
        <f aca="false">COUNTIF(L113:AX113,"ERRO")</f>
        <v>0</v>
      </c>
      <c r="I113" s="9" t="s">
        <v>18</v>
      </c>
      <c r="J113" s="10" t="n">
        <v>1886</v>
      </c>
      <c r="K113" s="10" t="n">
        <v>1966</v>
      </c>
      <c r="L113" s="6" t="n">
        <f aca="false">(10-(LEN(M113)))+1</f>
        <v>7</v>
      </c>
      <c r="M113" s="6" t="n">
        <v>4789</v>
      </c>
      <c r="N113" s="6" t="str">
        <f aca="false">IF($J113="NA","NA",IF(AND($J113&gt;2019,M113&gt;0),"ERRO","OK"))</f>
        <v>OK</v>
      </c>
      <c r="O113" s="6" t="n">
        <f aca="false">(10-(LEN(P113)))+1</f>
        <v>7</v>
      </c>
      <c r="P113" s="6" t="n">
        <v>4940</v>
      </c>
      <c r="Q113" s="6" t="str">
        <f aca="false">IF($J113="NA","NA",IF(AND($J113&gt;2009,P113&gt;0),"ERRO","OK"))</f>
        <v>OK</v>
      </c>
      <c r="R113" s="6" t="n">
        <f aca="false">(10-(LEN(S113)))+1</f>
        <v>7</v>
      </c>
      <c r="S113" s="6" t="n">
        <v>1218</v>
      </c>
      <c r="T113" s="6" t="str">
        <f aca="false">IF($J113="NA","NA",IF(AND($J113&gt;1999,S113&gt;0),"ERRO","OK"))</f>
        <v>OK</v>
      </c>
      <c r="U113" s="6" t="n">
        <f aca="false">(10-(LEN(V113)))+1</f>
        <v>8</v>
      </c>
      <c r="V113" s="6" t="n">
        <v>552</v>
      </c>
      <c r="W113" s="6" t="str">
        <f aca="false">IF($J113="NA","NA",IF(AND($J113&gt;1989,V113&gt;0),"ERRO","OK"))</f>
        <v>OK</v>
      </c>
      <c r="X113" s="6" t="n">
        <f aca="false">(10-(LEN(Y113)))+1</f>
        <v>8</v>
      </c>
      <c r="Y113" s="6" t="n">
        <v>749</v>
      </c>
      <c r="Z113" s="6" t="str">
        <f aca="false">IF($J113="NA","NA",IF(AND($J113&gt;1979,Y113&gt;0),"ERRO","OK"))</f>
        <v>OK</v>
      </c>
      <c r="AA113" s="6" t="n">
        <f aca="false">(10-(LEN(AB113)))+1</f>
        <v>8</v>
      </c>
      <c r="AB113" s="6" t="n">
        <v>762</v>
      </c>
      <c r="AC113" s="6" t="str">
        <f aca="false">IF($J113="NA","NA",IF(AND($J113&gt;1969,AB113&gt;0),"ERRO","OK"))</f>
        <v>OK</v>
      </c>
      <c r="AD113" s="6" t="n">
        <f aca="false">(10-(LEN(AE113)))+1</f>
        <v>8</v>
      </c>
      <c r="AE113" s="6" t="n">
        <v>897</v>
      </c>
      <c r="AF113" s="6" t="str">
        <f aca="false">IF($J113="NA","NA",IF(AND($J113&gt;1959,AE113&gt;0),"ERRO","OK"))</f>
        <v>OK</v>
      </c>
      <c r="AG113" s="6" t="n">
        <f aca="false">(10-(LEN(AH113)))+1</f>
        <v>7</v>
      </c>
      <c r="AH113" s="6" t="n">
        <v>1432</v>
      </c>
      <c r="AI113" s="6" t="str">
        <f aca="false">IF($J113="NA","NA",IF(AND($J113&gt;1949,AH113&gt;0),"ERRO","OK"))</f>
        <v>OK</v>
      </c>
      <c r="AJ113" s="6" t="n">
        <f aca="false">(10-(LEN(AK113)))+1</f>
        <v>8</v>
      </c>
      <c r="AK113" s="6" t="n">
        <v>836</v>
      </c>
      <c r="AL113" s="6" t="str">
        <f aca="false">IF($J113="NA","NA",IF(AND($J113&gt;1939,AK113&gt;0),"ERRO","OK"))</f>
        <v>OK</v>
      </c>
      <c r="AM113" s="6" t="n">
        <f aca="false">(10-(LEN(AN113)))+1</f>
        <v>8</v>
      </c>
      <c r="AN113" s="6" t="n">
        <v>305</v>
      </c>
      <c r="AO113" s="6" t="str">
        <f aca="false">IF($J113="NA","NA",IF(AND($J113&gt;1929,AN113&gt;0),"ERRO","OK"))</f>
        <v>OK</v>
      </c>
      <c r="AP113" s="6" t="n">
        <f aca="false">(10-(LEN(AQ113)))+1</f>
        <v>10</v>
      </c>
      <c r="AQ113" s="6" t="n">
        <v>0</v>
      </c>
      <c r="AR113" s="6" t="str">
        <f aca="false">IF($J113="NA","NA",IF(AND($J113&gt;1919,AQ113&gt;0),"ERRO","OK"))</f>
        <v>OK</v>
      </c>
      <c r="AS113" s="6" t="n">
        <f aca="false">(10-(LEN(AT113)))+1</f>
        <v>10</v>
      </c>
      <c r="AT113" s="6" t="n">
        <v>0</v>
      </c>
      <c r="AU113" s="6" t="str">
        <f aca="false">IF($J113="NA","NA",IF(AND($J113&gt;1909,AT113&gt;0),"ERRO","OK"))</f>
        <v>OK</v>
      </c>
      <c r="AV113" s="6" t="n">
        <f aca="false">(10-(LEN(AW113)))+1</f>
        <v>10</v>
      </c>
      <c r="AW113" s="6" t="n">
        <v>0</v>
      </c>
      <c r="AX113" s="6" t="str">
        <f aca="false">IF($J113="NA","NA",IF(AND($J113&gt;1899,AW113&gt;0),"ERRO","OK"))</f>
        <v>OK</v>
      </c>
    </row>
    <row r="114" customFormat="false" ht="15" hidden="false" customHeight="false" outlineLevel="0" collapsed="false">
      <c r="A114" s="7" t="n">
        <v>111</v>
      </c>
      <c r="B114" s="0" t="s">
        <v>131</v>
      </c>
      <c r="C114" s="8" t="n">
        <v>45308</v>
      </c>
      <c r="D114" s="6" t="n">
        <v>0</v>
      </c>
      <c r="E114" s="0" t="s">
        <v>16</v>
      </c>
      <c r="F114" s="0" t="s">
        <v>17</v>
      </c>
      <c r="G114" s="9" t="str">
        <f aca="false">IF(OR(N114="ERRO",Q114="ERRO",T114="ERRO",W114="ERRO",Z114="ERRO",AC114="ERRO",AF114="ERRO",AI114="ERRO",AL114="ERRO",AO114="ERRO",AR114="ERRO",AU114="ERRO",AX114="ERRO"),"ERRO","OK")</f>
        <v>OK</v>
      </c>
      <c r="H114" s="9" t="n">
        <f aca="false">COUNTIF(L114:AX114,"ERRO")</f>
        <v>0</v>
      </c>
      <c r="I114" s="9" t="s">
        <v>18</v>
      </c>
      <c r="J114" s="10" t="n">
        <v>1891</v>
      </c>
      <c r="K114" s="10" t="n">
        <v>1950</v>
      </c>
      <c r="L114" s="6" t="n">
        <f aca="false">(10-(LEN(M114)))+1</f>
        <v>7</v>
      </c>
      <c r="M114" s="6" t="n">
        <v>7038</v>
      </c>
      <c r="N114" s="6" t="str">
        <f aca="false">IF($J114="NA","NA",IF(AND($J114&gt;2019,M114&gt;0),"ERRO","OK"))</f>
        <v>OK</v>
      </c>
      <c r="O114" s="6" t="n">
        <f aca="false">(10-(LEN(P114)))+1</f>
        <v>6</v>
      </c>
      <c r="P114" s="6" t="n">
        <v>13276</v>
      </c>
      <c r="Q114" s="6" t="str">
        <f aca="false">IF($J114="NA","NA",IF(AND($J114&gt;2009,P114&gt;0),"ERRO","OK"))</f>
        <v>OK</v>
      </c>
      <c r="R114" s="6" t="n">
        <f aca="false">(10-(LEN(S114)))+1</f>
        <v>6</v>
      </c>
      <c r="S114" s="6" t="n">
        <v>27478</v>
      </c>
      <c r="T114" s="6" t="str">
        <f aca="false">IF($J114="NA","NA",IF(AND($J114&gt;1999,S114&gt;0),"ERRO","OK"))</f>
        <v>OK</v>
      </c>
      <c r="U114" s="6" t="n">
        <f aca="false">(10-(LEN(V114)))+1</f>
        <v>6</v>
      </c>
      <c r="V114" s="6" t="n">
        <v>30125</v>
      </c>
      <c r="W114" s="6" t="str">
        <f aca="false">IF($J114="NA","NA",IF(AND($J114&gt;1989,V114&gt;0),"ERRO","OK"))</f>
        <v>OK</v>
      </c>
      <c r="X114" s="6" t="n">
        <f aca="false">(10-(LEN(Y114)))+1</f>
        <v>6</v>
      </c>
      <c r="Y114" s="6" t="n">
        <v>17016</v>
      </c>
      <c r="Z114" s="6" t="str">
        <f aca="false">IF($J114="NA","NA",IF(AND($J114&gt;1979,Y114&gt;0),"ERRO","OK"))</f>
        <v>OK</v>
      </c>
      <c r="AA114" s="6" t="n">
        <f aca="false">(10-(LEN(AB114)))+1</f>
        <v>6</v>
      </c>
      <c r="AB114" s="6" t="n">
        <v>14532</v>
      </c>
      <c r="AC114" s="6" t="str">
        <f aca="false">IF($J114="NA","NA",IF(AND($J114&gt;1969,AB114&gt;0),"ERRO","OK"))</f>
        <v>OK</v>
      </c>
      <c r="AD114" s="6" t="n">
        <f aca="false">(10-(LEN(AE114)))+1</f>
        <v>6</v>
      </c>
      <c r="AE114" s="6" t="n">
        <v>17851</v>
      </c>
      <c r="AF114" s="6" t="str">
        <f aca="false">IF($J114="NA","NA",IF(AND($J114&gt;1959,AE114&gt;0),"ERRO","OK"))</f>
        <v>OK</v>
      </c>
      <c r="AG114" s="6" t="n">
        <f aca="false">(10-(LEN(AH114)))+1</f>
        <v>7</v>
      </c>
      <c r="AH114" s="6" t="n">
        <v>7820</v>
      </c>
      <c r="AI114" s="6" t="str">
        <f aca="false">IF($J114="NA","NA",IF(AND($J114&gt;1949,AH114&gt;0),"ERRO","OK"))</f>
        <v>OK</v>
      </c>
      <c r="AJ114" s="6" t="n">
        <f aca="false">(10-(LEN(AK114)))+1</f>
        <v>6</v>
      </c>
      <c r="AK114" s="6" t="n">
        <v>11698</v>
      </c>
      <c r="AL114" s="6" t="str">
        <f aca="false">IF($J114="NA","NA",IF(AND($J114&gt;1939,AK114&gt;0),"ERRO","OK"))</f>
        <v>OK</v>
      </c>
      <c r="AM114" s="6" t="n">
        <f aca="false">(10-(LEN(AN114)))+1</f>
        <v>6</v>
      </c>
      <c r="AN114" s="6" t="n">
        <v>13557</v>
      </c>
      <c r="AO114" s="6" t="str">
        <f aca="false">IF($J114="NA","NA",IF(AND($J114&gt;1929,AN114&gt;0),"ERRO","OK"))</f>
        <v>OK</v>
      </c>
      <c r="AP114" s="6" t="n">
        <f aca="false">(10-(LEN(AQ114)))+1</f>
        <v>6</v>
      </c>
      <c r="AQ114" s="6" t="n">
        <v>22630</v>
      </c>
      <c r="AR114" s="6" t="str">
        <f aca="false">IF($J114="NA","NA",IF(AND($J114&gt;1919,AQ114&gt;0),"ERRO","OK"))</f>
        <v>OK</v>
      </c>
      <c r="AS114" s="6" t="n">
        <f aca="false">(10-(LEN(AT114)))+1</f>
        <v>6</v>
      </c>
      <c r="AT114" s="6" t="n">
        <v>27535</v>
      </c>
      <c r="AU114" s="6" t="str">
        <f aca="false">IF($J114="NA","NA",IF(AND($J114&gt;1909,AT114&gt;0),"ERRO","OK"))</f>
        <v>OK</v>
      </c>
      <c r="AV114" s="6" t="n">
        <f aca="false">(10-(LEN(AW114)))+1</f>
        <v>6</v>
      </c>
      <c r="AW114" s="6" t="n">
        <v>13414</v>
      </c>
      <c r="AX114" s="6" t="str">
        <f aca="false">IF($J114="NA","NA",IF(AND($J114&gt;1899,AW114&gt;0),"ERRO","OK"))</f>
        <v>OK</v>
      </c>
    </row>
    <row r="115" customFormat="false" ht="15" hidden="false" customHeight="false" outlineLevel="0" collapsed="false">
      <c r="A115" s="7" t="n">
        <v>112</v>
      </c>
      <c r="B115" s="0" t="s">
        <v>132</v>
      </c>
      <c r="C115" s="8" t="n">
        <v>45308</v>
      </c>
      <c r="D115" s="6" t="n">
        <v>0</v>
      </c>
      <c r="E115" s="0" t="s">
        <v>16</v>
      </c>
      <c r="F115" s="0" t="s">
        <v>17</v>
      </c>
      <c r="G115" s="9" t="str">
        <f aca="false">IF(OR(N115="ERRO",Q115="ERRO",T115="ERRO",W115="ERRO",Z115="ERRO",AC115="ERRO",AF115="ERRO",AI115="ERRO",AL115="ERRO",AO115="ERRO",AR115="ERRO",AU115="ERRO",AX115="ERRO"),"ERRO","OK")</f>
        <v>OK</v>
      </c>
      <c r="H115" s="9" t="n">
        <f aca="false">COUNTIF(L115:AX115,"ERRO")</f>
        <v>0</v>
      </c>
      <c r="I115" s="9" t="s">
        <v>18</v>
      </c>
      <c r="J115" s="10" t="n">
        <v>1904</v>
      </c>
      <c r="K115" s="10" t="n">
        <v>1989</v>
      </c>
      <c r="L115" s="6" t="n">
        <f aca="false">(10-(LEN(M115)))+1</f>
        <v>6</v>
      </c>
      <c r="M115" s="6" t="n">
        <v>52305</v>
      </c>
      <c r="N115" s="6" t="str">
        <f aca="false">IF($J115="NA","NA",IF(AND($J115&gt;2019,M115&gt;0),"ERRO","OK"))</f>
        <v>OK</v>
      </c>
      <c r="O115" s="6" t="n">
        <f aca="false">(10-(LEN(P115)))+1</f>
        <v>5</v>
      </c>
      <c r="P115" s="6" t="n">
        <v>119481</v>
      </c>
      <c r="Q115" s="6" t="str">
        <f aca="false">IF($J115="NA","NA",IF(AND($J115&gt;2009,P115&gt;0),"ERRO","OK"))</f>
        <v>OK</v>
      </c>
      <c r="R115" s="6" t="n">
        <f aca="false">(10-(LEN(S115)))+1</f>
        <v>5</v>
      </c>
      <c r="S115" s="6" t="n">
        <v>158483</v>
      </c>
      <c r="T115" s="6" t="str">
        <f aca="false">IF($J115="NA","NA",IF(AND($J115&gt;1999,S115&gt;0),"ERRO","OK"))</f>
        <v>OK</v>
      </c>
      <c r="U115" s="6" t="n">
        <f aca="false">(10-(LEN(V115)))+1</f>
        <v>5</v>
      </c>
      <c r="V115" s="6" t="n">
        <v>120131</v>
      </c>
      <c r="W115" s="6" t="str">
        <f aca="false">IF($J115="NA","NA",IF(AND($J115&gt;1989,V115&gt;0),"ERRO","OK"))</f>
        <v>OK</v>
      </c>
      <c r="X115" s="6" t="n">
        <f aca="false">(10-(LEN(Y115)))+1</f>
        <v>6</v>
      </c>
      <c r="Y115" s="6" t="n">
        <v>72933</v>
      </c>
      <c r="Z115" s="6" t="str">
        <f aca="false">IF($J115="NA","NA",IF(AND($J115&gt;1979,Y115&gt;0),"ERRO","OK"))</f>
        <v>OK</v>
      </c>
      <c r="AA115" s="6" t="n">
        <f aca="false">(10-(LEN(AB115)))+1</f>
        <v>6</v>
      </c>
      <c r="AB115" s="6" t="n">
        <v>70200</v>
      </c>
      <c r="AC115" s="6" t="str">
        <f aca="false">IF($J115="NA","NA",IF(AND($J115&gt;1969,AB115&gt;0),"ERRO","OK"))</f>
        <v>OK</v>
      </c>
      <c r="AD115" s="6" t="n">
        <f aca="false">(10-(LEN(AE115)))+1</f>
        <v>6</v>
      </c>
      <c r="AE115" s="6" t="n">
        <v>64228</v>
      </c>
      <c r="AF115" s="6" t="str">
        <f aca="false">IF($J115="NA","NA",IF(AND($J115&gt;1959,AE115&gt;0),"ERRO","OK"))</f>
        <v>OK</v>
      </c>
      <c r="AG115" s="6" t="n">
        <f aca="false">(10-(LEN(AH115)))+1</f>
        <v>6</v>
      </c>
      <c r="AH115" s="6" t="n">
        <v>52095</v>
      </c>
      <c r="AI115" s="6" t="str">
        <f aca="false">IF($J115="NA","NA",IF(AND($J115&gt;1949,AH115&gt;0),"ERRO","OK"))</f>
        <v>OK</v>
      </c>
      <c r="AJ115" s="6" t="n">
        <f aca="false">(10-(LEN(AK115)))+1</f>
        <v>6</v>
      </c>
      <c r="AK115" s="6" t="n">
        <v>62805</v>
      </c>
      <c r="AL115" s="6" t="str">
        <f aca="false">IF($J115="NA","NA",IF(AND($J115&gt;1939,AK115&gt;0),"ERRO","OK"))</f>
        <v>OK</v>
      </c>
      <c r="AM115" s="6" t="n">
        <f aca="false">(10-(LEN(AN115)))+1</f>
        <v>8</v>
      </c>
      <c r="AN115" s="6" t="n">
        <v>609</v>
      </c>
      <c r="AO115" s="6" t="str">
        <f aca="false">IF($J115="NA","NA",IF(AND($J115&gt;1929,AN115&gt;0),"ERRO","OK"))</f>
        <v>OK</v>
      </c>
      <c r="AP115" s="6" t="n">
        <f aca="false">(10-(LEN(AQ115)))+1</f>
        <v>8</v>
      </c>
      <c r="AQ115" s="6" t="n">
        <v>501</v>
      </c>
      <c r="AR115" s="6" t="str">
        <f aca="false">IF($J115="NA","NA",IF(AND($J115&gt;1919,AQ115&gt;0),"ERRO","OK"))</f>
        <v>OK</v>
      </c>
      <c r="AS115" s="6" t="n">
        <f aca="false">(10-(LEN(AT115)))+1</f>
        <v>10</v>
      </c>
      <c r="AT115" s="6" t="n">
        <v>0</v>
      </c>
      <c r="AU115" s="6" t="str">
        <f aca="false">IF($J115="NA","NA",IF(AND($J115&gt;1909,AT115&gt;0),"ERRO","OK"))</f>
        <v>OK</v>
      </c>
      <c r="AV115" s="6" t="n">
        <f aca="false">(10-(LEN(AW115)))+1</f>
        <v>10</v>
      </c>
      <c r="AW115" s="6" t="n">
        <v>0</v>
      </c>
      <c r="AX115" s="6" t="str">
        <f aca="false">IF($J115="NA","NA",IF(AND($J115&gt;1899,AW115&gt;0),"ERRO","OK"))</f>
        <v>OK</v>
      </c>
    </row>
    <row r="116" customFormat="false" ht="15" hidden="false" customHeight="false" outlineLevel="0" collapsed="false">
      <c r="A116" s="7" t="n">
        <v>113</v>
      </c>
      <c r="B116" s="0" t="s">
        <v>133</v>
      </c>
      <c r="C116" s="8" t="n">
        <v>45308</v>
      </c>
      <c r="D116" s="6" t="n">
        <v>0</v>
      </c>
      <c r="E116" s="0" t="s">
        <v>16</v>
      </c>
      <c r="F116" s="0" t="s">
        <v>17</v>
      </c>
      <c r="G116" s="9" t="str">
        <f aca="false">IF(OR(N116="ERRO",Q116="ERRO",T116="ERRO",W116="ERRO",Z116="ERRO",AC116="ERRO",AF116="ERRO",AI116="ERRO",AL116="ERRO",AO116="ERRO",AR116="ERRO",AU116="ERRO",AX116="ERRO"),"ERRO","OK")</f>
        <v>OK</v>
      </c>
      <c r="H116" s="9" t="n">
        <f aca="false">COUNTIF(L116:AX116,"ERRO")</f>
        <v>0</v>
      </c>
      <c r="I116" s="9" t="s">
        <v>18</v>
      </c>
      <c r="J116" s="10" t="n">
        <v>1894</v>
      </c>
      <c r="K116" s="10" t="n">
        <v>1982</v>
      </c>
      <c r="L116" s="6" t="n">
        <f aca="false">(10-(LEN(M116)))+1</f>
        <v>8</v>
      </c>
      <c r="M116" s="6" t="n">
        <v>125</v>
      </c>
      <c r="N116" s="6" t="str">
        <f aca="false">IF($J116="NA","NA",IF(AND($J116&gt;2019,M116&gt;0),"ERRO","OK"))</f>
        <v>OK</v>
      </c>
      <c r="O116" s="6" t="n">
        <f aca="false">(10-(LEN(P116)))+1</f>
        <v>8</v>
      </c>
      <c r="P116" s="6" t="n">
        <v>617</v>
      </c>
      <c r="Q116" s="6" t="str">
        <f aca="false">IF($J116="NA","NA",IF(AND($J116&gt;2009,P116&gt;0),"ERRO","OK"))</f>
        <v>OK</v>
      </c>
      <c r="R116" s="6" t="n">
        <f aca="false">(10-(LEN(S116)))+1</f>
        <v>7</v>
      </c>
      <c r="S116" s="6" t="n">
        <v>1176</v>
      </c>
      <c r="T116" s="6" t="str">
        <f aca="false">IF($J116="NA","NA",IF(AND($J116&gt;1999,S116&gt;0),"ERRO","OK"))</f>
        <v>OK</v>
      </c>
      <c r="U116" s="6" t="n">
        <f aca="false">(10-(LEN(V116)))+1</f>
        <v>7</v>
      </c>
      <c r="V116" s="6" t="n">
        <v>1656</v>
      </c>
      <c r="W116" s="6" t="str">
        <f aca="false">IF($J116="NA","NA",IF(AND($J116&gt;1989,V116&gt;0),"ERRO","OK"))</f>
        <v>OK</v>
      </c>
      <c r="X116" s="6" t="n">
        <f aca="false">(10-(LEN(Y116)))+1</f>
        <v>8</v>
      </c>
      <c r="Y116" s="6" t="n">
        <v>696</v>
      </c>
      <c r="Z116" s="6" t="str">
        <f aca="false">IF($J116="NA","NA",IF(AND($J116&gt;1979,Y116&gt;0),"ERRO","OK"))</f>
        <v>OK</v>
      </c>
      <c r="AA116" s="6" t="n">
        <f aca="false">(10-(LEN(AB116)))+1</f>
        <v>8</v>
      </c>
      <c r="AB116" s="6" t="n">
        <v>176</v>
      </c>
      <c r="AC116" s="6" t="str">
        <f aca="false">IF($J116="NA","NA",IF(AND($J116&gt;1969,AB116&gt;0),"ERRO","OK"))</f>
        <v>OK</v>
      </c>
      <c r="AD116" s="6" t="n">
        <f aca="false">(10-(LEN(AE116)))+1</f>
        <v>9</v>
      </c>
      <c r="AE116" s="6" t="n">
        <v>90</v>
      </c>
      <c r="AF116" s="6" t="str">
        <f aca="false">IF($J116="NA","NA",IF(AND($J116&gt;1959,AE116&gt;0),"ERRO","OK"))</f>
        <v>OK</v>
      </c>
      <c r="AG116" s="6" t="n">
        <f aca="false">(10-(LEN(AH116)))+1</f>
        <v>10</v>
      </c>
      <c r="AH116" s="6" t="n">
        <v>0</v>
      </c>
      <c r="AI116" s="6" t="str">
        <f aca="false">IF($J116="NA","NA",IF(AND($J116&gt;1949,AH116&gt;0),"ERRO","OK"))</f>
        <v>OK</v>
      </c>
      <c r="AJ116" s="6" t="n">
        <f aca="false">(10-(LEN(AK116)))+1</f>
        <v>8</v>
      </c>
      <c r="AK116" s="6" t="n">
        <v>279</v>
      </c>
      <c r="AL116" s="6" t="str">
        <f aca="false">IF($J116="NA","NA",IF(AND($J116&gt;1939,AK116&gt;0),"ERRO","OK"))</f>
        <v>OK</v>
      </c>
      <c r="AM116" s="6" t="n">
        <f aca="false">(10-(LEN(AN116)))+1</f>
        <v>10</v>
      </c>
      <c r="AN116" s="6" t="n">
        <v>0</v>
      </c>
      <c r="AO116" s="6" t="str">
        <f aca="false">IF($J116="NA","NA",IF(AND($J116&gt;1929,AN116&gt;0),"ERRO","OK"))</f>
        <v>OK</v>
      </c>
      <c r="AP116" s="6" t="n">
        <f aca="false">(10-(LEN(AQ116)))+1</f>
        <v>10</v>
      </c>
      <c r="AQ116" s="6" t="n">
        <v>0</v>
      </c>
      <c r="AR116" s="6" t="str">
        <f aca="false">IF($J116="NA","NA",IF(AND($J116&gt;1919,AQ116&gt;0),"ERRO","OK"))</f>
        <v>OK</v>
      </c>
      <c r="AS116" s="6" t="n">
        <f aca="false">(10-(LEN(AT116)))+1</f>
        <v>10</v>
      </c>
      <c r="AT116" s="6" t="n">
        <v>0</v>
      </c>
      <c r="AU116" s="6" t="str">
        <f aca="false">IF($J116="NA","NA",IF(AND($J116&gt;1909,AT116&gt;0),"ERRO","OK"))</f>
        <v>OK</v>
      </c>
      <c r="AV116" s="6" t="n">
        <f aca="false">(10-(LEN(AW116)))+1</f>
        <v>10</v>
      </c>
      <c r="AW116" s="6" t="n">
        <v>0</v>
      </c>
      <c r="AX116" s="6" t="str">
        <f aca="false">IF($J116="NA","NA",IF(AND($J116&gt;1899,AW116&gt;0),"ERRO","OK"))</f>
        <v>OK</v>
      </c>
    </row>
    <row r="117" customFormat="false" ht="15" hidden="false" customHeight="false" outlineLevel="0" collapsed="false">
      <c r="A117" s="7" t="n">
        <v>114</v>
      </c>
      <c r="B117" s="0" t="s">
        <v>134</v>
      </c>
      <c r="C117" s="8" t="n">
        <v>45308</v>
      </c>
      <c r="D117" s="6" t="n">
        <v>0</v>
      </c>
      <c r="E117" s="0" t="s">
        <v>16</v>
      </c>
      <c r="F117" s="0" t="s">
        <v>17</v>
      </c>
      <c r="G117" s="9" t="str">
        <f aca="false">IF(OR(N117="ERRO",Q117="ERRO",T117="ERRO",W117="ERRO",Z117="ERRO",AC117="ERRO",AF117="ERRO",AI117="ERRO",AL117="ERRO",AO117="ERRO",AR117="ERRO",AU117="ERRO",AX117="ERRO"),"ERRO","OK")</f>
        <v>OK</v>
      </c>
      <c r="H117" s="9" t="n">
        <f aca="false">COUNTIF(L117:AX117,"ERRO")</f>
        <v>0</v>
      </c>
      <c r="I117" s="9" t="s">
        <v>18</v>
      </c>
      <c r="J117" s="10" t="n">
        <v>1882</v>
      </c>
      <c r="K117" s="10" t="n">
        <v>1960</v>
      </c>
      <c r="L117" s="6" t="n">
        <f aca="false">(10-(LEN(M117)))+1</f>
        <v>8</v>
      </c>
      <c r="M117" s="6" t="n">
        <v>964</v>
      </c>
      <c r="N117" s="6" t="str">
        <f aca="false">IF($J117="NA","NA",IF(AND($J117&gt;2019,M117&gt;0),"ERRO","OK"))</f>
        <v>OK</v>
      </c>
      <c r="O117" s="6" t="n">
        <f aca="false">(10-(LEN(P117)))+1</f>
        <v>7</v>
      </c>
      <c r="P117" s="6" t="n">
        <v>2558</v>
      </c>
      <c r="Q117" s="6" t="str">
        <f aca="false">IF($J117="NA","NA",IF(AND($J117&gt;2009,P117&gt;0),"ERRO","OK"))</f>
        <v>OK</v>
      </c>
      <c r="R117" s="6" t="n">
        <f aca="false">(10-(LEN(S117)))+1</f>
        <v>7</v>
      </c>
      <c r="S117" s="6" t="n">
        <v>2912</v>
      </c>
      <c r="T117" s="6" t="str">
        <f aca="false">IF($J117="NA","NA",IF(AND($J117&gt;1999,S117&gt;0),"ERRO","OK"))</f>
        <v>OK</v>
      </c>
      <c r="U117" s="6" t="n">
        <f aca="false">(10-(LEN(V117)))+1</f>
        <v>7</v>
      </c>
      <c r="V117" s="6" t="n">
        <v>5465</v>
      </c>
      <c r="W117" s="6" t="str">
        <f aca="false">IF($J117="NA","NA",IF(AND($J117&gt;1989,V117&gt;0),"ERRO","OK"))</f>
        <v>OK</v>
      </c>
      <c r="X117" s="6" t="n">
        <f aca="false">(10-(LEN(Y117)))+1</f>
        <v>7</v>
      </c>
      <c r="Y117" s="6" t="n">
        <v>5175</v>
      </c>
      <c r="Z117" s="6" t="str">
        <f aca="false">IF($J117="NA","NA",IF(AND($J117&gt;1979,Y117&gt;0),"ERRO","OK"))</f>
        <v>OK</v>
      </c>
      <c r="AA117" s="6" t="n">
        <f aca="false">(10-(LEN(AB117)))+1</f>
        <v>7</v>
      </c>
      <c r="AB117" s="6" t="n">
        <v>7879</v>
      </c>
      <c r="AC117" s="6" t="str">
        <f aca="false">IF($J117="NA","NA",IF(AND($J117&gt;1969,AB117&gt;0),"ERRO","OK"))</f>
        <v>OK</v>
      </c>
      <c r="AD117" s="6" t="n">
        <f aca="false">(10-(LEN(AE117)))+1</f>
        <v>6</v>
      </c>
      <c r="AE117" s="6" t="n">
        <v>21306</v>
      </c>
      <c r="AF117" s="6" t="str">
        <f aca="false">IF($J117="NA","NA",IF(AND($J117&gt;1959,AE117&gt;0),"ERRO","OK"))</f>
        <v>OK</v>
      </c>
      <c r="AG117" s="6" t="n">
        <f aca="false">(10-(LEN(AH117)))+1</f>
        <v>6</v>
      </c>
      <c r="AH117" s="6" t="n">
        <v>22125</v>
      </c>
      <c r="AI117" s="6" t="str">
        <f aca="false">IF($J117="NA","NA",IF(AND($J117&gt;1949,AH117&gt;0),"ERRO","OK"))</f>
        <v>OK</v>
      </c>
      <c r="AJ117" s="6" t="n">
        <f aca="false">(10-(LEN(AK117)))+1</f>
        <v>6</v>
      </c>
      <c r="AK117" s="6" t="n">
        <v>38692</v>
      </c>
      <c r="AL117" s="6" t="str">
        <f aca="false">IF($J117="NA","NA",IF(AND($J117&gt;1939,AK117&gt;0),"ERRO","OK"))</f>
        <v>OK</v>
      </c>
      <c r="AM117" s="6" t="n">
        <f aca="false">(10-(LEN(AN117)))+1</f>
        <v>6</v>
      </c>
      <c r="AN117" s="6" t="n">
        <v>10269</v>
      </c>
      <c r="AO117" s="6" t="str">
        <f aca="false">IF($J117="NA","NA",IF(AND($J117&gt;1929,AN117&gt;0),"ERRO","OK"))</f>
        <v>OK</v>
      </c>
      <c r="AP117" s="6" t="n">
        <f aca="false">(10-(LEN(AQ117)))+1</f>
        <v>7</v>
      </c>
      <c r="AQ117" s="6" t="n">
        <v>2423</v>
      </c>
      <c r="AR117" s="6" t="str">
        <f aca="false">IF($J117="NA","NA",IF(AND($J117&gt;1919,AQ117&gt;0),"ERRO","OK"))</f>
        <v>OK</v>
      </c>
      <c r="AS117" s="6" t="n">
        <f aca="false">(10-(LEN(AT117)))+1</f>
        <v>7</v>
      </c>
      <c r="AT117" s="6" t="n">
        <v>1955</v>
      </c>
      <c r="AU117" s="6" t="str">
        <f aca="false">IF($J117="NA","NA",IF(AND($J117&gt;1909,AT117&gt;0),"ERRO","OK"))</f>
        <v>OK</v>
      </c>
      <c r="AV117" s="6" t="n">
        <f aca="false">(10-(LEN(AW117)))+1</f>
        <v>7</v>
      </c>
      <c r="AW117" s="6" t="n">
        <v>2035</v>
      </c>
      <c r="AX117" s="6" t="str">
        <f aca="false">IF($J117="NA","NA",IF(AND($J117&gt;1899,AW117&gt;0),"ERRO","OK"))</f>
        <v>OK</v>
      </c>
    </row>
    <row r="118" customFormat="false" ht="15" hidden="false" customHeight="false" outlineLevel="0" collapsed="false">
      <c r="A118" s="7" t="n">
        <v>115</v>
      </c>
      <c r="B118" s="0" t="s">
        <v>135</v>
      </c>
      <c r="C118" s="8" t="n">
        <v>45308</v>
      </c>
      <c r="D118" s="6" t="n">
        <v>0</v>
      </c>
      <c r="E118" s="0" t="s">
        <v>16</v>
      </c>
      <c r="F118" s="0" t="s">
        <v>17</v>
      </c>
      <c r="G118" s="9" t="str">
        <f aca="false">IF(OR(N118="ERRO",Q118="ERRO",T118="ERRO",W118="ERRO",Z118="ERRO",AC118="ERRO",AF118="ERRO",AI118="ERRO",AL118="ERRO",AO118="ERRO",AR118="ERRO",AU118="ERRO",AX118="ERRO"),"ERRO","OK")</f>
        <v>OK</v>
      </c>
      <c r="H118" s="9" t="n">
        <f aca="false">COUNTIF(L118:AX118,"ERRO")</f>
        <v>0</v>
      </c>
      <c r="I118" s="9" t="s">
        <v>18</v>
      </c>
      <c r="J118" s="10" t="n">
        <v>1872</v>
      </c>
      <c r="K118" s="10" t="n">
        <v>1947</v>
      </c>
      <c r="L118" s="6" t="n">
        <f aca="false">(10-(LEN(M118)))+1</f>
        <v>7</v>
      </c>
      <c r="M118" s="6" t="n">
        <v>3998</v>
      </c>
      <c r="N118" s="6" t="str">
        <f aca="false">IF($J118="NA","NA",IF(AND($J118&gt;2019,M118&gt;0),"ERRO","OK"))</f>
        <v>OK</v>
      </c>
      <c r="O118" s="6" t="n">
        <f aca="false">(10-(LEN(P118)))+1</f>
        <v>7</v>
      </c>
      <c r="P118" s="6" t="n">
        <v>5146</v>
      </c>
      <c r="Q118" s="6" t="str">
        <f aca="false">IF($J118="NA","NA",IF(AND($J118&gt;2009,P118&gt;0),"ERRO","OK"))</f>
        <v>OK</v>
      </c>
      <c r="R118" s="6" t="n">
        <f aca="false">(10-(LEN(S118)))+1</f>
        <v>7</v>
      </c>
      <c r="S118" s="6" t="n">
        <v>4958</v>
      </c>
      <c r="T118" s="6" t="str">
        <f aca="false">IF($J118="NA","NA",IF(AND($J118&gt;1999,S118&gt;0),"ERRO","OK"))</f>
        <v>OK</v>
      </c>
      <c r="U118" s="6" t="n">
        <f aca="false">(10-(LEN(V118)))+1</f>
        <v>7</v>
      </c>
      <c r="V118" s="6" t="n">
        <v>5749</v>
      </c>
      <c r="W118" s="6" t="str">
        <f aca="false">IF($J118="NA","NA",IF(AND($J118&gt;1989,V118&gt;0),"ERRO","OK"))</f>
        <v>OK</v>
      </c>
      <c r="X118" s="6" t="n">
        <f aca="false">(10-(LEN(Y118)))+1</f>
        <v>7</v>
      </c>
      <c r="Y118" s="6" t="n">
        <v>5404</v>
      </c>
      <c r="Z118" s="6" t="str">
        <f aca="false">IF($J118="NA","NA",IF(AND($J118&gt;1979,Y118&gt;0),"ERRO","OK"))</f>
        <v>OK</v>
      </c>
      <c r="AA118" s="6" t="n">
        <f aca="false">(10-(LEN(AB118)))+1</f>
        <v>7</v>
      </c>
      <c r="AB118" s="6" t="n">
        <v>7208</v>
      </c>
      <c r="AC118" s="6" t="str">
        <f aca="false">IF($J118="NA","NA",IF(AND($J118&gt;1969,AB118&gt;0),"ERRO","OK"))</f>
        <v>OK</v>
      </c>
      <c r="AD118" s="6" t="n">
        <f aca="false">(10-(LEN(AE118)))+1</f>
        <v>7</v>
      </c>
      <c r="AE118" s="6" t="n">
        <v>6228</v>
      </c>
      <c r="AF118" s="6" t="str">
        <f aca="false">IF($J118="NA","NA",IF(AND($J118&gt;1959,AE118&gt;0),"ERRO","OK"))</f>
        <v>OK</v>
      </c>
      <c r="AG118" s="6" t="n">
        <f aca="false">(10-(LEN(AH118)))+1</f>
        <v>7</v>
      </c>
      <c r="AH118" s="6" t="n">
        <v>9582</v>
      </c>
      <c r="AI118" s="6" t="str">
        <f aca="false">IF($J118="NA","NA",IF(AND($J118&gt;1949,AH118&gt;0),"ERRO","OK"))</f>
        <v>OK</v>
      </c>
      <c r="AJ118" s="6" t="n">
        <f aca="false">(10-(LEN(AK118)))+1</f>
        <v>6</v>
      </c>
      <c r="AK118" s="6" t="n">
        <v>23256</v>
      </c>
      <c r="AL118" s="6" t="str">
        <f aca="false">IF($J118="NA","NA",IF(AND($J118&gt;1939,AK118&gt;0),"ERRO","OK"))</f>
        <v>OK</v>
      </c>
      <c r="AM118" s="6" t="n">
        <f aca="false">(10-(LEN(AN118)))+1</f>
        <v>6</v>
      </c>
      <c r="AN118" s="6" t="n">
        <v>16147</v>
      </c>
      <c r="AO118" s="6" t="str">
        <f aca="false">IF($J118="NA","NA",IF(AND($J118&gt;1929,AN118&gt;0),"ERRO","OK"))</f>
        <v>OK</v>
      </c>
      <c r="AP118" s="6" t="n">
        <f aca="false">(10-(LEN(AQ118)))+1</f>
        <v>7</v>
      </c>
      <c r="AQ118" s="6" t="n">
        <v>4306</v>
      </c>
      <c r="AR118" s="6" t="str">
        <f aca="false">IF($J118="NA","NA",IF(AND($J118&gt;1919,AQ118&gt;0),"ERRO","OK"))</f>
        <v>OK</v>
      </c>
      <c r="AS118" s="6" t="n">
        <f aca="false">(10-(LEN(AT118)))+1</f>
        <v>8</v>
      </c>
      <c r="AT118" s="6" t="n">
        <v>103</v>
      </c>
      <c r="AU118" s="6" t="str">
        <f aca="false">IF($J118="NA","NA",IF(AND($J118&gt;1909,AT118&gt;0),"ERRO","OK"))</f>
        <v>OK</v>
      </c>
      <c r="AV118" s="6" t="n">
        <f aca="false">(10-(LEN(AW118)))+1</f>
        <v>10</v>
      </c>
      <c r="AW118" s="6" t="n">
        <v>0</v>
      </c>
      <c r="AX118" s="6" t="str">
        <f aca="false">IF($J118="NA","NA",IF(AND($J118&gt;1899,AW118&gt;0),"ERRO","OK"))</f>
        <v>OK</v>
      </c>
    </row>
    <row r="119" customFormat="false" ht="15" hidden="false" customHeight="false" outlineLevel="0" collapsed="false">
      <c r="A119" s="7" t="n">
        <v>116</v>
      </c>
      <c r="B119" s="0" t="s">
        <v>136</v>
      </c>
      <c r="C119" s="8" t="n">
        <v>45308</v>
      </c>
      <c r="D119" s="6" t="n">
        <v>0</v>
      </c>
      <c r="E119" s="0" t="s">
        <v>16</v>
      </c>
      <c r="F119" s="0" t="s">
        <v>17</v>
      </c>
      <c r="G119" s="9" t="str">
        <f aca="false">IF(OR(N119="ERRO",Q119="ERRO",T119="ERRO",W119="ERRO",Z119="ERRO",AC119="ERRO",AF119="ERRO",AI119="ERRO",AL119="ERRO",AO119="ERRO",AR119="ERRO",AU119="ERRO",AX119="ERRO"),"ERRO","OK")</f>
        <v>OK</v>
      </c>
      <c r="H119" s="9" t="n">
        <f aca="false">COUNTIF(L119:AX119,"ERRO")</f>
        <v>0</v>
      </c>
      <c r="I119" s="9" t="s">
        <v>18</v>
      </c>
      <c r="J119" s="10" t="n">
        <v>1881</v>
      </c>
      <c r="K119" s="10" t="n">
        <v>1952</v>
      </c>
      <c r="L119" s="6" t="n">
        <f aca="false">(10-(LEN(M119)))+1</f>
        <v>8</v>
      </c>
      <c r="M119" s="6" t="n">
        <v>394</v>
      </c>
      <c r="N119" s="6" t="str">
        <f aca="false">IF($J119="NA","NA",IF(AND($J119&gt;2019,M119&gt;0),"ERRO","OK"))</f>
        <v>OK</v>
      </c>
      <c r="O119" s="6" t="n">
        <f aca="false">(10-(LEN(P119)))+1</f>
        <v>8</v>
      </c>
      <c r="P119" s="6" t="n">
        <v>684</v>
      </c>
      <c r="Q119" s="6" t="str">
        <f aca="false">IF($J119="NA","NA",IF(AND($J119&gt;2009,P119&gt;0),"ERRO","OK"))</f>
        <v>OK</v>
      </c>
      <c r="R119" s="6" t="n">
        <f aca="false">(10-(LEN(S119)))+1</f>
        <v>8</v>
      </c>
      <c r="S119" s="6" t="n">
        <v>882</v>
      </c>
      <c r="T119" s="6" t="str">
        <f aca="false">IF($J119="NA","NA",IF(AND($J119&gt;1999,S119&gt;0),"ERRO","OK"))</f>
        <v>OK</v>
      </c>
      <c r="U119" s="6" t="n">
        <f aca="false">(10-(LEN(V119)))+1</f>
        <v>8</v>
      </c>
      <c r="V119" s="6" t="n">
        <v>532</v>
      </c>
      <c r="W119" s="6" t="str">
        <f aca="false">IF($J119="NA","NA",IF(AND($J119&gt;1989,V119&gt;0),"ERRO","OK"))</f>
        <v>OK</v>
      </c>
      <c r="X119" s="6" t="n">
        <f aca="false">(10-(LEN(Y119)))+1</f>
        <v>8</v>
      </c>
      <c r="Y119" s="6" t="n">
        <v>450</v>
      </c>
      <c r="Z119" s="6" t="str">
        <f aca="false">IF($J119="NA","NA",IF(AND($J119&gt;1979,Y119&gt;0),"ERRO","OK"))</f>
        <v>OK</v>
      </c>
      <c r="AA119" s="6" t="n">
        <f aca="false">(10-(LEN(AB119)))+1</f>
        <v>7</v>
      </c>
      <c r="AB119" s="6" t="n">
        <v>1231</v>
      </c>
      <c r="AC119" s="6" t="str">
        <f aca="false">IF($J119="NA","NA",IF(AND($J119&gt;1969,AB119&gt;0),"ERRO","OK"))</f>
        <v>OK</v>
      </c>
      <c r="AD119" s="6" t="n">
        <f aca="false">(10-(LEN(AE119)))+1</f>
        <v>8</v>
      </c>
      <c r="AE119" s="6" t="n">
        <v>189</v>
      </c>
      <c r="AF119" s="6" t="str">
        <f aca="false">IF($J119="NA","NA",IF(AND($J119&gt;1959,AE119&gt;0),"ERRO","OK"))</f>
        <v>OK</v>
      </c>
      <c r="AG119" s="6" t="n">
        <f aca="false">(10-(LEN(AH119)))+1</f>
        <v>7</v>
      </c>
      <c r="AH119" s="6" t="n">
        <v>5444</v>
      </c>
      <c r="AI119" s="6" t="str">
        <f aca="false">IF($J119="NA","NA",IF(AND($J119&gt;1949,AH119&gt;0),"ERRO","OK"))</f>
        <v>OK</v>
      </c>
      <c r="AJ119" s="6" t="n">
        <f aca="false">(10-(LEN(AK119)))+1</f>
        <v>7</v>
      </c>
      <c r="AK119" s="6" t="n">
        <v>1466</v>
      </c>
      <c r="AL119" s="6" t="str">
        <f aca="false">IF($J119="NA","NA",IF(AND($J119&gt;1939,AK119&gt;0),"ERRO","OK"))</f>
        <v>OK</v>
      </c>
      <c r="AM119" s="6" t="n">
        <f aca="false">(10-(LEN(AN119)))+1</f>
        <v>8</v>
      </c>
      <c r="AN119" s="6" t="n">
        <v>642</v>
      </c>
      <c r="AO119" s="6" t="str">
        <f aca="false">IF($J119="NA","NA",IF(AND($J119&gt;1929,AN119&gt;0),"ERRO","OK"))</f>
        <v>OK</v>
      </c>
      <c r="AP119" s="6" t="n">
        <f aca="false">(10-(LEN(AQ119)))+1</f>
        <v>6</v>
      </c>
      <c r="AQ119" s="6" t="n">
        <v>17596</v>
      </c>
      <c r="AR119" s="6" t="str">
        <f aca="false">IF($J119="NA","NA",IF(AND($J119&gt;1919,AQ119&gt;0),"ERRO","OK"))</f>
        <v>OK</v>
      </c>
      <c r="AS119" s="6" t="n">
        <f aca="false">(10-(LEN(AT119)))+1</f>
        <v>8</v>
      </c>
      <c r="AT119" s="6" t="n">
        <v>543</v>
      </c>
      <c r="AU119" s="6" t="str">
        <f aca="false">IF($J119="NA","NA",IF(AND($J119&gt;1909,AT119&gt;0),"ERRO","OK"))</f>
        <v>OK</v>
      </c>
      <c r="AV119" s="6" t="n">
        <f aca="false">(10-(LEN(AW119)))+1</f>
        <v>10</v>
      </c>
      <c r="AW119" s="6" t="n">
        <v>0</v>
      </c>
      <c r="AX119" s="6" t="str">
        <f aca="false">IF($J119="NA","NA",IF(AND($J119&gt;1899,AW119&gt;0),"ERRO","OK"))</f>
        <v>OK</v>
      </c>
    </row>
    <row r="120" customFormat="false" ht="15" hidden="false" customHeight="false" outlineLevel="0" collapsed="false">
      <c r="A120" s="7" t="n">
        <v>117</v>
      </c>
      <c r="B120" s="0" t="s">
        <v>137</v>
      </c>
      <c r="C120" s="8" t="n">
        <v>45308</v>
      </c>
      <c r="D120" s="6" t="n">
        <v>0</v>
      </c>
      <c r="E120" s="0" t="s">
        <v>16</v>
      </c>
      <c r="F120" s="0" t="s">
        <v>17</v>
      </c>
      <c r="G120" s="9" t="str">
        <f aca="false">IF(OR(N120="ERRO",Q120="ERRO",T120="ERRO",W120="ERRO",Z120="ERRO",AC120="ERRO",AF120="ERRO",AI120="ERRO",AL120="ERRO",AO120="ERRO",AR120="ERRO",AU120="ERRO",AX120="ERRO"),"ERRO","OK")</f>
        <v>OK</v>
      </c>
      <c r="H120" s="9" t="n">
        <f aca="false">COUNTIF(L120:AX120,"ERRO")</f>
        <v>0</v>
      </c>
      <c r="I120" s="9" t="s">
        <v>18</v>
      </c>
      <c r="J120" s="10" t="n">
        <v>1898</v>
      </c>
      <c r="K120" s="10" t="n">
        <v>1979</v>
      </c>
      <c r="L120" s="6" t="n">
        <f aca="false">(10-(LEN(M120)))+1</f>
        <v>6</v>
      </c>
      <c r="M120" s="6" t="n">
        <v>30650</v>
      </c>
      <c r="N120" s="6" t="str">
        <f aca="false">IF($J120="NA","NA",IF(AND($J120&gt;2019,M120&gt;0),"ERRO","OK"))</f>
        <v>OK</v>
      </c>
      <c r="O120" s="6" t="n">
        <f aca="false">(10-(LEN(P120)))+1</f>
        <v>6</v>
      </c>
      <c r="P120" s="6" t="n">
        <v>52759</v>
      </c>
      <c r="Q120" s="6" t="str">
        <f aca="false">IF($J120="NA","NA",IF(AND($J120&gt;2009,P120&gt;0),"ERRO","OK"))</f>
        <v>OK</v>
      </c>
      <c r="R120" s="6" t="n">
        <f aca="false">(10-(LEN(S120)))+1</f>
        <v>6</v>
      </c>
      <c r="S120" s="6" t="n">
        <v>45503</v>
      </c>
      <c r="T120" s="6" t="str">
        <f aca="false">IF($J120="NA","NA",IF(AND($J120&gt;1999,S120&gt;0),"ERRO","OK"))</f>
        <v>OK</v>
      </c>
      <c r="U120" s="6" t="n">
        <f aca="false">(10-(LEN(V120)))+1</f>
        <v>6</v>
      </c>
      <c r="V120" s="6" t="n">
        <v>39921</v>
      </c>
      <c r="W120" s="6" t="str">
        <f aca="false">IF($J120="NA","NA",IF(AND($J120&gt;1989,V120&gt;0),"ERRO","OK"))</f>
        <v>OK</v>
      </c>
      <c r="X120" s="6" t="n">
        <f aca="false">(10-(LEN(Y120)))+1</f>
        <v>6</v>
      </c>
      <c r="Y120" s="6" t="n">
        <v>26594</v>
      </c>
      <c r="Z120" s="6" t="str">
        <f aca="false">IF($J120="NA","NA",IF(AND($J120&gt;1979,Y120&gt;0),"ERRO","OK"))</f>
        <v>OK</v>
      </c>
      <c r="AA120" s="6" t="n">
        <f aca="false">(10-(LEN(AB120)))+1</f>
        <v>6</v>
      </c>
      <c r="AB120" s="6" t="n">
        <v>36858</v>
      </c>
      <c r="AC120" s="6" t="str">
        <f aca="false">IF($J120="NA","NA",IF(AND($J120&gt;1969,AB120&gt;0),"ERRO","OK"))</f>
        <v>OK</v>
      </c>
      <c r="AD120" s="6" t="n">
        <f aca="false">(10-(LEN(AE120)))+1</f>
        <v>6</v>
      </c>
      <c r="AE120" s="6" t="n">
        <v>18479</v>
      </c>
      <c r="AF120" s="6" t="str">
        <f aca="false">IF($J120="NA","NA",IF(AND($J120&gt;1959,AE120&gt;0),"ERRO","OK"))</f>
        <v>OK</v>
      </c>
      <c r="AG120" s="6" t="n">
        <f aca="false">(10-(LEN(AH120)))+1</f>
        <v>7</v>
      </c>
      <c r="AH120" s="6" t="n">
        <v>5397</v>
      </c>
      <c r="AI120" s="6" t="str">
        <f aca="false">IF($J120="NA","NA",IF(AND($J120&gt;1949,AH120&gt;0),"ERRO","OK"))</f>
        <v>OK</v>
      </c>
      <c r="AJ120" s="6" t="n">
        <f aca="false">(10-(LEN(AK120)))+1</f>
        <v>7</v>
      </c>
      <c r="AK120" s="6" t="n">
        <v>5013</v>
      </c>
      <c r="AL120" s="6" t="str">
        <f aca="false">IF($J120="NA","NA",IF(AND($J120&gt;1939,AK120&gt;0),"ERRO","OK"))</f>
        <v>OK</v>
      </c>
      <c r="AM120" s="6" t="n">
        <f aca="false">(10-(LEN(AN120)))+1</f>
        <v>8</v>
      </c>
      <c r="AN120" s="6" t="n">
        <v>609</v>
      </c>
      <c r="AO120" s="6" t="str">
        <f aca="false">IF($J120="NA","NA",IF(AND($J120&gt;1929,AN120&gt;0),"ERRO","OK"))</f>
        <v>OK</v>
      </c>
      <c r="AP120" s="6" t="n">
        <f aca="false">(10-(LEN(AQ120)))+1</f>
        <v>8</v>
      </c>
      <c r="AQ120" s="6" t="n">
        <v>701</v>
      </c>
      <c r="AR120" s="6" t="str">
        <f aca="false">IF($J120="NA","NA",IF(AND($J120&gt;1919,AQ120&gt;0),"ERRO","OK"))</f>
        <v>OK</v>
      </c>
      <c r="AS120" s="6" t="n">
        <f aca="false">(10-(LEN(AT120)))+1</f>
        <v>10</v>
      </c>
      <c r="AT120" s="6" t="n">
        <v>0</v>
      </c>
      <c r="AU120" s="6" t="str">
        <f aca="false">IF($J120="NA","NA",IF(AND($J120&gt;1909,AT120&gt;0),"ERRO","OK"))</f>
        <v>OK</v>
      </c>
      <c r="AV120" s="6" t="n">
        <f aca="false">(10-(LEN(AW120)))+1</f>
        <v>10</v>
      </c>
      <c r="AW120" s="6" t="n">
        <v>0</v>
      </c>
      <c r="AX120" s="6" t="str">
        <f aca="false">IF($J120="NA","NA",IF(AND($J120&gt;1899,AW120&gt;0),"ERRO","OK"))</f>
        <v>OK</v>
      </c>
    </row>
    <row r="121" customFormat="false" ht="15" hidden="false" customHeight="false" outlineLevel="0" collapsed="false">
      <c r="A121" s="7" t="n">
        <v>118</v>
      </c>
      <c r="B121" s="0" t="s">
        <v>138</v>
      </c>
      <c r="C121" s="8" t="n">
        <v>45308</v>
      </c>
      <c r="D121" s="6" t="n">
        <v>0</v>
      </c>
      <c r="E121" s="0" t="s">
        <v>16</v>
      </c>
      <c r="F121" s="0" t="s">
        <v>17</v>
      </c>
      <c r="G121" s="9" t="str">
        <f aca="false">IF(OR(N121="ERRO",Q121="ERRO",T121="ERRO",W121="ERRO",Z121="ERRO",AC121="ERRO",AF121="ERRO",AI121="ERRO",AL121="ERRO",AO121="ERRO",AR121="ERRO",AU121="ERRO",AX121="ERRO"),"ERRO","OK")</f>
        <v>OK</v>
      </c>
      <c r="H121" s="9" t="n">
        <f aca="false">COUNTIF(L121:AX121,"ERRO")</f>
        <v>0</v>
      </c>
      <c r="I121" s="9" t="s">
        <v>18</v>
      </c>
      <c r="J121" s="10" t="n">
        <v>1870</v>
      </c>
      <c r="K121" s="10" t="n">
        <v>1937</v>
      </c>
      <c r="L121" s="6" t="n">
        <f aca="false">(10-(LEN(M121)))+1</f>
        <v>10</v>
      </c>
      <c r="M121" s="6" t="n">
        <v>0</v>
      </c>
      <c r="N121" s="6" t="str">
        <f aca="false">IF($J121="NA","NA",IF(AND($J121&gt;2019,M121&gt;0),"ERRO","OK"))</f>
        <v>OK</v>
      </c>
      <c r="O121" s="6" t="n">
        <f aca="false">(10-(LEN(P121)))+1</f>
        <v>10</v>
      </c>
      <c r="P121" s="6" t="n">
        <v>0</v>
      </c>
      <c r="Q121" s="6" t="str">
        <f aca="false">IF($J121="NA","NA",IF(AND($J121&gt;2009,P121&gt;0),"ERRO","OK"))</f>
        <v>OK</v>
      </c>
      <c r="R121" s="6" t="n">
        <f aca="false">(10-(LEN(S121)))+1</f>
        <v>10</v>
      </c>
      <c r="S121" s="6" t="n">
        <v>0</v>
      </c>
      <c r="T121" s="6" t="str">
        <f aca="false">IF($J121="NA","NA",IF(AND($J121&gt;1999,S121&gt;0),"ERRO","OK"))</f>
        <v>OK</v>
      </c>
      <c r="U121" s="6" t="n">
        <f aca="false">(10-(LEN(V121)))+1</f>
        <v>10</v>
      </c>
      <c r="V121" s="6" t="n">
        <v>0</v>
      </c>
      <c r="W121" s="6" t="str">
        <f aca="false">IF($J121="NA","NA",IF(AND($J121&gt;1989,V121&gt;0),"ERRO","OK"))</f>
        <v>OK</v>
      </c>
      <c r="X121" s="6" t="n">
        <f aca="false">(10-(LEN(Y121)))+1</f>
        <v>10</v>
      </c>
      <c r="Y121" s="6" t="n">
        <v>0</v>
      </c>
      <c r="Z121" s="6" t="str">
        <f aca="false">IF($J121="NA","NA",IF(AND($J121&gt;1979,Y121&gt;0),"ERRO","OK"))</f>
        <v>OK</v>
      </c>
      <c r="AA121" s="6" t="n">
        <f aca="false">(10-(LEN(AB121)))+1</f>
        <v>10</v>
      </c>
      <c r="AB121" s="6" t="n">
        <v>0</v>
      </c>
      <c r="AC121" s="6" t="str">
        <f aca="false">IF($J121="NA","NA",IF(AND($J121&gt;1969,AB121&gt;0),"ERRO","OK"))</f>
        <v>OK</v>
      </c>
      <c r="AD121" s="6" t="n">
        <f aca="false">(10-(LEN(AE121)))+1</f>
        <v>10</v>
      </c>
      <c r="AE121" s="6" t="n">
        <v>0</v>
      </c>
      <c r="AF121" s="6" t="str">
        <f aca="false">IF($J121="NA","NA",IF(AND($J121&gt;1959,AE121&gt;0),"ERRO","OK"))</f>
        <v>OK</v>
      </c>
      <c r="AG121" s="6" t="n">
        <f aca="false">(10-(LEN(AH121)))+1</f>
        <v>10</v>
      </c>
      <c r="AH121" s="6" t="n">
        <v>0</v>
      </c>
      <c r="AI121" s="6" t="str">
        <f aca="false">IF($J121="NA","NA",IF(AND($J121&gt;1949,AH121&gt;0),"ERRO","OK"))</f>
        <v>OK</v>
      </c>
      <c r="AJ121" s="6" t="n">
        <f aca="false">(10-(LEN(AK121)))+1</f>
        <v>10</v>
      </c>
      <c r="AK121" s="6" t="n">
        <v>0</v>
      </c>
      <c r="AL121" s="6" t="str">
        <f aca="false">IF($J121="NA","NA",IF(AND($J121&gt;1939,AK121&gt;0),"ERRO","OK"))</f>
        <v>OK</v>
      </c>
      <c r="AM121" s="6" t="n">
        <f aca="false">(10-(LEN(AN121)))+1</f>
        <v>10</v>
      </c>
      <c r="AN121" s="6" t="n">
        <v>0</v>
      </c>
      <c r="AO121" s="6" t="str">
        <f aca="false">IF($J121="NA","NA",IF(AND($J121&gt;1929,AN121&gt;0),"ERRO","OK"))</f>
        <v>OK</v>
      </c>
      <c r="AP121" s="6" t="n">
        <f aca="false">(10-(LEN(AQ121)))+1</f>
        <v>10</v>
      </c>
      <c r="AQ121" s="6" t="n">
        <v>0</v>
      </c>
      <c r="AR121" s="6" t="str">
        <f aca="false">IF($J121="NA","NA",IF(AND($J121&gt;1919,AQ121&gt;0),"ERRO","OK"))</f>
        <v>OK</v>
      </c>
      <c r="AS121" s="6" t="n">
        <f aca="false">(10-(LEN(AT121)))+1</f>
        <v>10</v>
      </c>
      <c r="AT121" s="6" t="n">
        <v>0</v>
      </c>
      <c r="AU121" s="6" t="str">
        <f aca="false">IF($J121="NA","NA",IF(AND($J121&gt;1909,AT121&gt;0),"ERRO","OK"))</f>
        <v>OK</v>
      </c>
      <c r="AV121" s="6" t="n">
        <f aca="false">(10-(LEN(AW121)))+1</f>
        <v>10</v>
      </c>
      <c r="AW121" s="6" t="n">
        <v>0</v>
      </c>
      <c r="AX121" s="6" t="str">
        <f aca="false">IF($J121="NA","NA",IF(AND($J121&gt;1899,AW121&gt;0),"ERRO","OK"))</f>
        <v>OK</v>
      </c>
    </row>
    <row r="122" customFormat="false" ht="15" hidden="false" customHeight="false" outlineLevel="0" collapsed="false">
      <c r="A122" s="7" t="n">
        <v>119</v>
      </c>
      <c r="B122" s="0" t="s">
        <v>139</v>
      </c>
      <c r="C122" s="8" t="n">
        <v>45308</v>
      </c>
      <c r="D122" s="6" t="n">
        <v>0</v>
      </c>
      <c r="E122" s="0" t="s">
        <v>16</v>
      </c>
      <c r="F122" s="0" t="s">
        <v>17</v>
      </c>
      <c r="G122" s="9" t="str">
        <f aca="false">IF(OR(N122="ERRO",Q122="ERRO",T122="ERRO",W122="ERRO",Z122="ERRO",AC122="ERRO",AF122="ERRO",AI122="ERRO",AL122="ERRO",AO122="ERRO",AR122="ERRO",AU122="ERRO",AX122="ERRO"),"ERRO","OK")</f>
        <v>OK</v>
      </c>
      <c r="H122" s="9" t="n">
        <f aca="false">COUNTIF(L122:AX122,"ERRO")</f>
        <v>0</v>
      </c>
      <c r="I122" s="9" t="s">
        <v>18</v>
      </c>
      <c r="J122" s="10" t="n">
        <v>1872</v>
      </c>
      <c r="K122" s="10" t="n">
        <v>1951</v>
      </c>
      <c r="L122" s="6" t="n">
        <f aca="false">(10-(LEN(M122)))+1</f>
        <v>7</v>
      </c>
      <c r="M122" s="6" t="n">
        <v>7316</v>
      </c>
      <c r="N122" s="6" t="str">
        <f aca="false">IF($J122="NA","NA",IF(AND($J122&gt;2019,M122&gt;0),"ERRO","OK"))</f>
        <v>OK</v>
      </c>
      <c r="O122" s="6" t="n">
        <f aca="false">(10-(LEN(P122)))+1</f>
        <v>7</v>
      </c>
      <c r="P122" s="6" t="n">
        <v>4431</v>
      </c>
      <c r="Q122" s="6" t="str">
        <f aca="false">IF($J122="NA","NA",IF(AND($J122&gt;2009,P122&gt;0),"ERRO","OK"))</f>
        <v>OK</v>
      </c>
      <c r="R122" s="6" t="n">
        <f aca="false">(10-(LEN(S122)))+1</f>
        <v>7</v>
      </c>
      <c r="S122" s="6" t="n">
        <v>9043</v>
      </c>
      <c r="T122" s="6" t="str">
        <f aca="false">IF($J122="NA","NA",IF(AND($J122&gt;1999,S122&gt;0),"ERRO","OK"))</f>
        <v>OK</v>
      </c>
      <c r="U122" s="6" t="n">
        <f aca="false">(10-(LEN(V122)))+1</f>
        <v>7</v>
      </c>
      <c r="V122" s="6" t="n">
        <v>5175</v>
      </c>
      <c r="W122" s="6" t="str">
        <f aca="false">IF($J122="NA","NA",IF(AND($J122&gt;1989,V122&gt;0),"ERRO","OK"))</f>
        <v>OK</v>
      </c>
      <c r="X122" s="6" t="n">
        <f aca="false">(10-(LEN(Y122)))+1</f>
        <v>7</v>
      </c>
      <c r="Y122" s="6" t="n">
        <v>3488</v>
      </c>
      <c r="Z122" s="6" t="str">
        <f aca="false">IF($J122="NA","NA",IF(AND($J122&gt;1979,Y122&gt;0),"ERRO","OK"))</f>
        <v>OK</v>
      </c>
      <c r="AA122" s="6" t="n">
        <f aca="false">(10-(LEN(AB122)))+1</f>
        <v>7</v>
      </c>
      <c r="AB122" s="6" t="n">
        <v>5232</v>
      </c>
      <c r="AC122" s="6" t="str">
        <f aca="false">IF($J122="NA","NA",IF(AND($J122&gt;1969,AB122&gt;0),"ERRO","OK"))</f>
        <v>OK</v>
      </c>
      <c r="AD122" s="6" t="n">
        <f aca="false">(10-(LEN(AE122)))+1</f>
        <v>7</v>
      </c>
      <c r="AE122" s="6" t="n">
        <v>5374</v>
      </c>
      <c r="AF122" s="6" t="str">
        <f aca="false">IF($J122="NA","NA",IF(AND($J122&gt;1959,AE122&gt;0),"ERRO","OK"))</f>
        <v>OK</v>
      </c>
      <c r="AG122" s="6" t="n">
        <f aca="false">(10-(LEN(AH122)))+1</f>
        <v>7</v>
      </c>
      <c r="AH122" s="6" t="n">
        <v>1969</v>
      </c>
      <c r="AI122" s="6" t="str">
        <f aca="false">IF($J122="NA","NA",IF(AND($J122&gt;1949,AH122&gt;0),"ERRO","OK"))</f>
        <v>OK</v>
      </c>
      <c r="AJ122" s="6" t="n">
        <f aca="false">(10-(LEN(AK122)))+1</f>
        <v>6</v>
      </c>
      <c r="AK122" s="6" t="n">
        <v>18320</v>
      </c>
      <c r="AL122" s="6" t="str">
        <f aca="false">IF($J122="NA","NA",IF(AND($J122&gt;1939,AK122&gt;0),"ERRO","OK"))</f>
        <v>OK</v>
      </c>
      <c r="AM122" s="6" t="n">
        <f aca="false">(10-(LEN(AN122)))+1</f>
        <v>6</v>
      </c>
      <c r="AN122" s="6" t="n">
        <v>41720</v>
      </c>
      <c r="AO122" s="6" t="str">
        <f aca="false">IF($J122="NA","NA",IF(AND($J122&gt;1929,AN122&gt;0),"ERRO","OK"))</f>
        <v>OK</v>
      </c>
      <c r="AP122" s="6" t="n">
        <f aca="false">(10-(LEN(AQ122)))+1</f>
        <v>7</v>
      </c>
      <c r="AQ122" s="6" t="n">
        <v>9377</v>
      </c>
      <c r="AR122" s="6" t="str">
        <f aca="false">IF($J122="NA","NA",IF(AND($J122&gt;1919,AQ122&gt;0),"ERRO","OK"))</f>
        <v>OK</v>
      </c>
      <c r="AS122" s="6" t="n">
        <f aca="false">(10-(LEN(AT122)))+1</f>
        <v>7</v>
      </c>
      <c r="AT122" s="6" t="n">
        <v>3801</v>
      </c>
      <c r="AU122" s="6" t="str">
        <f aca="false">IF($J122="NA","NA",IF(AND($J122&gt;1909,AT122&gt;0),"ERRO","OK"))</f>
        <v>OK</v>
      </c>
      <c r="AV122" s="6" t="n">
        <f aca="false">(10-(LEN(AW122)))+1</f>
        <v>7</v>
      </c>
      <c r="AW122" s="6" t="n">
        <v>7461</v>
      </c>
      <c r="AX122" s="6" t="str">
        <f aca="false">IF($J122="NA","NA",IF(AND($J122&gt;1899,AW122&gt;0),"ERRO","OK"))</f>
        <v>OK</v>
      </c>
    </row>
    <row r="123" customFormat="false" ht="15" hidden="false" customHeight="false" outlineLevel="0" collapsed="false">
      <c r="A123" s="7" t="n">
        <v>120</v>
      </c>
      <c r="B123" s="0" t="s">
        <v>140</v>
      </c>
      <c r="C123" s="8" t="n">
        <v>45308</v>
      </c>
      <c r="D123" s="6" t="n">
        <v>0</v>
      </c>
      <c r="E123" s="0" t="s">
        <v>16</v>
      </c>
      <c r="F123" s="0" t="s">
        <v>17</v>
      </c>
      <c r="G123" s="9" t="str">
        <f aca="false">IF(OR(N123="ERRO",Q123="ERRO",T123="ERRO",W123="ERRO",Z123="ERRO",AC123="ERRO",AF123="ERRO",AI123="ERRO",AL123="ERRO",AO123="ERRO",AR123="ERRO",AU123="ERRO",AX123="ERRO"),"ERRO","OK")</f>
        <v>OK</v>
      </c>
      <c r="H123" s="9" t="n">
        <f aca="false">COUNTIF(L123:AX123,"ERRO")</f>
        <v>0</v>
      </c>
      <c r="I123" s="9" t="s">
        <v>18</v>
      </c>
      <c r="J123" s="10" t="n">
        <v>1887</v>
      </c>
      <c r="K123" s="10" t="n">
        <v>1970</v>
      </c>
      <c r="L123" s="6" t="n">
        <f aca="false">(10-(LEN(M123)))+1</f>
        <v>8</v>
      </c>
      <c r="M123" s="6" t="n">
        <v>350</v>
      </c>
      <c r="N123" s="6" t="str">
        <f aca="false">IF($J123="NA","NA",IF(AND($J123&gt;2019,M123&gt;0),"ERRO","OK"))</f>
        <v>OK</v>
      </c>
      <c r="O123" s="6" t="n">
        <f aca="false">(10-(LEN(P123)))+1</f>
        <v>8</v>
      </c>
      <c r="P123" s="6" t="n">
        <v>540</v>
      </c>
      <c r="Q123" s="6" t="str">
        <f aca="false">IF($J123="NA","NA",IF(AND($J123&gt;2009,P123&gt;0),"ERRO","OK"))</f>
        <v>OK</v>
      </c>
      <c r="R123" s="6" t="n">
        <f aca="false">(10-(LEN(S123)))+1</f>
        <v>8</v>
      </c>
      <c r="S123" s="6" t="n">
        <v>882</v>
      </c>
      <c r="T123" s="6" t="str">
        <f aca="false">IF($J123="NA","NA",IF(AND($J123&gt;1999,S123&gt;0),"ERRO","OK"))</f>
        <v>OK</v>
      </c>
      <c r="U123" s="6" t="n">
        <f aca="false">(10-(LEN(V123)))+1</f>
        <v>7</v>
      </c>
      <c r="V123" s="6" t="n">
        <v>1161</v>
      </c>
      <c r="W123" s="6" t="str">
        <f aca="false">IF($J123="NA","NA",IF(AND($J123&gt;1989,V123&gt;0),"ERRO","OK"))</f>
        <v>OK</v>
      </c>
      <c r="X123" s="6" t="n">
        <f aca="false">(10-(LEN(Y123)))+1</f>
        <v>8</v>
      </c>
      <c r="Y123" s="6" t="n">
        <v>900</v>
      </c>
      <c r="Z123" s="6" t="str">
        <f aca="false">IF($J123="NA","NA",IF(AND($J123&gt;1979,Y123&gt;0),"ERRO","OK"))</f>
        <v>OK</v>
      </c>
      <c r="AA123" s="6" t="n">
        <f aca="false">(10-(LEN(AB123)))+1</f>
        <v>8</v>
      </c>
      <c r="AB123" s="6" t="n">
        <v>739</v>
      </c>
      <c r="AC123" s="6" t="str">
        <f aca="false">IF($J123="NA","NA",IF(AND($J123&gt;1969,AB123&gt;0),"ERRO","OK"))</f>
        <v>OK</v>
      </c>
      <c r="AD123" s="6" t="n">
        <f aca="false">(10-(LEN(AE123)))+1</f>
        <v>9</v>
      </c>
      <c r="AE123" s="6" t="n">
        <v>94</v>
      </c>
      <c r="AF123" s="6" t="str">
        <f aca="false">IF($J123="NA","NA",IF(AND($J123&gt;1959,AE123&gt;0),"ERRO","OK"))</f>
        <v>OK</v>
      </c>
      <c r="AG123" s="6" t="n">
        <f aca="false">(10-(LEN(AH123)))+1</f>
        <v>8</v>
      </c>
      <c r="AH123" s="6" t="n">
        <v>348</v>
      </c>
      <c r="AI123" s="6" t="str">
        <f aca="false">IF($J123="NA","NA",IF(AND($J123&gt;1949,AH123&gt;0),"ERRO","OK"))</f>
        <v>OK</v>
      </c>
      <c r="AJ123" s="6" t="n">
        <f aca="false">(10-(LEN(AK123)))+1</f>
        <v>8</v>
      </c>
      <c r="AK123" s="6" t="n">
        <v>440</v>
      </c>
      <c r="AL123" s="6" t="str">
        <f aca="false">IF($J123="NA","NA",IF(AND($J123&gt;1939,AK123&gt;0),"ERRO","OK"))</f>
        <v>OK</v>
      </c>
      <c r="AM123" s="6" t="n">
        <f aca="false">(10-(LEN(AN123)))+1</f>
        <v>10</v>
      </c>
      <c r="AN123" s="6" t="n">
        <v>0</v>
      </c>
      <c r="AO123" s="6" t="str">
        <f aca="false">IF($J123="NA","NA",IF(AND($J123&gt;1929,AN123&gt;0),"ERRO","OK"))</f>
        <v>OK</v>
      </c>
      <c r="AP123" s="6" t="n">
        <f aca="false">(10-(LEN(AQ123)))+1</f>
        <v>10</v>
      </c>
      <c r="AQ123" s="6" t="n">
        <v>0</v>
      </c>
      <c r="AR123" s="6" t="str">
        <f aca="false">IF($J123="NA","NA",IF(AND($J123&gt;1919,AQ123&gt;0),"ERRO","OK"))</f>
        <v>OK</v>
      </c>
      <c r="AS123" s="6" t="n">
        <f aca="false">(10-(LEN(AT123)))+1</f>
        <v>10</v>
      </c>
      <c r="AT123" s="6" t="n">
        <v>0</v>
      </c>
      <c r="AU123" s="6" t="str">
        <f aca="false">IF($J123="NA","NA",IF(AND($J123&gt;1909,AT123&gt;0),"ERRO","OK"))</f>
        <v>OK</v>
      </c>
      <c r="AV123" s="6" t="n">
        <f aca="false">(10-(LEN(AW123)))+1</f>
        <v>10</v>
      </c>
      <c r="AW123" s="6" t="n">
        <v>0</v>
      </c>
      <c r="AX123" s="6" t="str">
        <f aca="false">IF($J123="NA","NA",IF(AND($J123&gt;1899,AW123&gt;0),"ERRO","OK"))</f>
        <v>OK</v>
      </c>
    </row>
    <row r="124" customFormat="false" ht="15" hidden="false" customHeight="false" outlineLevel="0" collapsed="false">
      <c r="A124" s="7" t="n">
        <v>121</v>
      </c>
      <c r="B124" s="0" t="s">
        <v>141</v>
      </c>
      <c r="C124" s="8" t="n">
        <v>45309</v>
      </c>
      <c r="D124" s="6" t="n">
        <v>0</v>
      </c>
      <c r="E124" s="0" t="s">
        <v>16</v>
      </c>
      <c r="F124" s="0" t="s">
        <v>17</v>
      </c>
      <c r="G124" s="9" t="str">
        <f aca="false">IF(OR(N124="ERRO",Q124="ERRO",T124="ERRO",W124="ERRO",Z124="ERRO",AC124="ERRO",AF124="ERRO",AI124="ERRO",AL124="ERRO",AO124="ERRO",AR124="ERRO",AU124="ERRO",AX124="ERRO"),"ERRO","OK")</f>
        <v>OK</v>
      </c>
      <c r="H124" s="9" t="n">
        <f aca="false">COUNTIF(L124:AX124,"ERRO")</f>
        <v>0</v>
      </c>
      <c r="I124" s="9" t="s">
        <v>18</v>
      </c>
      <c r="J124" s="10" t="n">
        <v>1883</v>
      </c>
      <c r="K124" s="10" t="n">
        <v>1963</v>
      </c>
      <c r="L124" s="6" t="n">
        <f aca="false">(10-(LEN(M124)))+1</f>
        <v>8</v>
      </c>
      <c r="M124" s="6" t="n">
        <v>125</v>
      </c>
      <c r="N124" s="6" t="str">
        <f aca="false">IF($J124="NA","NA",IF(AND($J124&gt;2019,M124&gt;0),"ERRO","OK"))</f>
        <v>OK</v>
      </c>
      <c r="O124" s="6" t="n">
        <f aca="false">(10-(LEN(P124)))+1</f>
        <v>8</v>
      </c>
      <c r="P124" s="6" t="n">
        <v>343</v>
      </c>
      <c r="Q124" s="6" t="str">
        <f aca="false">IF($J124="NA","NA",IF(AND($J124&gt;2009,P124&gt;0),"ERRO","OK"))</f>
        <v>OK</v>
      </c>
      <c r="R124" s="6" t="n">
        <f aca="false">(10-(LEN(S124)))+1</f>
        <v>8</v>
      </c>
      <c r="S124" s="6" t="n">
        <v>252</v>
      </c>
      <c r="T124" s="6" t="str">
        <f aca="false">IF($J124="NA","NA",IF(AND($J124&gt;1999,S124&gt;0),"ERRO","OK"))</f>
        <v>OK</v>
      </c>
      <c r="U124" s="6" t="n">
        <f aca="false">(10-(LEN(V124)))+1</f>
        <v>8</v>
      </c>
      <c r="V124" s="6" t="n">
        <v>230</v>
      </c>
      <c r="W124" s="6" t="str">
        <f aca="false">IF($J124="NA","NA",IF(AND($J124&gt;1989,V124&gt;0),"ERRO","OK"))</f>
        <v>OK</v>
      </c>
      <c r="X124" s="6" t="n">
        <f aca="false">(10-(LEN(Y124)))+1</f>
        <v>7</v>
      </c>
      <c r="Y124" s="6" t="n">
        <v>1338</v>
      </c>
      <c r="Z124" s="6" t="str">
        <f aca="false">IF($J124="NA","NA",IF(AND($J124&gt;1979,Y124&gt;0),"ERRO","OK"))</f>
        <v>OK</v>
      </c>
      <c r="AA124" s="6" t="n">
        <f aca="false">(10-(LEN(AB124)))+1</f>
        <v>8</v>
      </c>
      <c r="AB124" s="6" t="n">
        <v>469</v>
      </c>
      <c r="AC124" s="6" t="str">
        <f aca="false">IF($J124="NA","NA",IF(AND($J124&gt;1969,AB124&gt;0),"ERRO","OK"))</f>
        <v>OK</v>
      </c>
      <c r="AD124" s="6" t="n">
        <f aca="false">(10-(LEN(AE124)))+1</f>
        <v>9</v>
      </c>
      <c r="AE124" s="6" t="n">
        <v>90</v>
      </c>
      <c r="AF124" s="6" t="str">
        <f aca="false">IF($J124="NA","NA",IF(AND($J124&gt;1959,AE124&gt;0),"ERRO","OK"))</f>
        <v>OK</v>
      </c>
      <c r="AG124" s="6" t="n">
        <f aca="false">(10-(LEN(AH124)))+1</f>
        <v>8</v>
      </c>
      <c r="AH124" s="6" t="n">
        <v>220</v>
      </c>
      <c r="AI124" s="6" t="str">
        <f aca="false">IF($J124="NA","NA",IF(AND($J124&gt;1949,AH124&gt;0),"ERRO","OK"))</f>
        <v>OK</v>
      </c>
      <c r="AJ124" s="6" t="n">
        <f aca="false">(10-(LEN(AK124)))+1</f>
        <v>7</v>
      </c>
      <c r="AK124" s="6" t="n">
        <v>3342</v>
      </c>
      <c r="AL124" s="6" t="str">
        <f aca="false">IF($J124="NA","NA",IF(AND($J124&gt;1939,AK124&gt;0),"ERRO","OK"))</f>
        <v>OK</v>
      </c>
      <c r="AM124" s="6" t="n">
        <f aca="false">(10-(LEN(AN124)))+1</f>
        <v>7</v>
      </c>
      <c r="AN124" s="6" t="n">
        <v>2437</v>
      </c>
      <c r="AO124" s="6" t="str">
        <f aca="false">IF($J124="NA","NA",IF(AND($J124&gt;1929,AN124&gt;0),"ERRO","OK"))</f>
        <v>OK</v>
      </c>
      <c r="AP124" s="6" t="n">
        <f aca="false">(10-(LEN(AQ124)))+1</f>
        <v>8</v>
      </c>
      <c r="AQ124" s="6" t="n">
        <v>901</v>
      </c>
      <c r="AR124" s="6" t="str">
        <f aca="false">IF($J124="NA","NA",IF(AND($J124&gt;1919,AQ124&gt;0),"ERRO","OK"))</f>
        <v>OK</v>
      </c>
      <c r="AS124" s="6" t="n">
        <f aca="false">(10-(LEN(AT124)))+1</f>
        <v>10</v>
      </c>
      <c r="AT124" s="6" t="n">
        <v>0</v>
      </c>
      <c r="AU124" s="6" t="str">
        <f aca="false">IF($J124="NA","NA",IF(AND($J124&gt;1909,AT124&gt;0),"ERRO","OK"))</f>
        <v>OK</v>
      </c>
      <c r="AV124" s="6" t="n">
        <f aca="false">(10-(LEN(AW124)))+1</f>
        <v>10</v>
      </c>
      <c r="AW124" s="6" t="n">
        <v>0</v>
      </c>
      <c r="AX124" s="6" t="str">
        <f aca="false">IF($J124="NA","NA",IF(AND($J124&gt;1899,AW124&gt;0),"ERRO","OK"))</f>
        <v>OK</v>
      </c>
    </row>
    <row r="125" customFormat="false" ht="15" hidden="false" customHeight="false" outlineLevel="0" collapsed="false">
      <c r="A125" s="7" t="n">
        <v>122</v>
      </c>
      <c r="B125" s="0" t="s">
        <v>142</v>
      </c>
      <c r="C125" s="8" t="n">
        <v>45309</v>
      </c>
      <c r="D125" s="6" t="n">
        <v>0</v>
      </c>
      <c r="E125" s="0" t="s">
        <v>16</v>
      </c>
      <c r="F125" s="0" t="s">
        <v>17</v>
      </c>
      <c r="G125" s="9" t="str">
        <f aca="false">IF(OR(N125="ERRO",Q125="ERRO",T125="ERRO",W125="ERRO",Z125="ERRO",AC125="ERRO",AF125="ERRO",AI125="ERRO",AL125="ERRO",AO125="ERRO",AR125="ERRO",AU125="ERRO",AX125="ERRO"),"ERRO","OK")</f>
        <v>OK</v>
      </c>
      <c r="H125" s="9" t="n">
        <f aca="false">COUNTIF(L125:AX125,"ERRO")</f>
        <v>0</v>
      </c>
      <c r="I125" s="9" t="s">
        <v>18</v>
      </c>
      <c r="J125" s="10" t="n">
        <v>1891</v>
      </c>
      <c r="K125" s="10" t="n">
        <v>1973</v>
      </c>
      <c r="L125" s="6" t="n">
        <f aca="false">(10-(LEN(M125)))+1</f>
        <v>10</v>
      </c>
      <c r="M125" s="6" t="n">
        <v>0</v>
      </c>
      <c r="N125" s="6" t="str">
        <f aca="false">IF($J125="NA","NA",IF(AND($J125&gt;2019,M125&gt;0),"ERRO","OK"))</f>
        <v>OK</v>
      </c>
      <c r="O125" s="6" t="n">
        <f aca="false">(10-(LEN(P125)))+1</f>
        <v>10</v>
      </c>
      <c r="P125" s="6" t="n">
        <v>0</v>
      </c>
      <c r="Q125" s="6" t="str">
        <f aca="false">IF($J125="NA","NA",IF(AND($J125&gt;2009,P125&gt;0),"ERRO","OK"))</f>
        <v>OK</v>
      </c>
      <c r="R125" s="6" t="n">
        <f aca="false">(10-(LEN(S125)))+1</f>
        <v>10</v>
      </c>
      <c r="S125" s="6" t="n">
        <v>0</v>
      </c>
      <c r="T125" s="6" t="str">
        <f aca="false">IF($J125="NA","NA",IF(AND($J125&gt;1999,S125&gt;0),"ERRO","OK"))</f>
        <v>OK</v>
      </c>
      <c r="U125" s="6" t="n">
        <f aca="false">(10-(LEN(V125)))+1</f>
        <v>10</v>
      </c>
      <c r="V125" s="6" t="n">
        <v>0</v>
      </c>
      <c r="W125" s="6" t="str">
        <f aca="false">IF($J125="NA","NA",IF(AND($J125&gt;1989,V125&gt;0),"ERRO","OK"))</f>
        <v>OK</v>
      </c>
      <c r="X125" s="6" t="n">
        <f aca="false">(10-(LEN(Y125)))+1</f>
        <v>10</v>
      </c>
      <c r="Y125" s="6" t="n">
        <v>0</v>
      </c>
      <c r="Z125" s="6" t="str">
        <f aca="false">IF($J125="NA","NA",IF(AND($J125&gt;1979,Y125&gt;0),"ERRO","OK"))</f>
        <v>OK</v>
      </c>
      <c r="AA125" s="6" t="n">
        <f aca="false">(10-(LEN(AB125)))+1</f>
        <v>10</v>
      </c>
      <c r="AB125" s="6" t="n">
        <v>0</v>
      </c>
      <c r="AC125" s="6" t="str">
        <f aca="false">IF($J125="NA","NA",IF(AND($J125&gt;1969,AB125&gt;0),"ERRO","OK"))</f>
        <v>OK</v>
      </c>
      <c r="AD125" s="6" t="n">
        <f aca="false">(10-(LEN(AE125)))+1</f>
        <v>10</v>
      </c>
      <c r="AE125" s="6" t="n">
        <v>0</v>
      </c>
      <c r="AF125" s="6" t="str">
        <f aca="false">IF($J125="NA","NA",IF(AND($J125&gt;1959,AE125&gt;0),"ERRO","OK"))</f>
        <v>OK</v>
      </c>
      <c r="AG125" s="6" t="n">
        <f aca="false">(10-(LEN(AH125)))+1</f>
        <v>10</v>
      </c>
      <c r="AH125" s="6" t="n">
        <v>0</v>
      </c>
      <c r="AI125" s="6" t="str">
        <f aca="false">IF($J125="NA","NA",IF(AND($J125&gt;1949,AH125&gt;0),"ERRO","OK"))</f>
        <v>OK</v>
      </c>
      <c r="AJ125" s="6" t="n">
        <f aca="false">(10-(LEN(AK125)))+1</f>
        <v>10</v>
      </c>
      <c r="AK125" s="6" t="n">
        <v>0</v>
      </c>
      <c r="AL125" s="6" t="str">
        <f aca="false">IF($J125="NA","NA",IF(AND($J125&gt;1939,AK125&gt;0),"ERRO","OK"))</f>
        <v>OK</v>
      </c>
      <c r="AM125" s="6" t="n">
        <f aca="false">(10-(LEN(AN125)))+1</f>
        <v>10</v>
      </c>
      <c r="AN125" s="6" t="n">
        <v>0</v>
      </c>
      <c r="AO125" s="6" t="str">
        <f aca="false">IF($J125="NA","NA",IF(AND($J125&gt;1929,AN125&gt;0),"ERRO","OK"))</f>
        <v>OK</v>
      </c>
      <c r="AP125" s="6" t="n">
        <f aca="false">(10-(LEN(AQ125)))+1</f>
        <v>10</v>
      </c>
      <c r="AQ125" s="6" t="n">
        <v>0</v>
      </c>
      <c r="AR125" s="6" t="str">
        <f aca="false">IF($J125="NA","NA",IF(AND($J125&gt;1919,AQ125&gt;0),"ERRO","OK"))</f>
        <v>OK</v>
      </c>
      <c r="AS125" s="6" t="n">
        <f aca="false">(10-(LEN(AT125)))+1</f>
        <v>10</v>
      </c>
      <c r="AT125" s="6" t="n">
        <v>0</v>
      </c>
      <c r="AU125" s="6" t="str">
        <f aca="false">IF($J125="NA","NA",IF(AND($J125&gt;1909,AT125&gt;0),"ERRO","OK"))</f>
        <v>OK</v>
      </c>
      <c r="AV125" s="6" t="n">
        <f aca="false">(10-(LEN(AW125)))+1</f>
        <v>10</v>
      </c>
      <c r="AW125" s="6" t="n">
        <v>0</v>
      </c>
      <c r="AX125" s="6" t="str">
        <f aca="false">IF($J125="NA","NA",IF(AND($J125&gt;1899,AW125&gt;0),"ERRO","OK"))</f>
        <v>OK</v>
      </c>
    </row>
    <row r="126" customFormat="false" ht="15" hidden="false" customHeight="false" outlineLevel="0" collapsed="false">
      <c r="A126" s="7" t="n">
        <v>123</v>
      </c>
      <c r="B126" s="0" t="s">
        <v>143</v>
      </c>
      <c r="C126" s="8" t="n">
        <v>45309</v>
      </c>
      <c r="D126" s="6" t="n">
        <v>0</v>
      </c>
      <c r="E126" s="0" t="s">
        <v>16</v>
      </c>
      <c r="F126" s="0" t="s">
        <v>17</v>
      </c>
      <c r="G126" s="9" t="str">
        <f aca="false">IF(OR(N126="ERRO",Q126="ERRO",T126="ERRO",W126="ERRO",Z126="ERRO",AC126="ERRO",AF126="ERRO",AI126="ERRO",AL126="ERRO",AO126="ERRO",AR126="ERRO",AU126="ERRO",AX126="ERRO"),"ERRO","OK")</f>
        <v>OK</v>
      </c>
      <c r="H126" s="9" t="n">
        <f aca="false">COUNTIF(L126:AX126,"ERRO")</f>
        <v>0</v>
      </c>
      <c r="I126" s="9" t="s">
        <v>18</v>
      </c>
      <c r="J126" s="10" t="n">
        <v>1880</v>
      </c>
      <c r="K126" s="10" t="n">
        <v>1948</v>
      </c>
      <c r="L126" s="6" t="n">
        <f aca="false">(10-(LEN(M126)))+1</f>
        <v>8</v>
      </c>
      <c r="M126" s="6" t="n">
        <v>375</v>
      </c>
      <c r="N126" s="6" t="str">
        <f aca="false">IF($J126="NA","NA",IF(AND($J126&gt;2019,M126&gt;0),"ERRO","OK"))</f>
        <v>OK</v>
      </c>
      <c r="O126" s="6" t="n">
        <f aca="false">(10-(LEN(P126)))+1</f>
        <v>8</v>
      </c>
      <c r="P126" s="6" t="n">
        <v>206</v>
      </c>
      <c r="Q126" s="6" t="str">
        <f aca="false">IF($J126="NA","NA",IF(AND($J126&gt;2009,P126&gt;0),"ERRO","OK"))</f>
        <v>OK</v>
      </c>
      <c r="R126" s="6" t="n">
        <f aca="false">(10-(LEN(S126)))+1</f>
        <v>8</v>
      </c>
      <c r="S126" s="6" t="n">
        <v>840</v>
      </c>
      <c r="T126" s="6" t="str">
        <f aca="false">IF($J126="NA","NA",IF(AND($J126&gt;1999,S126&gt;0),"ERRO","OK"))</f>
        <v>OK</v>
      </c>
      <c r="U126" s="6" t="n">
        <f aca="false">(10-(LEN(V126)))+1</f>
        <v>8</v>
      </c>
      <c r="V126" s="6" t="n">
        <v>138</v>
      </c>
      <c r="W126" s="6" t="str">
        <f aca="false">IF($J126="NA","NA",IF(AND($J126&gt;1989,V126&gt;0),"ERRO","OK"))</f>
        <v>OK</v>
      </c>
      <c r="X126" s="6" t="n">
        <f aca="false">(10-(LEN(Y126)))+1</f>
        <v>10</v>
      </c>
      <c r="Y126" s="6" t="n">
        <v>0</v>
      </c>
      <c r="Z126" s="6" t="str">
        <f aca="false">IF($J126="NA","NA",IF(AND($J126&gt;1979,Y126&gt;0),"ERRO","OK"))</f>
        <v>OK</v>
      </c>
      <c r="AA126" s="6" t="n">
        <f aca="false">(10-(LEN(AB126)))+1</f>
        <v>7</v>
      </c>
      <c r="AB126" s="6" t="n">
        <v>1934</v>
      </c>
      <c r="AC126" s="6" t="str">
        <f aca="false">IF($J126="NA","NA",IF(AND($J126&gt;1969,AB126&gt;0),"ERRO","OK"))</f>
        <v>OK</v>
      </c>
      <c r="AD126" s="6" t="n">
        <f aca="false">(10-(LEN(AE126)))+1</f>
        <v>10</v>
      </c>
      <c r="AE126" s="6" t="n">
        <v>0</v>
      </c>
      <c r="AF126" s="6" t="str">
        <f aca="false">IF($J126="NA","NA",IF(AND($J126&gt;1959,AE126&gt;0),"ERRO","OK"))</f>
        <v>OK</v>
      </c>
      <c r="AG126" s="6" t="n">
        <f aca="false">(10-(LEN(AH126)))+1</f>
        <v>8</v>
      </c>
      <c r="AH126" s="6" t="n">
        <v>330</v>
      </c>
      <c r="AI126" s="6" t="str">
        <f aca="false">IF($J126="NA","NA",IF(AND($J126&gt;1949,AH126&gt;0),"ERRO","OK"))</f>
        <v>OK</v>
      </c>
      <c r="AJ126" s="6" t="n">
        <f aca="false">(10-(LEN(AK126)))+1</f>
        <v>8</v>
      </c>
      <c r="AK126" s="6" t="n">
        <v>139</v>
      </c>
      <c r="AL126" s="6" t="str">
        <f aca="false">IF($J126="NA","NA",IF(AND($J126&gt;1939,AK126&gt;0),"ERRO","OK"))</f>
        <v>OK</v>
      </c>
      <c r="AM126" s="6" t="n">
        <f aca="false">(10-(LEN(AN126)))+1</f>
        <v>8</v>
      </c>
      <c r="AN126" s="6" t="n">
        <v>305</v>
      </c>
      <c r="AO126" s="6" t="str">
        <f aca="false">IF($J126="NA","NA",IF(AND($J126&gt;1929,AN126&gt;0),"ERRO","OK"))</f>
        <v>OK</v>
      </c>
      <c r="AP126" s="6" t="n">
        <f aca="false">(10-(LEN(AQ126)))+1</f>
        <v>10</v>
      </c>
      <c r="AQ126" s="6" t="n">
        <v>0</v>
      </c>
      <c r="AR126" s="6" t="str">
        <f aca="false">IF($J126="NA","NA",IF(AND($J126&gt;1919,AQ126&gt;0),"ERRO","OK"))</f>
        <v>OK</v>
      </c>
      <c r="AS126" s="6" t="n">
        <f aca="false">(10-(LEN(AT126)))+1</f>
        <v>8</v>
      </c>
      <c r="AT126" s="6" t="n">
        <v>103</v>
      </c>
      <c r="AU126" s="6" t="str">
        <f aca="false">IF($J126="NA","NA",IF(AND($J126&gt;1909,AT126&gt;0),"ERRO","OK"))</f>
        <v>OK</v>
      </c>
      <c r="AV126" s="6" t="n">
        <f aca="false">(10-(LEN(AW126)))+1</f>
        <v>10</v>
      </c>
      <c r="AW126" s="6" t="n">
        <v>0</v>
      </c>
      <c r="AX126" s="6" t="str">
        <f aca="false">IF($J126="NA","NA",IF(AND($J126&gt;1899,AW126&gt;0),"ERRO","OK"))</f>
        <v>OK</v>
      </c>
    </row>
    <row r="127" customFormat="false" ht="15" hidden="false" customHeight="false" outlineLevel="0" collapsed="false">
      <c r="A127" s="7" t="n">
        <v>124</v>
      </c>
      <c r="B127" s="0" t="s">
        <v>144</v>
      </c>
      <c r="C127" s="8" t="n">
        <v>45309</v>
      </c>
      <c r="D127" s="6" t="n">
        <v>0</v>
      </c>
      <c r="E127" s="0" t="s">
        <v>16</v>
      </c>
      <c r="F127" s="0" t="s">
        <v>17</v>
      </c>
      <c r="G127" s="9" t="str">
        <f aca="false">IF(OR(N127="ERRO",Q127="ERRO",T127="ERRO",W127="ERRO",Z127="ERRO",AC127="ERRO",AF127="ERRO",AI127="ERRO",AL127="ERRO",AO127="ERRO",AR127="ERRO",AU127="ERRO",AX127="ERRO"),"ERRO","OK")</f>
        <v>OK</v>
      </c>
      <c r="H127" s="9" t="n">
        <f aca="false">COUNTIF(L127:AX127,"ERRO")</f>
        <v>0</v>
      </c>
      <c r="I127" s="9" t="s">
        <v>18</v>
      </c>
      <c r="J127" s="10" t="n">
        <v>1902</v>
      </c>
      <c r="K127" s="10" t="n">
        <v>1981</v>
      </c>
      <c r="L127" s="6" t="n">
        <f aca="false">(10-(LEN(M127)))+1</f>
        <v>7</v>
      </c>
      <c r="M127" s="6" t="n">
        <v>4252</v>
      </c>
      <c r="N127" s="6" t="str">
        <f aca="false">IF($J127="NA","NA",IF(AND($J127&gt;2019,M127&gt;0),"ERRO","OK"))</f>
        <v>OK</v>
      </c>
      <c r="O127" s="6" t="n">
        <f aca="false">(10-(LEN(P127)))+1</f>
        <v>7</v>
      </c>
      <c r="P127" s="6" t="n">
        <v>6296</v>
      </c>
      <c r="Q127" s="6" t="str">
        <f aca="false">IF($J127="NA","NA",IF(AND($J127&gt;2009,P127&gt;0),"ERRO","OK"))</f>
        <v>OK</v>
      </c>
      <c r="R127" s="6" t="n">
        <f aca="false">(10-(LEN(S127)))+1</f>
        <v>7</v>
      </c>
      <c r="S127" s="6" t="n">
        <v>1532</v>
      </c>
      <c r="T127" s="6" t="str">
        <f aca="false">IF($J127="NA","NA",IF(AND($J127&gt;1999,S127&gt;0),"ERRO","OK"))</f>
        <v>OK</v>
      </c>
      <c r="U127" s="6" t="n">
        <f aca="false">(10-(LEN(V127)))+1</f>
        <v>7</v>
      </c>
      <c r="V127" s="6" t="n">
        <v>1020</v>
      </c>
      <c r="W127" s="6" t="str">
        <f aca="false">IF($J127="NA","NA",IF(AND($J127&gt;1989,V127&gt;0),"ERRO","OK"))</f>
        <v>OK</v>
      </c>
      <c r="X127" s="6" t="n">
        <f aca="false">(10-(LEN(Y127)))+1</f>
        <v>8</v>
      </c>
      <c r="Y127" s="6" t="n">
        <v>296</v>
      </c>
      <c r="Z127" s="6" t="str">
        <f aca="false">IF($J127="NA","NA",IF(AND($J127&gt;1979,Y127&gt;0),"ERRO","OK"))</f>
        <v>OK</v>
      </c>
      <c r="AA127" s="6" t="n">
        <f aca="false">(10-(LEN(AB127)))+1</f>
        <v>7</v>
      </c>
      <c r="AB127" s="6" t="n">
        <v>1232</v>
      </c>
      <c r="AC127" s="6" t="str">
        <f aca="false">IF($J127="NA","NA",IF(AND($J127&gt;1969,AB127&gt;0),"ERRO","OK"))</f>
        <v>OK</v>
      </c>
      <c r="AD127" s="6" t="n">
        <f aca="false">(10-(LEN(AE127)))+1</f>
        <v>7</v>
      </c>
      <c r="AE127" s="6" t="n">
        <v>1093</v>
      </c>
      <c r="AF127" s="6" t="str">
        <f aca="false">IF($J127="NA","NA",IF(AND($J127&gt;1959,AE127&gt;0),"ERRO","OK"))</f>
        <v>OK</v>
      </c>
      <c r="AG127" s="6" t="n">
        <f aca="false">(10-(LEN(AH127)))+1</f>
        <v>8</v>
      </c>
      <c r="AH127" s="6" t="n">
        <v>611</v>
      </c>
      <c r="AI127" s="6" t="str">
        <f aca="false">IF($J127="NA","NA",IF(AND($J127&gt;1949,AH127&gt;0),"ERRO","OK"))</f>
        <v>OK</v>
      </c>
      <c r="AJ127" s="6" t="n">
        <f aca="false">(10-(LEN(AK127)))+1</f>
        <v>7</v>
      </c>
      <c r="AK127" s="6" t="n">
        <v>2320</v>
      </c>
      <c r="AL127" s="6" t="str">
        <f aca="false">IF($J127="NA","NA",IF(AND($J127&gt;1939,AK127&gt;0),"ERRO","OK"))</f>
        <v>OK</v>
      </c>
      <c r="AM127" s="6" t="n">
        <f aca="false">(10-(LEN(AN127)))+1</f>
        <v>8</v>
      </c>
      <c r="AN127" s="6" t="n">
        <v>170</v>
      </c>
      <c r="AO127" s="6" t="str">
        <f aca="false">IF($J127="NA","NA",IF(AND($J127&gt;1929,AN127&gt;0),"ERRO","OK"))</f>
        <v>OK</v>
      </c>
      <c r="AP127" s="6" t="n">
        <f aca="false">(10-(LEN(AQ127)))+1</f>
        <v>8</v>
      </c>
      <c r="AQ127" s="6" t="n">
        <v>556</v>
      </c>
      <c r="AR127" s="6" t="str">
        <f aca="false">IF($J127="NA","NA",IF(AND($J127&gt;1919,AQ127&gt;0),"ERRO","OK"))</f>
        <v>OK</v>
      </c>
      <c r="AS127" s="6" t="n">
        <f aca="false">(10-(LEN(AT127)))+1</f>
        <v>10</v>
      </c>
      <c r="AT127" s="6" t="n">
        <v>0</v>
      </c>
      <c r="AU127" s="6" t="str">
        <f aca="false">IF($J127="NA","NA",IF(AND($J127&gt;1909,AT127&gt;0),"ERRO","OK"))</f>
        <v>OK</v>
      </c>
      <c r="AV127" s="6" t="n">
        <f aca="false">(10-(LEN(AW127)))+1</f>
        <v>10</v>
      </c>
      <c r="AW127" s="6" t="n">
        <v>0</v>
      </c>
      <c r="AX127" s="6" t="str">
        <f aca="false">IF($J127="NA","NA",IF(AND($J127&gt;1899,AW127&gt;0),"ERRO","OK"))</f>
        <v>OK</v>
      </c>
    </row>
    <row r="128" customFormat="false" ht="15" hidden="false" customHeight="false" outlineLevel="0" collapsed="false">
      <c r="A128" s="7" t="n">
        <v>125</v>
      </c>
      <c r="B128" s="0" t="s">
        <v>145</v>
      </c>
      <c r="C128" s="8" t="n">
        <v>45309</v>
      </c>
      <c r="D128" s="6" t="n">
        <v>0</v>
      </c>
      <c r="E128" s="0" t="s">
        <v>16</v>
      </c>
      <c r="F128" s="0" t="s">
        <v>17</v>
      </c>
      <c r="G128" s="9" t="str">
        <f aca="false">IF(OR(N128="ERRO",Q128="ERRO",T128="ERRO",W128="ERRO",Z128="ERRO",AC128="ERRO",AF128="ERRO",AI128="ERRO",AL128="ERRO",AO128="ERRO",AR128="ERRO",AU128="ERRO",AX128="ERRO"),"ERRO","OK")</f>
        <v>OK</v>
      </c>
      <c r="H128" s="9" t="n">
        <f aca="false">COUNTIF(L128:AX128,"ERRO")</f>
        <v>0</v>
      </c>
      <c r="I128" s="9" t="s">
        <v>18</v>
      </c>
      <c r="J128" s="10" t="n">
        <v>1906</v>
      </c>
      <c r="K128" s="10" t="n">
        <v>1981</v>
      </c>
      <c r="L128" s="6" t="n">
        <f aca="false">(10-(LEN(M128)))+1</f>
        <v>7</v>
      </c>
      <c r="M128" s="6" t="n">
        <v>5206</v>
      </c>
      <c r="N128" s="6" t="str">
        <f aca="false">IF($J128="NA","NA",IF(AND($J128&gt;2019,M128&gt;0),"ERRO","OK"))</f>
        <v>OK</v>
      </c>
      <c r="O128" s="6" t="n">
        <f aca="false">(10-(LEN(P128)))+1</f>
        <v>6</v>
      </c>
      <c r="P128" s="6" t="n">
        <v>19828</v>
      </c>
      <c r="Q128" s="6" t="str">
        <f aca="false">IF($J128="NA","NA",IF(AND($J128&gt;2009,P128&gt;0),"ERRO","OK"))</f>
        <v>OK</v>
      </c>
      <c r="R128" s="6" t="n">
        <f aca="false">(10-(LEN(S128)))+1</f>
        <v>6</v>
      </c>
      <c r="S128" s="6" t="n">
        <v>16680</v>
      </c>
      <c r="T128" s="6" t="str">
        <f aca="false">IF($J128="NA","NA",IF(AND($J128&gt;1999,S128&gt;0),"ERRO","OK"))</f>
        <v>OK</v>
      </c>
      <c r="U128" s="6" t="n">
        <f aca="false">(10-(LEN(V128)))+1</f>
        <v>6</v>
      </c>
      <c r="V128" s="6" t="n">
        <v>18443</v>
      </c>
      <c r="W128" s="6" t="str">
        <f aca="false">IF($J128="NA","NA",IF(AND($J128&gt;1989,V128&gt;0),"ERRO","OK"))</f>
        <v>OK</v>
      </c>
      <c r="X128" s="6" t="n">
        <f aca="false">(10-(LEN(Y128)))+1</f>
        <v>6</v>
      </c>
      <c r="Y128" s="6" t="n">
        <v>16267</v>
      </c>
      <c r="Z128" s="6" t="str">
        <f aca="false">IF($J128="NA","NA",IF(AND($J128&gt;1979,Y128&gt;0),"ERRO","OK"))</f>
        <v>OK</v>
      </c>
      <c r="AA128" s="6" t="n">
        <f aca="false">(10-(LEN(AB128)))+1</f>
        <v>6</v>
      </c>
      <c r="AB128" s="6" t="n">
        <v>13656</v>
      </c>
      <c r="AC128" s="6" t="str">
        <f aca="false">IF($J128="NA","NA",IF(AND($J128&gt;1969,AB128&gt;0),"ERRO","OK"))</f>
        <v>OK</v>
      </c>
      <c r="AD128" s="6" t="n">
        <f aca="false">(10-(LEN(AE128)))+1</f>
        <v>7</v>
      </c>
      <c r="AE128" s="6" t="n">
        <v>3947</v>
      </c>
      <c r="AF128" s="6" t="str">
        <f aca="false">IF($J128="NA","NA",IF(AND($J128&gt;1959,AE128&gt;0),"ERRO","OK"))</f>
        <v>OK</v>
      </c>
      <c r="AG128" s="6" t="n">
        <f aca="false">(10-(LEN(AH128)))+1</f>
        <v>7</v>
      </c>
      <c r="AH128" s="6" t="n">
        <v>7820</v>
      </c>
      <c r="AI128" s="6" t="str">
        <f aca="false">IF($J128="NA","NA",IF(AND($J128&gt;1949,AH128&gt;0),"ERRO","OK"))</f>
        <v>OK</v>
      </c>
      <c r="AJ128" s="6" t="n">
        <f aca="false">(10-(LEN(AK128)))+1</f>
        <v>6</v>
      </c>
      <c r="AK128" s="6" t="n">
        <v>31751</v>
      </c>
      <c r="AL128" s="6" t="str">
        <f aca="false">IF($J128="NA","NA",IF(AND($J128&gt;1939,AK128&gt;0),"ERRO","OK"))</f>
        <v>OK</v>
      </c>
      <c r="AM128" s="6" t="n">
        <f aca="false">(10-(LEN(AN128)))+1</f>
        <v>10</v>
      </c>
      <c r="AN128" s="6" t="n">
        <v>0</v>
      </c>
      <c r="AO128" s="6" t="str">
        <f aca="false">IF($J128="NA","NA",IF(AND($J128&gt;1929,AN128&gt;0),"ERRO","OK"))</f>
        <v>OK</v>
      </c>
      <c r="AP128" s="6" t="n">
        <f aca="false">(10-(LEN(AQ128)))+1</f>
        <v>8</v>
      </c>
      <c r="AQ128" s="6" t="n">
        <v>200</v>
      </c>
      <c r="AR128" s="6" t="str">
        <f aca="false">IF($J128="NA","NA",IF(AND($J128&gt;1919,AQ128&gt;0),"ERRO","OK"))</f>
        <v>OK</v>
      </c>
      <c r="AS128" s="6" t="n">
        <f aca="false">(10-(LEN(AT128)))+1</f>
        <v>10</v>
      </c>
      <c r="AT128" s="6" t="n">
        <v>0</v>
      </c>
      <c r="AU128" s="6" t="str">
        <f aca="false">IF($J128="NA","NA",IF(AND($J128&gt;1909,AT128&gt;0),"ERRO","OK"))</f>
        <v>OK</v>
      </c>
      <c r="AV128" s="6" t="n">
        <f aca="false">(10-(LEN(AW128)))+1</f>
        <v>10</v>
      </c>
      <c r="AW128" s="6" t="n">
        <v>0</v>
      </c>
      <c r="AX128" s="6" t="str">
        <f aca="false">IF($J128="NA","NA",IF(AND($J128&gt;1899,AW128&gt;0),"ERRO","OK"))</f>
        <v>OK</v>
      </c>
    </row>
    <row r="129" customFormat="false" ht="15" hidden="false" customHeight="false" outlineLevel="0" collapsed="false">
      <c r="A129" s="7" t="n">
        <v>126</v>
      </c>
      <c r="B129" s="0" t="s">
        <v>146</v>
      </c>
      <c r="C129" s="8" t="n">
        <v>45309</v>
      </c>
      <c r="D129" s="6" t="n">
        <v>0</v>
      </c>
      <c r="E129" s="0" t="s">
        <v>16</v>
      </c>
      <c r="F129" s="0" t="s">
        <v>17</v>
      </c>
      <c r="G129" s="9" t="str">
        <f aca="false">IF(OR(N129="ERRO",Q129="ERRO",T129="ERRO",W129="ERRO",Z129="ERRO",AC129="ERRO",AF129="ERRO",AI129="ERRO",AL129="ERRO",AO129="ERRO",AR129="ERRO",AU129="ERRO",AX129="ERRO"),"ERRO","OK")</f>
        <v>OK</v>
      </c>
      <c r="H129" s="9" t="n">
        <f aca="false">COUNTIF(L129:AX129,"ERRO")</f>
        <v>0</v>
      </c>
      <c r="I129" s="9" t="s">
        <v>18</v>
      </c>
      <c r="J129" s="10" t="n">
        <v>1904</v>
      </c>
      <c r="K129" s="10" t="n">
        <v>1973</v>
      </c>
      <c r="L129" s="6" t="n">
        <f aca="false">(10-(LEN(M129)))+1</f>
        <v>7</v>
      </c>
      <c r="M129" s="6" t="n">
        <v>2290</v>
      </c>
      <c r="N129" s="6" t="str">
        <f aca="false">IF($J129="NA","NA",IF(AND($J129&gt;2019,M129&gt;0),"ERRO","OK"))</f>
        <v>OK</v>
      </c>
      <c r="O129" s="6" t="n">
        <f aca="false">(10-(LEN(P129)))+1</f>
        <v>7</v>
      </c>
      <c r="P129" s="6" t="n">
        <v>4357</v>
      </c>
      <c r="Q129" s="6" t="str">
        <f aca="false">IF($J129="NA","NA",IF(AND($J129&gt;2009,P129&gt;0),"ERRO","OK"))</f>
        <v>OK</v>
      </c>
      <c r="R129" s="6" t="n">
        <f aca="false">(10-(LEN(S129)))+1</f>
        <v>7</v>
      </c>
      <c r="S129" s="6" t="n">
        <v>6681</v>
      </c>
      <c r="T129" s="6" t="str">
        <f aca="false">IF($J129="NA","NA",IF(AND($J129&gt;1999,S129&gt;0),"ERRO","OK"))</f>
        <v>OK</v>
      </c>
      <c r="U129" s="6" t="n">
        <f aca="false">(10-(LEN(V129)))+1</f>
        <v>7</v>
      </c>
      <c r="V129" s="6" t="n">
        <v>6485</v>
      </c>
      <c r="W129" s="6" t="str">
        <f aca="false">IF($J129="NA","NA",IF(AND($J129&gt;1989,V129&gt;0),"ERRO","OK"))</f>
        <v>OK</v>
      </c>
      <c r="X129" s="6" t="n">
        <f aca="false">(10-(LEN(Y129)))+1</f>
        <v>7</v>
      </c>
      <c r="Y129" s="6" t="n">
        <v>7117</v>
      </c>
      <c r="Z129" s="6" t="str">
        <f aca="false">IF($J129="NA","NA",IF(AND($J129&gt;1979,Y129&gt;0),"ERRO","OK"))</f>
        <v>OK</v>
      </c>
      <c r="AA129" s="6" t="n">
        <f aca="false">(10-(LEN(AB129)))+1</f>
        <v>7</v>
      </c>
      <c r="AB129" s="6" t="n">
        <v>8555</v>
      </c>
      <c r="AC129" s="6" t="str">
        <f aca="false">IF($J129="NA","NA",IF(AND($J129&gt;1969,AB129&gt;0),"ERRO","OK"))</f>
        <v>OK</v>
      </c>
      <c r="AD129" s="6" t="n">
        <f aca="false">(10-(LEN(AE129)))+1</f>
        <v>7</v>
      </c>
      <c r="AE129" s="6" t="n">
        <v>9150</v>
      </c>
      <c r="AF129" s="6" t="str">
        <f aca="false">IF($J129="NA","NA",IF(AND($J129&gt;1959,AE129&gt;0),"ERRO","OK"))</f>
        <v>OK</v>
      </c>
      <c r="AG129" s="6" t="n">
        <f aca="false">(10-(LEN(AH129)))+1</f>
        <v>6</v>
      </c>
      <c r="AH129" s="6" t="n">
        <v>12225</v>
      </c>
      <c r="AI129" s="6" t="str">
        <f aca="false">IF($J129="NA","NA",IF(AND($J129&gt;1949,AH129&gt;0),"ERRO","OK"))</f>
        <v>OK</v>
      </c>
      <c r="AJ129" s="6" t="n">
        <f aca="false">(10-(LEN(AK129)))+1</f>
        <v>8</v>
      </c>
      <c r="AK129" s="6" t="n">
        <v>836</v>
      </c>
      <c r="AL129" s="6" t="str">
        <f aca="false">IF($J129="NA","NA",IF(AND($J129&gt;1939,AK129&gt;0),"ERRO","OK"))</f>
        <v>OK</v>
      </c>
      <c r="AM129" s="6" t="n">
        <f aca="false">(10-(LEN(AN129)))+1</f>
        <v>10</v>
      </c>
      <c r="AN129" s="6" t="n">
        <v>0</v>
      </c>
      <c r="AO129" s="6" t="str">
        <f aca="false">IF($J129="NA","NA",IF(AND($J129&gt;1929,AN129&gt;0),"ERRO","OK"))</f>
        <v>OK</v>
      </c>
      <c r="AP129" s="6" t="n">
        <f aca="false">(10-(LEN(AQ129)))+1</f>
        <v>10</v>
      </c>
      <c r="AQ129" s="6" t="n">
        <v>0</v>
      </c>
      <c r="AR129" s="6" t="str">
        <f aca="false">IF($J129="NA","NA",IF(AND($J129&gt;1919,AQ129&gt;0),"ERRO","OK"))</f>
        <v>OK</v>
      </c>
      <c r="AS129" s="6" t="n">
        <f aca="false">(10-(LEN(AT129)))+1</f>
        <v>10</v>
      </c>
      <c r="AT129" s="6" t="n">
        <v>0</v>
      </c>
      <c r="AU129" s="6" t="str">
        <f aca="false">IF($J129="NA","NA",IF(AND($J129&gt;1909,AT129&gt;0),"ERRO","OK"))</f>
        <v>OK</v>
      </c>
      <c r="AV129" s="6" t="n">
        <f aca="false">(10-(LEN(AW129)))+1</f>
        <v>10</v>
      </c>
      <c r="AW129" s="6" t="n">
        <v>0</v>
      </c>
      <c r="AX129" s="6" t="str">
        <f aca="false">IF($J129="NA","NA",IF(AND($J129&gt;1899,AW129&gt;0),"ERRO","OK"))</f>
        <v>OK</v>
      </c>
    </row>
    <row r="130" customFormat="false" ht="15" hidden="false" customHeight="false" outlineLevel="0" collapsed="false">
      <c r="A130" s="7" t="n">
        <v>127</v>
      </c>
      <c r="B130" s="0" t="s">
        <v>147</v>
      </c>
      <c r="C130" s="8" t="n">
        <v>45309</v>
      </c>
      <c r="D130" s="6" t="n">
        <v>0</v>
      </c>
      <c r="E130" s="0" t="s">
        <v>16</v>
      </c>
      <c r="F130" s="0" t="s">
        <v>17</v>
      </c>
      <c r="G130" s="9" t="str">
        <f aca="false">IF(OR(N130="ERRO",Q130="ERRO",T130="ERRO",W130="ERRO",Z130="ERRO",AC130="ERRO",AF130="ERRO",AI130="ERRO",AL130="ERRO",AO130="ERRO",AR130="ERRO",AU130="ERRO",AX130="ERRO"),"ERRO","OK")</f>
        <v>OK</v>
      </c>
      <c r="H130" s="9" t="n">
        <f aca="false">COUNTIF(L130:AX130,"ERRO")</f>
        <v>0</v>
      </c>
      <c r="I130" s="9" t="s">
        <v>18</v>
      </c>
      <c r="J130" s="10" t="s">
        <v>22</v>
      </c>
      <c r="K130" s="10" t="s">
        <v>22</v>
      </c>
      <c r="L130" s="6" t="n">
        <f aca="false">(10-(LEN(M130)))+1</f>
        <v>8</v>
      </c>
      <c r="M130" s="6" t="n">
        <v>125</v>
      </c>
      <c r="N130" s="6" t="str">
        <f aca="false">IF($J130="NA","NA",IF(AND($J130&gt;2019,M130&gt;0),"ERRO","OK"))</f>
        <v>NA</v>
      </c>
      <c r="O130" s="6" t="n">
        <f aca="false">(10-(LEN(P130)))+1</f>
        <v>9</v>
      </c>
      <c r="P130" s="6" t="n">
        <v>34</v>
      </c>
      <c r="Q130" s="6" t="str">
        <f aca="false">IF($J130="NA","NA",IF(AND($J130&gt;2009,P130&gt;0),"ERRO","OK"))</f>
        <v>NA</v>
      </c>
      <c r="R130" s="6" t="n">
        <f aca="false">(10-(LEN(S130)))+1</f>
        <v>10</v>
      </c>
      <c r="S130" s="6" t="n">
        <v>0</v>
      </c>
      <c r="T130" s="6" t="str">
        <f aca="false">IF($J130="NA","NA",IF(AND($J130&gt;1999,S130&gt;0),"ERRO","OK"))</f>
        <v>NA</v>
      </c>
      <c r="U130" s="6" t="n">
        <f aca="false">(10-(LEN(V130)))+1</f>
        <v>10</v>
      </c>
      <c r="V130" s="6" t="n">
        <v>0</v>
      </c>
      <c r="W130" s="6" t="str">
        <f aca="false">IF($J130="NA","NA",IF(AND($J130&gt;1989,V130&gt;0),"ERRO","OK"))</f>
        <v>NA</v>
      </c>
      <c r="X130" s="6" t="n">
        <f aca="false">(10-(LEN(Y130)))+1</f>
        <v>9</v>
      </c>
      <c r="Y130" s="6" t="n">
        <v>54</v>
      </c>
      <c r="Z130" s="6" t="str">
        <f aca="false">IF($J130="NA","NA",IF(AND($J130&gt;1979,Y130&gt;0),"ERRO","OK"))</f>
        <v>NA</v>
      </c>
      <c r="AA130" s="6" t="n">
        <f aca="false">(10-(LEN(AB130)))+1</f>
        <v>10</v>
      </c>
      <c r="AB130" s="6" t="n">
        <v>0</v>
      </c>
      <c r="AC130" s="6" t="str">
        <f aca="false">IF($J130="NA","NA",IF(AND($J130&gt;1969,AB130&gt;0),"ERRO","OK"))</f>
        <v>NA</v>
      </c>
      <c r="AD130" s="6" t="n">
        <f aca="false">(10-(LEN(AE130)))+1</f>
        <v>10</v>
      </c>
      <c r="AE130" s="6" t="n">
        <v>0</v>
      </c>
      <c r="AF130" s="6" t="str">
        <f aca="false">IF($J130="NA","NA",IF(AND($J130&gt;1959,AE130&gt;0),"ERRO","OK"))</f>
        <v>NA</v>
      </c>
      <c r="AG130" s="6" t="n">
        <f aca="false">(10-(LEN(AH130)))+1</f>
        <v>10</v>
      </c>
      <c r="AH130" s="6" t="n">
        <v>0</v>
      </c>
      <c r="AI130" s="6" t="str">
        <f aca="false">IF($J130="NA","NA",IF(AND($J130&gt;1949,AH130&gt;0),"ERRO","OK"))</f>
        <v>NA</v>
      </c>
      <c r="AJ130" s="6" t="n">
        <f aca="false">(10-(LEN(AK130)))+1</f>
        <v>8</v>
      </c>
      <c r="AK130" s="6" t="n">
        <v>557</v>
      </c>
      <c r="AL130" s="6" t="str">
        <f aca="false">IF($J130="NA","NA",IF(AND($J130&gt;1939,AK130&gt;0),"ERRO","OK"))</f>
        <v>NA</v>
      </c>
      <c r="AM130" s="6" t="n">
        <f aca="false">(10-(LEN(AN130)))+1</f>
        <v>10</v>
      </c>
      <c r="AN130" s="6" t="n">
        <v>0</v>
      </c>
      <c r="AO130" s="6" t="str">
        <f aca="false">IF($J130="NA","NA",IF(AND($J130&gt;1929,AN130&gt;0),"ERRO","OK"))</f>
        <v>NA</v>
      </c>
      <c r="AP130" s="6" t="n">
        <f aca="false">(10-(LEN(AQ130)))+1</f>
        <v>7</v>
      </c>
      <c r="AQ130" s="6" t="n">
        <v>1001</v>
      </c>
      <c r="AR130" s="6" t="str">
        <f aca="false">IF($J130="NA","NA",IF(AND($J130&gt;1919,AQ130&gt;0),"ERRO","OK"))</f>
        <v>NA</v>
      </c>
      <c r="AS130" s="6" t="n">
        <f aca="false">(10-(LEN(AT130)))+1</f>
        <v>8</v>
      </c>
      <c r="AT130" s="6" t="n">
        <v>103</v>
      </c>
      <c r="AU130" s="6" t="str">
        <f aca="false">IF($J130="NA","NA",IF(AND($J130&gt;1909,AT130&gt;0),"ERRO","OK"))</f>
        <v>NA</v>
      </c>
      <c r="AV130" s="6" t="n">
        <f aca="false">(10-(LEN(AW130)))+1</f>
        <v>8</v>
      </c>
      <c r="AW130" s="6" t="n">
        <v>516</v>
      </c>
      <c r="AX130" s="6" t="str">
        <f aca="false">IF($J130="NA","NA",IF(AND($J130&gt;1899,AW130&gt;0),"ERRO","OK"))</f>
        <v>NA</v>
      </c>
    </row>
    <row r="131" customFormat="false" ht="15" hidden="false" customHeight="false" outlineLevel="0" collapsed="false">
      <c r="A131" s="7" t="n">
        <v>128</v>
      </c>
      <c r="B131" s="0" t="s">
        <v>148</v>
      </c>
      <c r="C131" s="8" t="n">
        <v>45309</v>
      </c>
      <c r="D131" s="6" t="n">
        <v>0</v>
      </c>
      <c r="E131" s="0" t="s">
        <v>16</v>
      </c>
      <c r="F131" s="0" t="s">
        <v>17</v>
      </c>
      <c r="G131" s="9" t="str">
        <f aca="false">IF(OR(N131="ERRO",Q131="ERRO",T131="ERRO",W131="ERRO",Z131="ERRO",AC131="ERRO",AF131="ERRO",AI131="ERRO",AL131="ERRO",AO131="ERRO",AR131="ERRO",AU131="ERRO",AX131="ERRO"),"ERRO","OK")</f>
        <v>OK</v>
      </c>
      <c r="H131" s="9" t="n">
        <f aca="false">COUNTIF(L131:AX131,"ERRO")</f>
        <v>0</v>
      </c>
      <c r="I131" s="9" t="s">
        <v>18</v>
      </c>
      <c r="J131" s="10" t="n">
        <v>1883</v>
      </c>
      <c r="K131" s="10" t="n">
        <v>1952</v>
      </c>
      <c r="L131" s="6" t="n">
        <f aca="false">(10-(LEN(M131)))+1</f>
        <v>10</v>
      </c>
      <c r="M131" s="6" t="n">
        <v>0</v>
      </c>
      <c r="N131" s="6" t="str">
        <f aca="false">IF($J131="NA","NA",IF(AND($J131&gt;2019,M131&gt;0),"ERRO","OK"))</f>
        <v>OK</v>
      </c>
      <c r="O131" s="6" t="n">
        <f aca="false">(10-(LEN(P131)))+1</f>
        <v>8</v>
      </c>
      <c r="P131" s="6" t="n">
        <v>468</v>
      </c>
      <c r="Q131" s="6" t="str">
        <f aca="false">IF($J131="NA","NA",IF(AND($J131&gt;2009,P131&gt;0),"ERRO","OK"))</f>
        <v>OK</v>
      </c>
      <c r="R131" s="6" t="n">
        <f aca="false">(10-(LEN(S131)))+1</f>
        <v>8</v>
      </c>
      <c r="S131" s="6" t="n">
        <v>221</v>
      </c>
      <c r="T131" s="6" t="str">
        <f aca="false">IF($J131="NA","NA",IF(AND($J131&gt;1999,S131&gt;0),"ERRO","OK"))</f>
        <v>OK</v>
      </c>
      <c r="U131" s="6" t="n">
        <f aca="false">(10-(LEN(V131)))+1</f>
        <v>8</v>
      </c>
      <c r="V131" s="6" t="n">
        <v>193</v>
      </c>
      <c r="W131" s="6" t="str">
        <f aca="false">IF($J131="NA","NA",IF(AND($J131&gt;1989,V131&gt;0),"ERRO","OK"))</f>
        <v>OK</v>
      </c>
      <c r="X131" s="6" t="n">
        <f aca="false">(10-(LEN(Y131)))+1</f>
        <v>10</v>
      </c>
      <c r="Y131" s="6" t="n">
        <v>0</v>
      </c>
      <c r="Z131" s="6" t="str">
        <f aca="false">IF($J131="NA","NA",IF(AND($J131&gt;1979,Y131&gt;0),"ERRO","OK"))</f>
        <v>OK</v>
      </c>
      <c r="AA131" s="6" t="n">
        <f aca="false">(10-(LEN(AB131)))+1</f>
        <v>10</v>
      </c>
      <c r="AB131" s="6" t="n">
        <v>0</v>
      </c>
      <c r="AC131" s="6" t="str">
        <f aca="false">IF($J131="NA","NA",IF(AND($J131&gt;1969,AB131&gt;0),"ERRO","OK"))</f>
        <v>OK</v>
      </c>
      <c r="AD131" s="6" t="n">
        <f aca="false">(10-(LEN(AE131)))+1</f>
        <v>10</v>
      </c>
      <c r="AE131" s="6" t="n">
        <v>0</v>
      </c>
      <c r="AF131" s="6" t="str">
        <f aca="false">IF($J131="NA","NA",IF(AND($J131&gt;1959,AE131&gt;0),"ERRO","OK"))</f>
        <v>OK</v>
      </c>
      <c r="AG131" s="6" t="n">
        <f aca="false">(10-(LEN(AH131)))+1</f>
        <v>8</v>
      </c>
      <c r="AH131" s="6" t="n">
        <v>348</v>
      </c>
      <c r="AI131" s="6" t="str">
        <f aca="false">IF($J131="NA","NA",IF(AND($J131&gt;1949,AH131&gt;0),"ERRO","OK"))</f>
        <v>OK</v>
      </c>
      <c r="AJ131" s="6" t="n">
        <f aca="false">(10-(LEN(AK131)))+1</f>
        <v>8</v>
      </c>
      <c r="AK131" s="6" t="n">
        <v>147</v>
      </c>
      <c r="AL131" s="6" t="str">
        <f aca="false">IF($J131="NA","NA",IF(AND($J131&gt;1939,AK131&gt;0),"ERRO","OK"))</f>
        <v>OK</v>
      </c>
      <c r="AM131" s="6" t="n">
        <f aca="false">(10-(LEN(AN131)))+1</f>
        <v>10</v>
      </c>
      <c r="AN131" s="6" t="n">
        <v>0</v>
      </c>
      <c r="AO131" s="6" t="str">
        <f aca="false">IF($J131="NA","NA",IF(AND($J131&gt;1929,AN131&gt;0),"ERRO","OK"))</f>
        <v>OK</v>
      </c>
      <c r="AP131" s="6" t="n">
        <f aca="false">(10-(LEN(AQ131)))+1</f>
        <v>10</v>
      </c>
      <c r="AQ131" s="6" t="n">
        <v>0</v>
      </c>
      <c r="AR131" s="6" t="str">
        <f aca="false">IF($J131="NA","NA",IF(AND($J131&gt;1919,AQ131&gt;0),"ERRO","OK"))</f>
        <v>OK</v>
      </c>
      <c r="AS131" s="6" t="n">
        <f aca="false">(10-(LEN(AT131)))+1</f>
        <v>10</v>
      </c>
      <c r="AT131" s="6" t="n">
        <v>0</v>
      </c>
      <c r="AU131" s="6" t="str">
        <f aca="false">IF($J131="NA","NA",IF(AND($J131&gt;1909,AT131&gt;0),"ERRO","OK"))</f>
        <v>OK</v>
      </c>
      <c r="AV131" s="6" t="n">
        <f aca="false">(10-(LEN(AW131)))+1</f>
        <v>10</v>
      </c>
      <c r="AW131" s="6" t="n">
        <v>0</v>
      </c>
      <c r="AX131" s="6" t="str">
        <f aca="false">IF($J131="NA","NA",IF(AND($J131&gt;1899,AW131&gt;0),"ERRO","OK"))</f>
        <v>OK</v>
      </c>
    </row>
    <row r="132" customFormat="false" ht="15" hidden="false" customHeight="false" outlineLevel="0" collapsed="false">
      <c r="A132" s="7" t="n">
        <v>129</v>
      </c>
      <c r="B132" s="0" t="s">
        <v>149</v>
      </c>
      <c r="C132" s="8" t="n">
        <v>45309</v>
      </c>
      <c r="D132" s="6" t="n">
        <v>0</v>
      </c>
      <c r="E132" s="0" t="s">
        <v>16</v>
      </c>
      <c r="F132" s="0" t="s">
        <v>17</v>
      </c>
      <c r="G132" s="9" t="str">
        <f aca="false">IF(OR(N132="ERRO",Q132="ERRO",T132="ERRO",W132="ERRO",Z132="ERRO",AC132="ERRO",AF132="ERRO",AI132="ERRO",AL132="ERRO",AO132="ERRO",AR132="ERRO",AU132="ERRO",AX132="ERRO"),"ERRO","OK")</f>
        <v>OK</v>
      </c>
      <c r="H132" s="9" t="n">
        <f aca="false">COUNTIF(L132:AX132,"ERRO")</f>
        <v>0</v>
      </c>
      <c r="I132" s="9" t="s">
        <v>18</v>
      </c>
      <c r="J132" s="10" t="n">
        <v>1866</v>
      </c>
      <c r="K132" s="10" t="n">
        <v>1946</v>
      </c>
      <c r="L132" s="6" t="n">
        <f aca="false">(10-(LEN(M132)))+1</f>
        <v>10</v>
      </c>
      <c r="M132" s="6" t="n">
        <v>0</v>
      </c>
      <c r="N132" s="6" t="str">
        <f aca="false">IF($J132="NA","NA",IF(AND($J132&gt;2019,M132&gt;0),"ERRO","OK"))</f>
        <v>OK</v>
      </c>
      <c r="O132" s="6" t="n">
        <f aca="false">(10-(LEN(P132)))+1</f>
        <v>8</v>
      </c>
      <c r="P132" s="6" t="n">
        <v>343</v>
      </c>
      <c r="Q132" s="6" t="str">
        <f aca="false">IF($J132="NA","NA",IF(AND($J132&gt;2009,P132&gt;0),"ERRO","OK"))</f>
        <v>OK</v>
      </c>
      <c r="R132" s="6" t="n">
        <f aca="false">(10-(LEN(S132)))+1</f>
        <v>8</v>
      </c>
      <c r="S132" s="6" t="n">
        <v>252</v>
      </c>
      <c r="T132" s="6" t="str">
        <f aca="false">IF($J132="NA","NA",IF(AND($J132&gt;1999,S132&gt;0),"ERRO","OK"))</f>
        <v>OK</v>
      </c>
      <c r="U132" s="6" t="n">
        <f aca="false">(10-(LEN(V132)))+1</f>
        <v>10</v>
      </c>
      <c r="V132" s="6" t="n">
        <v>0</v>
      </c>
      <c r="W132" s="6" t="str">
        <f aca="false">IF($J132="NA","NA",IF(AND($J132&gt;1989,V132&gt;0),"ERRO","OK"))</f>
        <v>OK</v>
      </c>
      <c r="X132" s="6" t="n">
        <f aca="false">(10-(LEN(Y132)))+1</f>
        <v>8</v>
      </c>
      <c r="Y132" s="6" t="n">
        <v>642</v>
      </c>
      <c r="Z132" s="6" t="str">
        <f aca="false">IF($J132="NA","NA",IF(AND($J132&gt;1979,Y132&gt;0),"ERRO","OK"))</f>
        <v>OK</v>
      </c>
      <c r="AA132" s="6" t="n">
        <f aca="false">(10-(LEN(AB132)))+1</f>
        <v>9</v>
      </c>
      <c r="AB132" s="6" t="n">
        <v>59</v>
      </c>
      <c r="AC132" s="6" t="str">
        <f aca="false">IF($J132="NA","NA",IF(AND($J132&gt;1969,AB132&gt;0),"ERRO","OK"))</f>
        <v>OK</v>
      </c>
      <c r="AD132" s="6" t="n">
        <f aca="false">(10-(LEN(AE132)))+1</f>
        <v>8</v>
      </c>
      <c r="AE132" s="6" t="n">
        <v>807</v>
      </c>
      <c r="AF132" s="6" t="str">
        <f aca="false">IF($J132="NA","NA",IF(AND($J132&gt;1959,AE132&gt;0),"ERRO","OK"))</f>
        <v>OK</v>
      </c>
      <c r="AG132" s="6" t="n">
        <f aca="false">(10-(LEN(AH132)))+1</f>
        <v>8</v>
      </c>
      <c r="AH132" s="6" t="n">
        <v>330</v>
      </c>
      <c r="AI132" s="6" t="str">
        <f aca="false">IF($J132="NA","NA",IF(AND($J132&gt;1949,AH132&gt;0),"ERRO","OK"))</f>
        <v>OK</v>
      </c>
      <c r="AJ132" s="6" t="n">
        <f aca="false">(10-(LEN(AK132)))+1</f>
        <v>7</v>
      </c>
      <c r="AK132" s="6" t="n">
        <v>1393</v>
      </c>
      <c r="AL132" s="6" t="str">
        <f aca="false">IF($J132="NA","NA",IF(AND($J132&gt;1939,AK132&gt;0),"ERRO","OK"))</f>
        <v>OK</v>
      </c>
      <c r="AM132" s="6" t="n">
        <f aca="false">(10-(LEN(AN132)))+1</f>
        <v>8</v>
      </c>
      <c r="AN132" s="6" t="n">
        <v>762</v>
      </c>
      <c r="AO132" s="6" t="str">
        <f aca="false">IF($J132="NA","NA",IF(AND($J132&gt;1929,AN132&gt;0),"ERRO","OK"))</f>
        <v>OK</v>
      </c>
      <c r="AP132" s="6" t="n">
        <f aca="false">(10-(LEN(AQ132)))+1</f>
        <v>7</v>
      </c>
      <c r="AQ132" s="6" t="n">
        <v>3204</v>
      </c>
      <c r="AR132" s="6" t="str">
        <f aca="false">IF($J132="NA","NA",IF(AND($J132&gt;1919,AQ132&gt;0),"ERRO","OK"))</f>
        <v>OK</v>
      </c>
      <c r="AS132" s="6" t="n">
        <f aca="false">(10-(LEN(AT132)))+1</f>
        <v>7</v>
      </c>
      <c r="AT132" s="6" t="n">
        <v>1959</v>
      </c>
      <c r="AU132" s="6" t="str">
        <f aca="false">IF($J132="NA","NA",IF(AND($J132&gt;1909,AT132&gt;0),"ERRO","OK"))</f>
        <v>OK</v>
      </c>
      <c r="AV132" s="6" t="n">
        <f aca="false">(10-(LEN(AW132)))+1</f>
        <v>8</v>
      </c>
      <c r="AW132" s="6" t="n">
        <v>516</v>
      </c>
      <c r="AX132" s="6" t="str">
        <f aca="false">IF($J132="NA","NA",IF(AND($J132&gt;1899,AW132&gt;0),"ERRO","OK"))</f>
        <v>OK</v>
      </c>
    </row>
    <row r="133" customFormat="false" ht="15" hidden="false" customHeight="false" outlineLevel="0" collapsed="false">
      <c r="A133" s="7" t="n">
        <v>130</v>
      </c>
      <c r="B133" s="0" t="s">
        <v>150</v>
      </c>
      <c r="C133" s="8" t="n">
        <v>45309</v>
      </c>
      <c r="D133" s="6" t="n">
        <v>0</v>
      </c>
      <c r="E133" s="0" t="s">
        <v>16</v>
      </c>
      <c r="F133" s="0" t="s">
        <v>17</v>
      </c>
      <c r="G133" s="9" t="str">
        <f aca="false">IF(OR(N133="ERRO",Q133="ERRO",T133="ERRO",W133="ERRO",Z133="ERRO",AC133="ERRO",AF133="ERRO",AI133="ERRO",AL133="ERRO",AO133="ERRO",AR133="ERRO",AU133="ERRO",AX133="ERRO"),"ERRO","OK")</f>
        <v>OK</v>
      </c>
      <c r="H133" s="9" t="n">
        <f aca="false">COUNTIF(L133:AX133,"ERRO")</f>
        <v>0</v>
      </c>
      <c r="I133" s="9" t="s">
        <v>18</v>
      </c>
      <c r="J133" s="10" t="n">
        <v>1893</v>
      </c>
      <c r="K133" s="10" t="n">
        <v>1980</v>
      </c>
      <c r="L133" s="6" t="n">
        <f aca="false">(10-(LEN(M133)))+1</f>
        <v>10</v>
      </c>
      <c r="M133" s="6" t="n">
        <v>0</v>
      </c>
      <c r="N133" s="6" t="str">
        <f aca="false">IF($J133="NA","NA",IF(AND($J133&gt;2019,M133&gt;0),"ERRO","OK"))</f>
        <v>OK</v>
      </c>
      <c r="O133" s="6" t="n">
        <f aca="false">(10-(LEN(P133)))+1</f>
        <v>10</v>
      </c>
      <c r="P133" s="6" t="n">
        <v>0</v>
      </c>
      <c r="Q133" s="6" t="str">
        <f aca="false">IF($J133="NA","NA",IF(AND($J133&gt;2009,P133&gt;0),"ERRO","OK"))</f>
        <v>OK</v>
      </c>
      <c r="R133" s="6" t="n">
        <f aca="false">(10-(LEN(S133)))+1</f>
        <v>10</v>
      </c>
      <c r="S133" s="6" t="n">
        <v>0</v>
      </c>
      <c r="T133" s="6" t="str">
        <f aca="false">IF($J133="NA","NA",IF(AND($J133&gt;1999,S133&gt;0),"ERRO","OK"))</f>
        <v>OK</v>
      </c>
      <c r="U133" s="6" t="n">
        <f aca="false">(10-(LEN(V133)))+1</f>
        <v>10</v>
      </c>
      <c r="V133" s="6" t="n">
        <v>0</v>
      </c>
      <c r="W133" s="6" t="str">
        <f aca="false">IF($J133="NA","NA",IF(AND($J133&gt;1989,V133&gt;0),"ERRO","OK"))</f>
        <v>OK</v>
      </c>
      <c r="X133" s="6" t="n">
        <f aca="false">(10-(LEN(Y133)))+1</f>
        <v>10</v>
      </c>
      <c r="Y133" s="6" t="n">
        <v>0</v>
      </c>
      <c r="Z133" s="6" t="str">
        <f aca="false">IF($J133="NA","NA",IF(AND($J133&gt;1979,Y133&gt;0),"ERRO","OK"))</f>
        <v>OK</v>
      </c>
      <c r="AA133" s="6" t="n">
        <f aca="false">(10-(LEN(AB133)))+1</f>
        <v>9</v>
      </c>
      <c r="AB133" s="6" t="n">
        <v>62</v>
      </c>
      <c r="AC133" s="6" t="str">
        <f aca="false">IF($J133="NA","NA",IF(AND($J133&gt;1969,AB133&gt;0),"ERRO","OK"))</f>
        <v>OK</v>
      </c>
      <c r="AD133" s="6" t="n">
        <f aca="false">(10-(LEN(AE133)))+1</f>
        <v>10</v>
      </c>
      <c r="AE133" s="6" t="n">
        <v>0</v>
      </c>
      <c r="AF133" s="6" t="str">
        <f aca="false">IF($J133="NA","NA",IF(AND($J133&gt;1959,AE133&gt;0),"ERRO","OK"))</f>
        <v>OK</v>
      </c>
      <c r="AG133" s="6" t="n">
        <f aca="false">(10-(LEN(AH133)))+1</f>
        <v>10</v>
      </c>
      <c r="AH133" s="6" t="n">
        <v>0</v>
      </c>
      <c r="AI133" s="6" t="str">
        <f aca="false">IF($J133="NA","NA",IF(AND($J133&gt;1949,AH133&gt;0),"ERRO","OK"))</f>
        <v>OK</v>
      </c>
      <c r="AJ133" s="6" t="n">
        <f aca="false">(10-(LEN(AK133)))+1</f>
        <v>10</v>
      </c>
      <c r="AK133" s="6" t="n">
        <v>0</v>
      </c>
      <c r="AL133" s="6" t="str">
        <f aca="false">IF($J133="NA","NA",IF(AND($J133&gt;1939,AK133&gt;0),"ERRO","OK"))</f>
        <v>OK</v>
      </c>
      <c r="AM133" s="6" t="n">
        <f aca="false">(10-(LEN(AN133)))+1</f>
        <v>8</v>
      </c>
      <c r="AN133" s="6" t="n">
        <v>802</v>
      </c>
      <c r="AO133" s="6" t="str">
        <f aca="false">IF($J133="NA","NA",IF(AND($J133&gt;1929,AN133&gt;0),"ERRO","OK"))</f>
        <v>OK</v>
      </c>
      <c r="AP133" s="6" t="n">
        <f aca="false">(10-(LEN(AQ133)))+1</f>
        <v>10</v>
      </c>
      <c r="AQ133" s="6" t="n">
        <v>0</v>
      </c>
      <c r="AR133" s="6" t="str">
        <f aca="false">IF($J133="NA","NA",IF(AND($J133&gt;1919,AQ133&gt;0),"ERRO","OK"))</f>
        <v>OK</v>
      </c>
      <c r="AS133" s="6" t="n">
        <f aca="false">(10-(LEN(AT133)))+1</f>
        <v>10</v>
      </c>
      <c r="AT133" s="6" t="n">
        <v>0</v>
      </c>
      <c r="AU133" s="6" t="str">
        <f aca="false">IF($J133="NA","NA",IF(AND($J133&gt;1909,AT133&gt;0),"ERRO","OK"))</f>
        <v>OK</v>
      </c>
      <c r="AV133" s="6" t="n">
        <f aca="false">(10-(LEN(AW133)))+1</f>
        <v>10</v>
      </c>
      <c r="AW133" s="6" t="n">
        <v>0</v>
      </c>
      <c r="AX133" s="6" t="str">
        <f aca="false">IF($J133="NA","NA",IF(AND($J133&gt;1899,AW133&gt;0),"ERRO","OK"))</f>
        <v>OK</v>
      </c>
    </row>
    <row r="134" customFormat="false" ht="15" hidden="false" customHeight="false" outlineLevel="0" collapsed="false">
      <c r="A134" s="7" t="n">
        <v>131</v>
      </c>
      <c r="B134" s="0" t="s">
        <v>151</v>
      </c>
      <c r="C134" s="8" t="n">
        <v>45309</v>
      </c>
      <c r="D134" s="6" t="n">
        <v>0</v>
      </c>
      <c r="E134" s="0" t="s">
        <v>16</v>
      </c>
      <c r="F134" s="0" t="s">
        <v>17</v>
      </c>
      <c r="G134" s="9" t="str">
        <f aca="false">IF(OR(N134="ERRO",Q134="ERRO",T134="ERRO",W134="ERRO",Z134="ERRO",AC134="ERRO",AF134="ERRO",AI134="ERRO",AL134="ERRO",AO134="ERRO",AR134="ERRO",AU134="ERRO",AX134="ERRO"),"ERRO","OK")</f>
        <v>OK</v>
      </c>
      <c r="H134" s="9" t="n">
        <f aca="false">COUNTIF(L134:AX134,"ERRO")</f>
        <v>0</v>
      </c>
      <c r="I134" s="9" t="s">
        <v>18</v>
      </c>
      <c r="J134" s="10" t="n">
        <v>1875</v>
      </c>
      <c r="K134" s="10" t="n">
        <v>1948</v>
      </c>
      <c r="L134" s="6" t="n">
        <f aca="false">(10-(LEN(M134)))+1</f>
        <v>10</v>
      </c>
      <c r="M134" s="6" t="n">
        <v>0</v>
      </c>
      <c r="N134" s="6" t="str">
        <f aca="false">IF($J134="NA","NA",IF(AND($J134&gt;2019,M134&gt;0),"ERRO","OK"))</f>
        <v>OK</v>
      </c>
      <c r="O134" s="6" t="n">
        <f aca="false">(10-(LEN(P134)))+1</f>
        <v>10</v>
      </c>
      <c r="P134" s="6" t="n">
        <v>0</v>
      </c>
      <c r="Q134" s="6" t="str">
        <f aca="false">IF($J134="NA","NA",IF(AND($J134&gt;2009,P134&gt;0),"ERRO","OK"))</f>
        <v>OK</v>
      </c>
      <c r="R134" s="6" t="n">
        <f aca="false">(10-(LEN(S134)))+1</f>
        <v>10</v>
      </c>
      <c r="S134" s="6" t="n">
        <v>0</v>
      </c>
      <c r="T134" s="6" t="str">
        <f aca="false">IF($J134="NA","NA",IF(AND($J134&gt;1999,S134&gt;0),"ERRO","OK"))</f>
        <v>OK</v>
      </c>
      <c r="U134" s="6" t="n">
        <f aca="false">(10-(LEN(V134)))+1</f>
        <v>9</v>
      </c>
      <c r="V134" s="6" t="n">
        <v>46</v>
      </c>
      <c r="W134" s="6" t="str">
        <f aca="false">IF($J134="NA","NA",IF(AND($J134&gt;1989,V134&gt;0),"ERRO","OK"))</f>
        <v>OK</v>
      </c>
      <c r="X134" s="6" t="n">
        <f aca="false">(10-(LEN(Y134)))+1</f>
        <v>10</v>
      </c>
      <c r="Y134" s="6" t="n">
        <v>0</v>
      </c>
      <c r="Z134" s="6" t="str">
        <f aca="false">IF($J134="NA","NA",IF(AND($J134&gt;1979,Y134&gt;0),"ERRO","OK"))</f>
        <v>OK</v>
      </c>
      <c r="AA134" s="6" t="n">
        <f aca="false">(10-(LEN(AB134)))+1</f>
        <v>10</v>
      </c>
      <c r="AB134" s="6" t="n">
        <v>0</v>
      </c>
      <c r="AC134" s="6" t="str">
        <f aca="false">IF($J134="NA","NA",IF(AND($J134&gt;1969,AB134&gt;0),"ERRO","OK"))</f>
        <v>OK</v>
      </c>
      <c r="AD134" s="6" t="n">
        <f aca="false">(10-(LEN(AE134)))+1</f>
        <v>10</v>
      </c>
      <c r="AE134" s="6" t="n">
        <v>0</v>
      </c>
      <c r="AF134" s="6" t="str">
        <f aca="false">IF($J134="NA","NA",IF(AND($J134&gt;1959,AE134&gt;0),"ERRO","OK"))</f>
        <v>OK</v>
      </c>
      <c r="AG134" s="6" t="n">
        <f aca="false">(10-(LEN(AH134)))+1</f>
        <v>10</v>
      </c>
      <c r="AH134" s="6" t="n">
        <v>0</v>
      </c>
      <c r="AI134" s="6" t="str">
        <f aca="false">IF($J134="NA","NA",IF(AND($J134&gt;1949,AH134&gt;0),"ERRO","OK"))</f>
        <v>OK</v>
      </c>
      <c r="AJ134" s="6" t="n">
        <f aca="false">(10-(LEN(AK134)))+1</f>
        <v>10</v>
      </c>
      <c r="AK134" s="6" t="n">
        <v>0</v>
      </c>
      <c r="AL134" s="6" t="str">
        <f aca="false">IF($J134="NA","NA",IF(AND($J134&gt;1939,AK134&gt;0),"ERRO","OK"))</f>
        <v>OK</v>
      </c>
      <c r="AM134" s="6" t="n">
        <f aca="false">(10-(LEN(AN134)))+1</f>
        <v>10</v>
      </c>
      <c r="AN134" s="6" t="n">
        <v>0</v>
      </c>
      <c r="AO134" s="6" t="str">
        <f aca="false">IF($J134="NA","NA",IF(AND($J134&gt;1929,AN134&gt;0),"ERRO","OK"))</f>
        <v>OK</v>
      </c>
      <c r="AP134" s="6" t="n">
        <f aca="false">(10-(LEN(AQ134)))+1</f>
        <v>10</v>
      </c>
      <c r="AQ134" s="6" t="n">
        <v>0</v>
      </c>
      <c r="AR134" s="6" t="str">
        <f aca="false">IF($J134="NA","NA",IF(AND($J134&gt;1919,AQ134&gt;0),"ERRO","OK"))</f>
        <v>OK</v>
      </c>
      <c r="AS134" s="6" t="n">
        <f aca="false">(10-(LEN(AT134)))+1</f>
        <v>10</v>
      </c>
      <c r="AT134" s="6" t="n">
        <v>0</v>
      </c>
      <c r="AU134" s="6" t="str">
        <f aca="false">IF($J134="NA","NA",IF(AND($J134&gt;1909,AT134&gt;0),"ERRO","OK"))</f>
        <v>OK</v>
      </c>
      <c r="AV134" s="6" t="n">
        <f aca="false">(10-(LEN(AW134)))+1</f>
        <v>10</v>
      </c>
      <c r="AW134" s="6" t="n">
        <v>0</v>
      </c>
      <c r="AX134" s="6" t="str">
        <f aca="false">IF($J134="NA","NA",IF(AND($J134&gt;1899,AW134&gt;0),"ERRO","OK"))</f>
        <v>OK</v>
      </c>
    </row>
    <row r="135" customFormat="false" ht="15" hidden="false" customHeight="false" outlineLevel="0" collapsed="false">
      <c r="A135" s="7" t="n">
        <v>132</v>
      </c>
      <c r="B135" s="0" t="s">
        <v>152</v>
      </c>
      <c r="C135" s="8" t="n">
        <v>45310</v>
      </c>
      <c r="D135" s="6" t="n">
        <v>0</v>
      </c>
      <c r="E135" s="0" t="s">
        <v>16</v>
      </c>
      <c r="F135" s="0" t="s">
        <v>17</v>
      </c>
      <c r="G135" s="9" t="str">
        <f aca="false">IF(OR(N135="ERRO",Q135="ERRO",T135="ERRO",W135="ERRO",Z135="ERRO",AC135="ERRO",AF135="ERRO",AI135="ERRO",AL135="ERRO",AO135="ERRO",AR135="ERRO",AU135="ERRO",AX135="ERRO"),"ERRO","OK")</f>
        <v>OK</v>
      </c>
      <c r="H135" s="9" t="n">
        <f aca="false">COUNTIF(L135:AX135,"ERRO")</f>
        <v>0</v>
      </c>
      <c r="I135" s="9" t="s">
        <v>18</v>
      </c>
      <c r="J135" s="10" t="n">
        <v>1886</v>
      </c>
      <c r="K135" s="10" t="n">
        <v>1966</v>
      </c>
      <c r="L135" s="6" t="n">
        <f aca="false">(10-(LEN(M135)))+1</f>
        <v>7</v>
      </c>
      <c r="M135" s="6" t="n">
        <v>8579</v>
      </c>
      <c r="N135" s="6" t="str">
        <f aca="false">IF($J135="NA","NA",IF(AND($J135&gt;2019,M135&gt;0),"ERRO","OK"))</f>
        <v>OK</v>
      </c>
      <c r="O135" s="6" t="n">
        <f aca="false">(10-(LEN(P135)))+1</f>
        <v>6</v>
      </c>
      <c r="P135" s="6" t="n">
        <v>12555</v>
      </c>
      <c r="Q135" s="6" t="str">
        <f aca="false">IF($J135="NA","NA",IF(AND($J135&gt;2009,P135&gt;0),"ERRO","OK"))</f>
        <v>OK</v>
      </c>
      <c r="R135" s="6" t="n">
        <f aca="false">(10-(LEN(S135)))+1</f>
        <v>6</v>
      </c>
      <c r="S135" s="6" t="n">
        <v>15504</v>
      </c>
      <c r="T135" s="6" t="str">
        <f aca="false">IF($J135="NA","NA",IF(AND($J135&gt;1999,S135&gt;0),"ERRO","OK"))</f>
        <v>OK</v>
      </c>
      <c r="U135" s="6" t="n">
        <f aca="false">(10-(LEN(V135)))+1</f>
        <v>6</v>
      </c>
      <c r="V135" s="6" t="n">
        <v>21984</v>
      </c>
      <c r="W135" s="6" t="str">
        <f aca="false">IF($J135="NA","NA",IF(AND($J135&gt;1989,V135&gt;0),"ERRO","OK"))</f>
        <v>OK</v>
      </c>
      <c r="X135" s="6" t="n">
        <f aca="false">(10-(LEN(Y135)))+1</f>
        <v>6</v>
      </c>
      <c r="Y135" s="6" t="n">
        <v>25738</v>
      </c>
      <c r="Z135" s="6" t="str">
        <f aca="false">IF($J135="NA","NA",IF(AND($J135&gt;1979,Y135&gt;0),"ERRO","OK"))</f>
        <v>OK</v>
      </c>
      <c r="AA135" s="6" t="n">
        <f aca="false">(10-(LEN(AB135)))+1</f>
        <v>6</v>
      </c>
      <c r="AB135" s="6" t="n">
        <v>19865</v>
      </c>
      <c r="AC135" s="6" t="str">
        <f aca="false">IF($J135="NA","NA",IF(AND($J135&gt;1969,AB135&gt;0),"ERRO","OK"))</f>
        <v>OK</v>
      </c>
      <c r="AD135" s="6" t="n">
        <f aca="false">(10-(LEN(AE135)))+1</f>
        <v>6</v>
      </c>
      <c r="AE135" s="6" t="n">
        <v>14981</v>
      </c>
      <c r="AF135" s="6" t="str">
        <f aca="false">IF($J135="NA","NA",IF(AND($J135&gt;1959,AE135&gt;0),"ERRO","OK"))</f>
        <v>OK</v>
      </c>
      <c r="AG135" s="6" t="n">
        <f aca="false">(10-(LEN(AH135)))+1</f>
        <v>6</v>
      </c>
      <c r="AH135" s="6" t="n">
        <v>11014</v>
      </c>
      <c r="AI135" s="6" t="str">
        <f aca="false">IF($J135="NA","NA",IF(AND($J135&gt;1949,AH135&gt;0),"ERRO","OK"))</f>
        <v>OK</v>
      </c>
      <c r="AJ135" s="6" t="n">
        <f aca="false">(10-(LEN(AK135)))+1</f>
        <v>7</v>
      </c>
      <c r="AK135" s="6" t="n">
        <v>1671</v>
      </c>
      <c r="AL135" s="6" t="str">
        <f aca="false">IF($J135="NA","NA",IF(AND($J135&gt;1939,AK135&gt;0),"ERRO","OK"))</f>
        <v>OK</v>
      </c>
      <c r="AM135" s="6" t="n">
        <f aca="false">(10-(LEN(AN135)))+1</f>
        <v>8</v>
      </c>
      <c r="AN135" s="6" t="n">
        <v>152</v>
      </c>
      <c r="AO135" s="6" t="str">
        <f aca="false">IF($J135="NA","NA",IF(AND($J135&gt;1929,AN135&gt;0),"ERRO","OK"))</f>
        <v>OK</v>
      </c>
      <c r="AP135" s="6" t="n">
        <f aca="false">(10-(LEN(AQ135)))+1</f>
        <v>10</v>
      </c>
      <c r="AQ135" s="6" t="n">
        <v>0</v>
      </c>
      <c r="AR135" s="6" t="str">
        <f aca="false">IF($J135="NA","NA",IF(AND($J135&gt;1919,AQ135&gt;0),"ERRO","OK"))</f>
        <v>OK</v>
      </c>
      <c r="AS135" s="6" t="n">
        <f aca="false">(10-(LEN(AT135)))+1</f>
        <v>10</v>
      </c>
      <c r="AT135" s="6" t="n">
        <v>0</v>
      </c>
      <c r="AU135" s="6" t="str">
        <f aca="false">IF($J135="NA","NA",IF(AND($J135&gt;1909,AT135&gt;0),"ERRO","OK"))</f>
        <v>OK</v>
      </c>
      <c r="AV135" s="6" t="n">
        <f aca="false">(10-(LEN(AW135)))+1</f>
        <v>10</v>
      </c>
      <c r="AW135" s="6" t="n">
        <v>0</v>
      </c>
      <c r="AX135" s="6" t="str">
        <f aca="false">IF($J135="NA","NA",IF(AND($J135&gt;1899,AW135&gt;0),"ERRO","OK"))</f>
        <v>OK</v>
      </c>
    </row>
    <row r="136" customFormat="false" ht="15" hidden="false" customHeight="false" outlineLevel="0" collapsed="false">
      <c r="A136" s="7" t="n">
        <v>133</v>
      </c>
      <c r="B136" s="0" t="s">
        <v>153</v>
      </c>
      <c r="C136" s="8" t="n">
        <v>45310</v>
      </c>
      <c r="D136" s="6" t="n">
        <v>0</v>
      </c>
      <c r="E136" s="0" t="s">
        <v>16</v>
      </c>
      <c r="F136" s="0" t="s">
        <v>17</v>
      </c>
      <c r="G136" s="9" t="str">
        <f aca="false">IF(OR(N136="ERRO",Q136="ERRO",T136="ERRO",W136="ERRO",Z136="ERRO",AC136="ERRO",AF136="ERRO",AI136="ERRO",AL136="ERRO",AO136="ERRO",AR136="ERRO",AU136="ERRO",AX136="ERRO"),"ERRO","OK")</f>
        <v>OK</v>
      </c>
      <c r="H136" s="9" t="n">
        <f aca="false">COUNTIF(L136:AX136,"ERRO")</f>
        <v>0</v>
      </c>
      <c r="I136" s="9" t="s">
        <v>18</v>
      </c>
      <c r="J136" s="10" t="n">
        <v>1898</v>
      </c>
      <c r="K136" s="10" t="n">
        <v>1979</v>
      </c>
      <c r="L136" s="6" t="n">
        <f aca="false">(10-(LEN(M136)))+1</f>
        <v>10</v>
      </c>
      <c r="M136" s="6" t="n">
        <v>0</v>
      </c>
      <c r="N136" s="6" t="str">
        <f aca="false">IF($J136="NA","NA",IF(AND($J136&gt;2019,M136&gt;0),"ERRO","OK"))</f>
        <v>OK</v>
      </c>
      <c r="O136" s="6" t="n">
        <f aca="false">(10-(LEN(P136)))+1</f>
        <v>10</v>
      </c>
      <c r="P136" s="6" t="n">
        <v>0</v>
      </c>
      <c r="Q136" s="6" t="str">
        <f aca="false">IF($J136="NA","NA",IF(AND($J136&gt;2009,P136&gt;0),"ERRO","OK"))</f>
        <v>OK</v>
      </c>
      <c r="R136" s="6" t="n">
        <f aca="false">(10-(LEN(S136)))+1</f>
        <v>10</v>
      </c>
      <c r="S136" s="6" t="n">
        <v>0</v>
      </c>
      <c r="T136" s="6" t="str">
        <f aca="false">IF($J136="NA","NA",IF(AND($J136&gt;1999,S136&gt;0),"ERRO","OK"))</f>
        <v>OK</v>
      </c>
      <c r="U136" s="6" t="n">
        <f aca="false">(10-(LEN(V136)))+1</f>
        <v>10</v>
      </c>
      <c r="V136" s="6" t="n">
        <v>0</v>
      </c>
      <c r="W136" s="6" t="str">
        <f aca="false">IF($J136="NA","NA",IF(AND($J136&gt;1989,V136&gt;0),"ERRO","OK"))</f>
        <v>OK</v>
      </c>
      <c r="X136" s="6" t="n">
        <f aca="false">(10-(LEN(Y136)))+1</f>
        <v>10</v>
      </c>
      <c r="Y136" s="6" t="n">
        <v>0</v>
      </c>
      <c r="Z136" s="6" t="str">
        <f aca="false">IF($J136="NA","NA",IF(AND($J136&gt;1979,Y136&gt;0),"ERRO","OK"))</f>
        <v>OK</v>
      </c>
      <c r="AA136" s="6" t="n">
        <f aca="false">(10-(LEN(AB136)))+1</f>
        <v>10</v>
      </c>
      <c r="AB136" s="6" t="n">
        <v>0</v>
      </c>
      <c r="AC136" s="6" t="str">
        <f aca="false">IF($J136="NA","NA",IF(AND($J136&gt;1969,AB136&gt;0),"ERRO","OK"))</f>
        <v>OK</v>
      </c>
      <c r="AD136" s="6" t="n">
        <f aca="false">(10-(LEN(AE136)))+1</f>
        <v>10</v>
      </c>
      <c r="AE136" s="6" t="n">
        <v>0</v>
      </c>
      <c r="AF136" s="6" t="str">
        <f aca="false">IF($J136="NA","NA",IF(AND($J136&gt;1959,AE136&gt;0),"ERRO","OK"))</f>
        <v>OK</v>
      </c>
      <c r="AG136" s="6" t="n">
        <f aca="false">(10-(LEN(AH136)))+1</f>
        <v>10</v>
      </c>
      <c r="AH136" s="6" t="n">
        <v>0</v>
      </c>
      <c r="AI136" s="6" t="str">
        <f aca="false">IF($J136="NA","NA",IF(AND($J136&gt;1949,AH136&gt;0),"ERRO","OK"))</f>
        <v>OK</v>
      </c>
      <c r="AJ136" s="6" t="n">
        <f aca="false">(10-(LEN(AK136)))+1</f>
        <v>10</v>
      </c>
      <c r="AK136" s="6" t="n">
        <v>0</v>
      </c>
      <c r="AL136" s="6" t="str">
        <f aca="false">IF($J136="NA","NA",IF(AND($J136&gt;1939,AK136&gt;0),"ERRO","OK"))</f>
        <v>OK</v>
      </c>
      <c r="AM136" s="6" t="n">
        <f aca="false">(10-(LEN(AN136)))+1</f>
        <v>10</v>
      </c>
      <c r="AN136" s="6" t="n">
        <v>0</v>
      </c>
      <c r="AO136" s="6" t="str">
        <f aca="false">IF($J136="NA","NA",IF(AND($J136&gt;1929,AN136&gt;0),"ERRO","OK"))</f>
        <v>OK</v>
      </c>
      <c r="AP136" s="6" t="n">
        <f aca="false">(10-(LEN(AQ136)))+1</f>
        <v>10</v>
      </c>
      <c r="AQ136" s="6" t="n">
        <v>0</v>
      </c>
      <c r="AR136" s="6" t="str">
        <f aca="false">IF($J136="NA","NA",IF(AND($J136&gt;1919,AQ136&gt;0),"ERRO","OK"))</f>
        <v>OK</v>
      </c>
      <c r="AS136" s="6" t="n">
        <f aca="false">(10-(LEN(AT136)))+1</f>
        <v>10</v>
      </c>
      <c r="AT136" s="6" t="n">
        <v>0</v>
      </c>
      <c r="AU136" s="6" t="str">
        <f aca="false">IF($J136="NA","NA",IF(AND($J136&gt;1909,AT136&gt;0),"ERRO","OK"))</f>
        <v>OK</v>
      </c>
      <c r="AV136" s="6" t="n">
        <f aca="false">(10-(LEN(AW136)))+1</f>
        <v>10</v>
      </c>
      <c r="AW136" s="6" t="n">
        <v>0</v>
      </c>
      <c r="AX136" s="6" t="str">
        <f aca="false">IF($J136="NA","NA",IF(AND($J136&gt;1899,AW136&gt;0),"ERRO","OK"))</f>
        <v>OK</v>
      </c>
    </row>
    <row r="137" customFormat="false" ht="15" hidden="false" customHeight="false" outlineLevel="0" collapsed="false">
      <c r="A137" s="7" t="n">
        <v>134</v>
      </c>
      <c r="B137" s="0" t="s">
        <v>154</v>
      </c>
      <c r="C137" s="8" t="n">
        <v>45310</v>
      </c>
      <c r="D137" s="6" t="n">
        <v>0</v>
      </c>
      <c r="E137" s="0" t="s">
        <v>16</v>
      </c>
      <c r="F137" s="0" t="s">
        <v>17</v>
      </c>
      <c r="G137" s="9" t="str">
        <f aca="false">IF(OR(N137="ERRO",Q137="ERRO",T137="ERRO",W137="ERRO",Z137="ERRO",AC137="ERRO",AF137="ERRO",AI137="ERRO",AL137="ERRO",AO137="ERRO",AR137="ERRO",AU137="ERRO",AX137="ERRO"),"ERRO","OK")</f>
        <v>OK</v>
      </c>
      <c r="H137" s="9" t="n">
        <f aca="false">COUNTIF(L137:AX137,"ERRO")</f>
        <v>0</v>
      </c>
      <c r="I137" s="9" t="s">
        <v>18</v>
      </c>
      <c r="J137" s="10" t="n">
        <v>1876</v>
      </c>
      <c r="K137" s="10" t="n">
        <v>1954</v>
      </c>
      <c r="L137" s="6" t="n">
        <f aca="false">(10-(LEN(M137)))+1</f>
        <v>8</v>
      </c>
      <c r="M137" s="6" t="n">
        <v>208</v>
      </c>
      <c r="N137" s="6" t="str">
        <f aca="false">IF($J137="NA","NA",IF(AND($J137&gt;2019,M137&gt;0),"ERRO","OK"))</f>
        <v>OK</v>
      </c>
      <c r="O137" s="6" t="n">
        <f aca="false">(10-(LEN(P137)))+1</f>
        <v>8</v>
      </c>
      <c r="P137" s="6" t="n">
        <v>240</v>
      </c>
      <c r="Q137" s="6" t="str">
        <f aca="false">IF($J137="NA","NA",IF(AND($J137&gt;2009,P137&gt;0),"ERRO","OK"))</f>
        <v>OK</v>
      </c>
      <c r="R137" s="6" t="n">
        <f aca="false">(10-(LEN(S137)))+1</f>
        <v>7</v>
      </c>
      <c r="S137" s="6" t="n">
        <v>1176</v>
      </c>
      <c r="T137" s="6" t="str">
        <f aca="false">IF($J137="NA","NA",IF(AND($J137&gt;1999,S137&gt;0),"ERRO","OK"))</f>
        <v>OK</v>
      </c>
      <c r="U137" s="6" t="n">
        <f aca="false">(10-(LEN(V137)))+1</f>
        <v>8</v>
      </c>
      <c r="V137" s="6" t="n">
        <v>644</v>
      </c>
      <c r="W137" s="6" t="str">
        <f aca="false">IF($J137="NA","NA",IF(AND($J137&gt;1989,V137&gt;0),"ERRO","OK"))</f>
        <v>OK</v>
      </c>
      <c r="X137" s="6" t="n">
        <f aca="false">(10-(LEN(Y137)))+1</f>
        <v>8</v>
      </c>
      <c r="Y137" s="6" t="n">
        <v>803</v>
      </c>
      <c r="Z137" s="6" t="str">
        <f aca="false">IF($J137="NA","NA",IF(AND($J137&gt;1979,Y137&gt;0),"ERRO","OK"))</f>
        <v>OK</v>
      </c>
      <c r="AA137" s="6" t="n">
        <f aca="false">(10-(LEN(AB137)))+1</f>
        <v>8</v>
      </c>
      <c r="AB137" s="6" t="n">
        <v>527</v>
      </c>
      <c r="AC137" s="6" t="str">
        <f aca="false">IF($J137="NA","NA",IF(AND($J137&gt;1969,AB137&gt;0),"ERRO","OK"))</f>
        <v>OK</v>
      </c>
      <c r="AD137" s="6" t="n">
        <f aca="false">(10-(LEN(AE137)))+1</f>
        <v>8</v>
      </c>
      <c r="AE137" s="6" t="n">
        <v>987</v>
      </c>
      <c r="AF137" s="6" t="str">
        <f aca="false">IF($J137="NA","NA",IF(AND($J137&gt;1959,AE137&gt;0),"ERRO","OK"))</f>
        <v>OK</v>
      </c>
      <c r="AG137" s="6" t="n">
        <f aca="false">(10-(LEN(AH137)))+1</f>
        <v>8</v>
      </c>
      <c r="AH137" s="6" t="n">
        <v>441</v>
      </c>
      <c r="AI137" s="6" t="str">
        <f aca="false">IF($J137="NA","NA",IF(AND($J137&gt;1949,AH137&gt;0),"ERRO","OK"))</f>
        <v>OK</v>
      </c>
      <c r="AJ137" s="6" t="n">
        <f aca="false">(10-(LEN(AK137)))+1</f>
        <v>8</v>
      </c>
      <c r="AK137" s="6" t="n">
        <v>418</v>
      </c>
      <c r="AL137" s="6" t="str">
        <f aca="false">IF($J137="NA","NA",IF(AND($J137&gt;1939,AK137&gt;0),"ERRO","OK"))</f>
        <v>OK</v>
      </c>
      <c r="AM137" s="6" t="n">
        <f aca="false">(10-(LEN(AN137)))+1</f>
        <v>7</v>
      </c>
      <c r="AN137" s="6" t="n">
        <v>1523</v>
      </c>
      <c r="AO137" s="6" t="str">
        <f aca="false">IF($J137="NA","NA",IF(AND($J137&gt;1929,AN137&gt;0),"ERRO","OK"))</f>
        <v>OK</v>
      </c>
      <c r="AP137" s="6" t="n">
        <f aca="false">(10-(LEN(AQ137)))+1</f>
        <v>8</v>
      </c>
      <c r="AQ137" s="6" t="n">
        <v>100</v>
      </c>
      <c r="AR137" s="6" t="str">
        <f aca="false">IF($J137="NA","NA",IF(AND($J137&gt;1919,AQ137&gt;0),"ERRO","OK"))</f>
        <v>OK</v>
      </c>
      <c r="AS137" s="6" t="n">
        <f aca="false">(10-(LEN(AT137)))+1</f>
        <v>7</v>
      </c>
      <c r="AT137" s="6" t="n">
        <v>1134</v>
      </c>
      <c r="AU137" s="6" t="str">
        <f aca="false">IF($J137="NA","NA",IF(AND($J137&gt;1909,AT137&gt;0),"ERRO","OK"))</f>
        <v>OK</v>
      </c>
      <c r="AV137" s="6" t="n">
        <f aca="false">(10-(LEN(AW137)))+1</f>
        <v>8</v>
      </c>
      <c r="AW137" s="6" t="n">
        <v>903</v>
      </c>
      <c r="AX137" s="6" t="str">
        <f aca="false">IF($J137="NA","NA",IF(AND($J137&gt;1899,AW137&gt;0),"ERRO","OK"))</f>
        <v>OK</v>
      </c>
    </row>
    <row r="138" customFormat="false" ht="15" hidden="false" customHeight="false" outlineLevel="0" collapsed="false">
      <c r="A138" s="7" t="n">
        <v>135</v>
      </c>
      <c r="B138" s="0" t="s">
        <v>155</v>
      </c>
      <c r="C138" s="8" t="n">
        <v>45310</v>
      </c>
      <c r="D138" s="6" t="n">
        <v>0</v>
      </c>
      <c r="E138" s="0" t="s">
        <v>16</v>
      </c>
      <c r="F138" s="0" t="s">
        <v>17</v>
      </c>
      <c r="G138" s="9" t="str">
        <f aca="false">IF(OR(N138="ERRO",Q138="ERRO",T138="ERRO",W138="ERRO",Z138="ERRO",AC138="ERRO",AF138="ERRO",AI138="ERRO",AL138="ERRO",AO138="ERRO",AR138="ERRO",AU138="ERRO",AX138="ERRO"),"ERRO","OK")</f>
        <v>OK</v>
      </c>
      <c r="H138" s="9" t="n">
        <f aca="false">COUNTIF(L138:AX138,"ERRO")</f>
        <v>0</v>
      </c>
      <c r="I138" s="9" t="s">
        <v>104</v>
      </c>
      <c r="J138" s="10" t="n">
        <v>1887</v>
      </c>
      <c r="K138" s="10" t="n">
        <v>1968</v>
      </c>
      <c r="L138" s="6" t="n">
        <f aca="false">(10-(LEN(M138)))+1</f>
        <v>6</v>
      </c>
      <c r="M138" s="6" t="n">
        <v>27069</v>
      </c>
      <c r="N138" s="6" t="str">
        <f aca="false">IF($J138="NA","NA",IF(AND($J138&gt;2019,M138&gt;0),"ERRO","OK"))</f>
        <v>OK</v>
      </c>
      <c r="O138" s="6" t="n">
        <f aca="false">(10-(LEN(P138)))+1</f>
        <v>6</v>
      </c>
      <c r="P138" s="6" t="n">
        <v>42160</v>
      </c>
      <c r="Q138" s="6" t="str">
        <f aca="false">IF($J138="NA","NA",IF(AND($J138&gt;2009,P138&gt;0),"ERRO","OK"))</f>
        <v>OK</v>
      </c>
      <c r="R138" s="6" t="n">
        <f aca="false">(10-(LEN(S138)))+1</f>
        <v>6</v>
      </c>
      <c r="S138" s="6" t="n">
        <v>43738</v>
      </c>
      <c r="T138" s="6" t="str">
        <f aca="false">IF($J138="NA","NA",IF(AND($J138&gt;1999,S138&gt;0),"ERRO","OK"))</f>
        <v>OK</v>
      </c>
      <c r="U138" s="6" t="n">
        <f aca="false">(10-(LEN(V138)))+1</f>
        <v>6</v>
      </c>
      <c r="V138" s="6" t="n">
        <v>47280</v>
      </c>
      <c r="W138" s="6" t="str">
        <f aca="false">IF($J138="NA","NA",IF(AND($J138&gt;1989,V138&gt;0),"ERRO","OK"))</f>
        <v>OK</v>
      </c>
      <c r="X138" s="6" t="n">
        <f aca="false">(10-(LEN(Y138)))+1</f>
        <v>6</v>
      </c>
      <c r="Y138" s="6" t="n">
        <v>56399</v>
      </c>
      <c r="Z138" s="6" t="str">
        <f aca="false">IF($J138="NA","NA",IF(AND($J138&gt;1979,Y138&gt;0),"ERRO","OK"))</f>
        <v>OK</v>
      </c>
      <c r="AA138" s="6" t="n">
        <f aca="false">(10-(LEN(AB138)))+1</f>
        <v>6</v>
      </c>
      <c r="AB138" s="6" t="n">
        <v>66860</v>
      </c>
      <c r="AC138" s="6" t="str">
        <f aca="false">IF($J138="NA","NA",IF(AND($J138&gt;1969,AB138&gt;0),"ERRO","OK"))</f>
        <v>OK</v>
      </c>
      <c r="AD138" s="6" t="n">
        <f aca="false">(10-(LEN(AE138)))+1</f>
        <v>6</v>
      </c>
      <c r="AE138" s="6" t="n">
        <v>67906</v>
      </c>
      <c r="AF138" s="6" t="str">
        <f aca="false">IF($J138="NA","NA",IF(AND($J138&gt;1959,AE138&gt;0),"ERRO","OK"))</f>
        <v>OK</v>
      </c>
      <c r="AG138" s="6" t="n">
        <f aca="false">(10-(LEN(AH138)))+1</f>
        <v>6</v>
      </c>
      <c r="AH138" s="6" t="n">
        <v>63549</v>
      </c>
      <c r="AI138" s="6" t="str">
        <f aca="false">IF($J138="NA","NA",IF(AND($J138&gt;1949,AH138&gt;0),"ERRO","OK"))</f>
        <v>OK</v>
      </c>
      <c r="AJ138" s="6" t="n">
        <f aca="false">(10-(LEN(AK138)))+1</f>
        <v>6</v>
      </c>
      <c r="AK138" s="6" t="n">
        <v>94835</v>
      </c>
      <c r="AL138" s="6" t="str">
        <f aca="false">IF($J138="NA","NA",IF(AND($J138&gt;1939,AK138&gt;0),"ERRO","OK"))</f>
        <v>OK</v>
      </c>
      <c r="AM138" s="6" t="n">
        <f aca="false">(10-(LEN(AN138)))+1</f>
        <v>5</v>
      </c>
      <c r="AN138" s="6" t="n">
        <v>125572</v>
      </c>
      <c r="AO138" s="6" t="str">
        <f aca="false">IF($J138="NA","NA",IF(AND($J138&gt;1929,AN138&gt;0),"ERRO","OK"))</f>
        <v>OK</v>
      </c>
      <c r="AP138" s="6" t="n">
        <f aca="false">(10-(LEN(AQ138)))+1</f>
        <v>6</v>
      </c>
      <c r="AQ138" s="6" t="n">
        <v>25828</v>
      </c>
      <c r="AR138" s="6" t="str">
        <f aca="false">IF($J138="NA","NA",IF(AND($J138&gt;1919,AQ138&gt;0),"ERRO","OK"))</f>
        <v>OK</v>
      </c>
      <c r="AS138" s="6" t="n">
        <f aca="false">(10-(LEN(AT138)))+1</f>
        <v>5</v>
      </c>
      <c r="AT138" s="6" t="n">
        <v>184699</v>
      </c>
      <c r="AU138" s="6" t="str">
        <f aca="false">IF($J138="NA","NA",IF(AND($J138&gt;1909,AT138&gt;0),"ERRO","OK"))</f>
        <v>OK</v>
      </c>
      <c r="AV138" s="6" t="n">
        <f aca="false">(10-(LEN(AW138)))+1</f>
        <v>5</v>
      </c>
      <c r="AW138" s="6" t="n">
        <v>176063</v>
      </c>
      <c r="AX138" s="6" t="str">
        <f aca="false">IF($J138="NA","NA",IF(AND($J138&gt;1899,AW138&gt;0),"ERRO","OK"))</f>
        <v>OK</v>
      </c>
    </row>
    <row r="139" customFormat="false" ht="15" hidden="false" customHeight="false" outlineLevel="0" collapsed="false">
      <c r="A139" s="7" t="n">
        <v>136</v>
      </c>
      <c r="B139" s="0" t="s">
        <v>156</v>
      </c>
      <c r="C139" s="8" t="n">
        <v>45310</v>
      </c>
      <c r="D139" s="6" t="n">
        <v>0</v>
      </c>
      <c r="E139" s="0" t="s">
        <v>16</v>
      </c>
      <c r="F139" s="0" t="s">
        <v>17</v>
      </c>
      <c r="G139" s="9" t="str">
        <f aca="false">IF(OR(N139="ERRO",Q139="ERRO",T139="ERRO",W139="ERRO",Z139="ERRO",AC139="ERRO",AF139="ERRO",AI139="ERRO",AL139="ERRO",AO139="ERRO",AR139="ERRO",AU139="ERRO",AX139="ERRO"),"ERRO","OK")</f>
        <v>OK</v>
      </c>
      <c r="H139" s="9" t="n">
        <f aca="false">COUNTIF(L139:AX139,"ERRO")</f>
        <v>0</v>
      </c>
      <c r="I139" s="9" t="s">
        <v>18</v>
      </c>
      <c r="J139" s="10" t="n">
        <v>1890</v>
      </c>
      <c r="K139" s="10" t="n">
        <v>1977</v>
      </c>
      <c r="L139" s="6" t="n">
        <f aca="false">(10-(LEN(M139)))+1</f>
        <v>6</v>
      </c>
      <c r="M139" s="6" t="n">
        <v>17324</v>
      </c>
      <c r="N139" s="6" t="str">
        <f aca="false">IF($J139="NA","NA",IF(AND($J139&gt;2019,M139&gt;0),"ERRO","OK"))</f>
        <v>OK</v>
      </c>
      <c r="O139" s="6" t="n">
        <f aca="false">(10-(LEN(P139)))+1</f>
        <v>6</v>
      </c>
      <c r="P139" s="6" t="n">
        <v>10806</v>
      </c>
      <c r="Q139" s="6" t="str">
        <f aca="false">IF($J139="NA","NA",IF(AND($J139&gt;2009,P139&gt;0),"ERRO","OK"))</f>
        <v>OK</v>
      </c>
      <c r="R139" s="6" t="n">
        <f aca="false">(10-(LEN(S139)))+1</f>
        <v>6</v>
      </c>
      <c r="S139" s="6" t="n">
        <v>15798</v>
      </c>
      <c r="T139" s="6" t="str">
        <f aca="false">IF($J139="NA","NA",IF(AND($J139&gt;1999,S139&gt;0),"ERRO","OK"))</f>
        <v>OK</v>
      </c>
      <c r="U139" s="6" t="n">
        <f aca="false">(10-(LEN(V139)))+1</f>
        <v>6</v>
      </c>
      <c r="V139" s="6" t="n">
        <v>16787</v>
      </c>
      <c r="W139" s="6" t="str">
        <f aca="false">IF($J139="NA","NA",IF(AND($J139&gt;1989,V139&gt;0),"ERRO","OK"))</f>
        <v>OK</v>
      </c>
      <c r="X139" s="6" t="n">
        <f aca="false">(10-(LEN(Y139)))+1</f>
        <v>6</v>
      </c>
      <c r="Y139" s="6" t="n">
        <v>18300</v>
      </c>
      <c r="Z139" s="6" t="str">
        <f aca="false">IF($J139="NA","NA",IF(AND($J139&gt;1979,Y139&gt;0),"ERRO","OK"))</f>
        <v>OK</v>
      </c>
      <c r="AA139" s="6" t="n">
        <f aca="false">(10-(LEN(AB139)))+1</f>
        <v>6</v>
      </c>
      <c r="AB139" s="6" t="n">
        <v>21095</v>
      </c>
      <c r="AC139" s="6" t="str">
        <f aca="false">IF($J139="NA","NA",IF(AND($J139&gt;1969,AB139&gt;0),"ERRO","OK"))</f>
        <v>OK</v>
      </c>
      <c r="AD139" s="6" t="n">
        <f aca="false">(10-(LEN(AE139)))+1</f>
        <v>6</v>
      </c>
      <c r="AE139" s="6" t="n">
        <v>12917</v>
      </c>
      <c r="AF139" s="6" t="str">
        <f aca="false">IF($J139="NA","NA",IF(AND($J139&gt;1959,AE139&gt;0),"ERRO","OK"))</f>
        <v>OK</v>
      </c>
      <c r="AG139" s="6" t="n">
        <f aca="false">(10-(LEN(AH139)))+1</f>
        <v>6</v>
      </c>
      <c r="AH139" s="6" t="n">
        <v>10904</v>
      </c>
      <c r="AI139" s="6" t="str">
        <f aca="false">IF($J139="NA","NA",IF(AND($J139&gt;1949,AH139&gt;0),"ERRO","OK"))</f>
        <v>OK</v>
      </c>
      <c r="AJ139" s="6" t="n">
        <f aca="false">(10-(LEN(AK139)))+1</f>
        <v>7</v>
      </c>
      <c r="AK139" s="6" t="n">
        <v>5570</v>
      </c>
      <c r="AL139" s="6" t="str">
        <f aca="false">IF($J139="NA","NA",IF(AND($J139&gt;1939,AK139&gt;0),"ERRO","OK"))</f>
        <v>OK</v>
      </c>
      <c r="AM139" s="6" t="n">
        <f aca="false">(10-(LEN(AN139)))+1</f>
        <v>10</v>
      </c>
      <c r="AN139" s="6" t="n">
        <v>0</v>
      </c>
      <c r="AO139" s="6" t="str">
        <f aca="false">IF($J139="NA","NA",IF(AND($J139&gt;1929,AN139&gt;0),"ERRO","OK"))</f>
        <v>OK</v>
      </c>
      <c r="AP139" s="6" t="n">
        <f aca="false">(10-(LEN(AQ139)))+1</f>
        <v>10</v>
      </c>
      <c r="AQ139" s="6" t="n">
        <v>0</v>
      </c>
      <c r="AR139" s="6" t="str">
        <f aca="false">IF($J139="NA","NA",IF(AND($J139&gt;1919,AQ139&gt;0),"ERRO","OK"))</f>
        <v>OK</v>
      </c>
      <c r="AS139" s="6" t="n">
        <f aca="false">(10-(LEN(AT139)))+1</f>
        <v>10</v>
      </c>
      <c r="AT139" s="6" t="n">
        <v>0</v>
      </c>
      <c r="AU139" s="6" t="str">
        <f aca="false">IF($J139="NA","NA",IF(AND($J139&gt;1909,AT139&gt;0),"ERRO","OK"))</f>
        <v>OK</v>
      </c>
      <c r="AV139" s="6" t="n">
        <f aca="false">(10-(LEN(AW139)))+1</f>
        <v>10</v>
      </c>
      <c r="AW139" s="6" t="n">
        <v>0</v>
      </c>
      <c r="AX139" s="6" t="str">
        <f aca="false">IF($J139="NA","NA",IF(AND($J139&gt;1899,AW139&gt;0),"ERRO","OK"))</f>
        <v>OK</v>
      </c>
    </row>
    <row r="140" customFormat="false" ht="15" hidden="false" customHeight="false" outlineLevel="0" collapsed="false">
      <c r="A140" s="7" t="n">
        <v>137</v>
      </c>
      <c r="B140" s="0" t="s">
        <v>157</v>
      </c>
      <c r="C140" s="8" t="n">
        <v>45310</v>
      </c>
      <c r="D140" s="6" t="n">
        <v>0</v>
      </c>
      <c r="E140" s="0" t="s">
        <v>16</v>
      </c>
      <c r="F140" s="0" t="s">
        <v>17</v>
      </c>
      <c r="G140" s="9" t="str">
        <f aca="false">IF(OR(N140="ERRO",Q140="ERRO",T140="ERRO",W140="ERRO",Z140="ERRO",AC140="ERRO",AF140="ERRO",AI140="ERRO",AL140="ERRO",AO140="ERRO",AR140="ERRO",AU140="ERRO",AX140="ERRO"),"ERRO","OK")</f>
        <v>OK</v>
      </c>
      <c r="H140" s="9" t="n">
        <f aca="false">COUNTIF(L140:AX140,"ERRO")</f>
        <v>0</v>
      </c>
      <c r="I140" s="9" t="s">
        <v>18</v>
      </c>
      <c r="J140" s="10" t="n">
        <v>1884</v>
      </c>
      <c r="K140" s="10" t="n">
        <v>1962</v>
      </c>
      <c r="L140" s="6" t="n">
        <f aca="false">(10-(LEN(M140)))+1</f>
        <v>7</v>
      </c>
      <c r="M140" s="6" t="n">
        <v>2832</v>
      </c>
      <c r="N140" s="6" t="str">
        <f aca="false">IF($J140="NA","NA",IF(AND($J140&gt;2019,M140&gt;0),"ERRO","OK"))</f>
        <v>OK</v>
      </c>
      <c r="O140" s="6" t="n">
        <f aca="false">(10-(LEN(P140)))+1</f>
        <v>7</v>
      </c>
      <c r="P140" s="6" t="n">
        <v>2607</v>
      </c>
      <c r="Q140" s="6" t="str">
        <f aca="false">IF($J140="NA","NA",IF(AND($J140&gt;2009,P140&gt;0),"ERRO","OK"))</f>
        <v>OK</v>
      </c>
      <c r="R140" s="6" t="n">
        <f aca="false">(10-(LEN(S140)))+1</f>
        <v>7</v>
      </c>
      <c r="S140" s="6" t="n">
        <v>5210</v>
      </c>
      <c r="T140" s="6" t="str">
        <f aca="false">IF($J140="NA","NA",IF(AND($J140&gt;1999,S140&gt;0),"ERRO","OK"))</f>
        <v>OK</v>
      </c>
      <c r="U140" s="6" t="n">
        <f aca="false">(10-(LEN(V140)))+1</f>
        <v>7</v>
      </c>
      <c r="V140" s="6" t="n">
        <v>5749</v>
      </c>
      <c r="W140" s="6" t="str">
        <f aca="false">IF($J140="NA","NA",IF(AND($J140&gt;1989,V140&gt;0),"ERRO","OK"))</f>
        <v>OK</v>
      </c>
      <c r="X140" s="6" t="n">
        <f aca="false">(10-(LEN(Y140)))+1</f>
        <v>7</v>
      </c>
      <c r="Y140" s="6" t="n">
        <v>7224</v>
      </c>
      <c r="Z140" s="6" t="str">
        <f aca="false">IF($J140="NA","NA",IF(AND($J140&gt;1979,Y140&gt;0),"ERRO","OK"))</f>
        <v>OK</v>
      </c>
      <c r="AA140" s="6" t="n">
        <f aca="false">(10-(LEN(AB140)))+1</f>
        <v>7</v>
      </c>
      <c r="AB140" s="6" t="n">
        <v>8848</v>
      </c>
      <c r="AC140" s="6" t="str">
        <f aca="false">IF($J140="NA","NA",IF(AND($J140&gt;1969,AB140&gt;0),"ERRO","OK"))</f>
        <v>OK</v>
      </c>
      <c r="AD140" s="6" t="n">
        <f aca="false">(10-(LEN(AE140)))+1</f>
        <v>7</v>
      </c>
      <c r="AE140" s="6" t="n">
        <v>9150</v>
      </c>
      <c r="AF140" s="6" t="str">
        <f aca="false">IF($J140="NA","NA",IF(AND($J140&gt;1959,AE140&gt;0),"ERRO","OK"))</f>
        <v>OK</v>
      </c>
      <c r="AG140" s="6" t="n">
        <f aca="false">(10-(LEN(AH140)))+1</f>
        <v>7</v>
      </c>
      <c r="AH140" s="6" t="n">
        <v>1982</v>
      </c>
      <c r="AI140" s="6" t="str">
        <f aca="false">IF($J140="NA","NA",IF(AND($J140&gt;1949,AH140&gt;0),"ERRO","OK"))</f>
        <v>OK</v>
      </c>
      <c r="AJ140" s="6" t="n">
        <f aca="false">(10-(LEN(AK140)))+1</f>
        <v>7</v>
      </c>
      <c r="AK140" s="6" t="n">
        <v>1253</v>
      </c>
      <c r="AL140" s="6" t="str">
        <f aca="false">IF($J140="NA","NA",IF(AND($J140&gt;1939,AK140&gt;0),"ERRO","OK"))</f>
        <v>OK</v>
      </c>
      <c r="AM140" s="6" t="n">
        <f aca="false">(10-(LEN(AN140)))+1</f>
        <v>10</v>
      </c>
      <c r="AN140" s="6" t="n">
        <v>0</v>
      </c>
      <c r="AO140" s="6" t="str">
        <f aca="false">IF($J140="NA","NA",IF(AND($J140&gt;1929,AN140&gt;0),"ERRO","OK"))</f>
        <v>OK</v>
      </c>
      <c r="AP140" s="6" t="n">
        <f aca="false">(10-(LEN(AQ140)))+1</f>
        <v>10</v>
      </c>
      <c r="AQ140" s="6" t="n">
        <v>0</v>
      </c>
      <c r="AR140" s="6" t="str">
        <f aca="false">IF($J140="NA","NA",IF(AND($J140&gt;1919,AQ140&gt;0),"ERRO","OK"))</f>
        <v>OK</v>
      </c>
      <c r="AS140" s="6" t="n">
        <f aca="false">(10-(LEN(AT140)))+1</f>
        <v>10</v>
      </c>
      <c r="AT140" s="6" t="n">
        <v>0</v>
      </c>
      <c r="AU140" s="6" t="str">
        <f aca="false">IF($J140="NA","NA",IF(AND($J140&gt;1909,AT140&gt;0),"ERRO","OK"))</f>
        <v>OK</v>
      </c>
      <c r="AV140" s="6" t="n">
        <f aca="false">(10-(LEN(AW140)))+1</f>
        <v>10</v>
      </c>
      <c r="AW140" s="6" t="n">
        <v>0</v>
      </c>
      <c r="AX140" s="6" t="str">
        <f aca="false">IF($J140="NA","NA",IF(AND($J140&gt;1899,AW140&gt;0),"ERRO","OK"))</f>
        <v>OK</v>
      </c>
    </row>
    <row r="141" customFormat="false" ht="15" hidden="false" customHeight="false" outlineLevel="0" collapsed="false">
      <c r="A141" s="7" t="n">
        <v>138</v>
      </c>
      <c r="B141" s="0" t="s">
        <v>158</v>
      </c>
      <c r="C141" s="8" t="n">
        <v>45310</v>
      </c>
      <c r="D141" s="6" t="n">
        <v>0</v>
      </c>
      <c r="E141" s="0" t="s">
        <v>16</v>
      </c>
      <c r="F141" s="0" t="s">
        <v>17</v>
      </c>
      <c r="G141" s="9" t="str">
        <f aca="false">IF(OR(N141="ERRO",Q141="ERRO",T141="ERRO",W141="ERRO",Z141="ERRO",AC141="ERRO",AF141="ERRO",AI141="ERRO",AL141="ERRO",AO141="ERRO",AR141="ERRO",AU141="ERRO",AX141="ERRO"),"ERRO","OK")</f>
        <v>OK</v>
      </c>
      <c r="H141" s="9" t="n">
        <f aca="false">COUNTIF(L141:AX141,"ERRO")</f>
        <v>0</v>
      </c>
      <c r="I141" s="9" t="s">
        <v>18</v>
      </c>
      <c r="J141" s="10" t="n">
        <v>1906</v>
      </c>
      <c r="K141" s="10" t="n">
        <v>1974</v>
      </c>
      <c r="L141" s="6" t="n">
        <f aca="false">(10-(LEN(M141)))+1</f>
        <v>7</v>
      </c>
      <c r="M141" s="6" t="n">
        <v>2832</v>
      </c>
      <c r="N141" s="6" t="str">
        <f aca="false">IF($J141="NA","NA",IF(AND($J141&gt;2019,M141&gt;0),"ERRO","OK"))</f>
        <v>OK</v>
      </c>
      <c r="O141" s="6" t="n">
        <f aca="false">(10-(LEN(P141)))+1</f>
        <v>7</v>
      </c>
      <c r="P141" s="6" t="n">
        <v>3396</v>
      </c>
      <c r="Q141" s="6" t="str">
        <f aca="false">IF($J141="NA","NA",IF(AND($J141&gt;2009,P141&gt;0),"ERRO","OK"))</f>
        <v>OK</v>
      </c>
      <c r="R141" s="6" t="n">
        <f aca="false">(10-(LEN(S141)))+1</f>
        <v>7</v>
      </c>
      <c r="S141" s="6" t="n">
        <v>4076</v>
      </c>
      <c r="T141" s="6" t="str">
        <f aca="false">IF($J141="NA","NA",IF(AND($J141&gt;1999,S141&gt;0),"ERRO","OK"))</f>
        <v>OK</v>
      </c>
      <c r="U141" s="6" t="n">
        <f aca="false">(10-(LEN(V141)))+1</f>
        <v>7</v>
      </c>
      <c r="V141" s="6" t="n">
        <v>5887</v>
      </c>
      <c r="W141" s="6" t="str">
        <f aca="false">IF($J141="NA","NA",IF(AND($J141&gt;1989,V141&gt;0),"ERRO","OK"))</f>
        <v>OK</v>
      </c>
      <c r="X141" s="6" t="n">
        <f aca="false">(10-(LEN(Y141)))+1</f>
        <v>7</v>
      </c>
      <c r="Y141" s="6" t="n">
        <v>3371</v>
      </c>
      <c r="Z141" s="6" t="str">
        <f aca="false">IF($J141="NA","NA",IF(AND($J141&gt;1979,Y141&gt;0),"ERRO","OK"))</f>
        <v>OK</v>
      </c>
      <c r="AA141" s="6" t="n">
        <f aca="false">(10-(LEN(AB141)))+1</f>
        <v>7</v>
      </c>
      <c r="AB141" s="6" t="n">
        <v>6504</v>
      </c>
      <c r="AC141" s="6" t="str">
        <f aca="false">IF($J141="NA","NA",IF(AND($J141&gt;1969,AB141&gt;0),"ERRO","OK"))</f>
        <v>OK</v>
      </c>
      <c r="AD141" s="6" t="n">
        <f aca="false">(10-(LEN(AE141)))+1</f>
        <v>7</v>
      </c>
      <c r="AE141" s="6" t="n">
        <v>7087</v>
      </c>
      <c r="AF141" s="6" t="str">
        <f aca="false">IF($J141="NA","NA",IF(AND($J141&gt;1959,AE141&gt;0),"ERRO","OK"))</f>
        <v>OK</v>
      </c>
      <c r="AG141" s="6" t="n">
        <f aca="false">(10-(LEN(AH141)))+1</f>
        <v>7</v>
      </c>
      <c r="AH141" s="6" t="n">
        <v>3745</v>
      </c>
      <c r="AI141" s="6" t="str">
        <f aca="false">IF($J141="NA","NA",IF(AND($J141&gt;1949,AH141&gt;0),"ERRO","OK"))</f>
        <v>OK</v>
      </c>
      <c r="AJ141" s="6" t="n">
        <f aca="false">(10-(LEN(AK141)))+1</f>
        <v>7</v>
      </c>
      <c r="AK141" s="6" t="n">
        <v>4874</v>
      </c>
      <c r="AL141" s="6" t="str">
        <f aca="false">IF($J141="NA","NA",IF(AND($J141&gt;1939,AK141&gt;0),"ERRO","OK"))</f>
        <v>OK</v>
      </c>
      <c r="AM141" s="6" t="n">
        <f aca="false">(10-(LEN(AN141)))+1</f>
        <v>7</v>
      </c>
      <c r="AN141" s="6" t="n">
        <v>1066</v>
      </c>
      <c r="AO141" s="6" t="str">
        <f aca="false">IF($J141="NA","NA",IF(AND($J141&gt;1929,AN141&gt;0),"ERRO","OK"))</f>
        <v>OK</v>
      </c>
      <c r="AP141" s="6" t="n">
        <f aca="false">(10-(LEN(AQ141)))+1</f>
        <v>10</v>
      </c>
      <c r="AQ141" s="6" t="n">
        <v>0</v>
      </c>
      <c r="AR141" s="6" t="str">
        <f aca="false">IF($J141="NA","NA",IF(AND($J141&gt;1919,AQ141&gt;0),"ERRO","OK"))</f>
        <v>OK</v>
      </c>
      <c r="AS141" s="6" t="n">
        <f aca="false">(10-(LEN(AT141)))+1</f>
        <v>10</v>
      </c>
      <c r="AT141" s="6" t="n">
        <v>0</v>
      </c>
      <c r="AU141" s="6" t="str">
        <f aca="false">IF($J141="NA","NA",IF(AND($J141&gt;1909,AT141&gt;0),"ERRO","OK"))</f>
        <v>OK</v>
      </c>
      <c r="AV141" s="6" t="n">
        <f aca="false">(10-(LEN(AW141)))+1</f>
        <v>10</v>
      </c>
      <c r="AW141" s="6" t="n">
        <v>0</v>
      </c>
      <c r="AX141" s="6" t="str">
        <f aca="false">IF($J141="NA","NA",IF(AND($J141&gt;1899,AW141&gt;0),"ERRO","OK"))</f>
        <v>OK</v>
      </c>
    </row>
    <row r="142" customFormat="false" ht="15" hidden="false" customHeight="false" outlineLevel="0" collapsed="false">
      <c r="A142" s="7" t="n">
        <v>139</v>
      </c>
      <c r="B142" s="0" t="s">
        <v>159</v>
      </c>
      <c r="C142" s="8" t="n">
        <v>45310</v>
      </c>
      <c r="D142" s="6" t="n">
        <v>0</v>
      </c>
      <c r="E142" s="0" t="s">
        <v>16</v>
      </c>
      <c r="F142" s="0" t="s">
        <v>17</v>
      </c>
      <c r="G142" s="9" t="str">
        <f aca="false">IF(OR(N142="ERRO",Q142="ERRO",T142="ERRO",W142="ERRO",Z142="ERRO",AC142="ERRO",AF142="ERRO",AI142="ERRO",AL142="ERRO",AO142="ERRO",AR142="ERRO",AU142="ERRO",AX142="ERRO"),"ERRO","OK")</f>
        <v>OK</v>
      </c>
      <c r="H142" s="9" t="n">
        <f aca="false">COUNTIF(L142:AX142,"ERRO")</f>
        <v>0</v>
      </c>
      <c r="I142" s="9" t="s">
        <v>18</v>
      </c>
      <c r="J142" s="10" t="n">
        <v>1890</v>
      </c>
      <c r="K142" s="10" t="n">
        <v>1965</v>
      </c>
      <c r="L142" s="6" t="n">
        <f aca="false">(10-(LEN(M142)))+1</f>
        <v>6</v>
      </c>
      <c r="M142" s="6" t="n">
        <v>11369</v>
      </c>
      <c r="N142" s="6" t="str">
        <f aca="false">IF($J142="NA","NA",IF(AND($J142&gt;2019,M142&gt;0),"ERRO","OK"))</f>
        <v>OK</v>
      </c>
      <c r="O142" s="6" t="n">
        <f aca="false">(10-(LEN(P142)))+1</f>
        <v>6</v>
      </c>
      <c r="P142" s="6" t="n">
        <v>15300</v>
      </c>
      <c r="Q142" s="6" t="str">
        <f aca="false">IF($J142="NA","NA",IF(AND($J142&gt;2009,P142&gt;0),"ERRO","OK"))</f>
        <v>OK</v>
      </c>
      <c r="R142" s="6" t="n">
        <f aca="false">(10-(LEN(S142)))+1</f>
        <v>7</v>
      </c>
      <c r="S142" s="6" t="n">
        <v>9664</v>
      </c>
      <c r="T142" s="6" t="str">
        <f aca="false">IF($J142="NA","NA",IF(AND($J142&gt;1999,S142&gt;0),"ERRO","OK"))</f>
        <v>OK</v>
      </c>
      <c r="U142" s="6" t="n">
        <f aca="false">(10-(LEN(V142)))+1</f>
        <v>6</v>
      </c>
      <c r="V142" s="6" t="n">
        <v>17937</v>
      </c>
      <c r="W142" s="6" t="str">
        <f aca="false">IF($J142="NA","NA",IF(AND($J142&gt;1989,V142&gt;0),"ERRO","OK"))</f>
        <v>OK</v>
      </c>
      <c r="X142" s="6" t="n">
        <f aca="false">(10-(LEN(Y142)))+1</f>
        <v>6</v>
      </c>
      <c r="Y142" s="6" t="n">
        <v>13484</v>
      </c>
      <c r="Z142" s="6" t="str">
        <f aca="false">IF($J142="NA","NA",IF(AND($J142&gt;1979,Y142&gt;0),"ERRO","OK"))</f>
        <v>OK</v>
      </c>
      <c r="AA142" s="6" t="n">
        <f aca="false">(10-(LEN(AB142)))+1</f>
        <v>7</v>
      </c>
      <c r="AB142" s="6" t="n">
        <v>5332</v>
      </c>
      <c r="AC142" s="6" t="str">
        <f aca="false">IF($J142="NA","NA",IF(AND($J142&gt;1969,AB142&gt;0),"ERRO","OK"))</f>
        <v>OK</v>
      </c>
      <c r="AD142" s="6" t="n">
        <f aca="false">(10-(LEN(AE142)))+1</f>
        <v>7</v>
      </c>
      <c r="AE142" s="6" t="n">
        <v>3409</v>
      </c>
      <c r="AF142" s="6" t="str">
        <f aca="false">IF($J142="NA","NA",IF(AND($J142&gt;1959,AE142&gt;0),"ERRO","OK"))</f>
        <v>OK</v>
      </c>
      <c r="AG142" s="6" t="n">
        <f aca="false">(10-(LEN(AH142)))+1</f>
        <v>7</v>
      </c>
      <c r="AH142" s="6" t="n">
        <v>2423</v>
      </c>
      <c r="AI142" s="6" t="str">
        <f aca="false">IF($J142="NA","NA",IF(AND($J142&gt;1949,AH142&gt;0),"ERRO","OK"))</f>
        <v>OK</v>
      </c>
      <c r="AJ142" s="6" t="n">
        <f aca="false">(10-(LEN(AK142)))+1</f>
        <v>7</v>
      </c>
      <c r="AK142" s="6" t="n">
        <v>3481</v>
      </c>
      <c r="AL142" s="6" t="str">
        <f aca="false">IF($J142="NA","NA",IF(AND($J142&gt;1939,AK142&gt;0),"ERRO","OK"))</f>
        <v>OK</v>
      </c>
      <c r="AM142" s="6" t="n">
        <f aca="false">(10-(LEN(AN142)))+1</f>
        <v>7</v>
      </c>
      <c r="AN142" s="6" t="n">
        <v>3199</v>
      </c>
      <c r="AO142" s="6" t="str">
        <f aca="false">IF($J142="NA","NA",IF(AND($J142&gt;1929,AN142&gt;0),"ERRO","OK"))</f>
        <v>OK</v>
      </c>
      <c r="AP142" s="6" t="n">
        <f aca="false">(10-(LEN(AQ142)))+1</f>
        <v>8</v>
      </c>
      <c r="AQ142" s="6" t="n">
        <v>100</v>
      </c>
      <c r="AR142" s="6" t="str">
        <f aca="false">IF($J142="NA","NA",IF(AND($J142&gt;1919,AQ142&gt;0),"ERRO","OK"))</f>
        <v>OK</v>
      </c>
      <c r="AS142" s="6" t="n">
        <f aca="false">(10-(LEN(AT142)))+1</f>
        <v>10</v>
      </c>
      <c r="AT142" s="6" t="n">
        <v>0</v>
      </c>
      <c r="AU142" s="6" t="str">
        <f aca="false">IF($J142="NA","NA",IF(AND($J142&gt;1909,AT142&gt;0),"ERRO","OK"))</f>
        <v>OK</v>
      </c>
      <c r="AV142" s="6" t="n">
        <f aca="false">(10-(LEN(AW142)))+1</f>
        <v>10</v>
      </c>
      <c r="AW142" s="6" t="n">
        <v>0</v>
      </c>
      <c r="AX142" s="6" t="str">
        <f aca="false">IF($J142="NA","NA",IF(AND($J142&gt;1899,AW142&gt;0),"ERRO","OK"))</f>
        <v>OK</v>
      </c>
    </row>
    <row r="143" customFormat="false" ht="15" hidden="false" customHeight="false" outlineLevel="0" collapsed="false">
      <c r="A143" s="7" t="n">
        <v>140</v>
      </c>
      <c r="B143" s="0" t="s">
        <v>160</v>
      </c>
      <c r="C143" s="8" t="n">
        <v>45310</v>
      </c>
      <c r="D143" s="6" t="n">
        <v>0</v>
      </c>
      <c r="E143" s="0" t="s">
        <v>16</v>
      </c>
      <c r="F143" s="0" t="s">
        <v>17</v>
      </c>
      <c r="G143" s="9" t="str">
        <f aca="false">IF(OR(N143="ERRO",Q143="ERRO",T143="ERRO",W143="ERRO",Z143="ERRO",AC143="ERRO",AF143="ERRO",AI143="ERRO",AL143="ERRO",AO143="ERRO",AR143="ERRO",AU143="ERRO",AX143="ERRO"),"ERRO","OK")</f>
        <v>OK</v>
      </c>
      <c r="H143" s="9" t="n">
        <f aca="false">COUNTIF(L143:AX143,"ERRO")</f>
        <v>0</v>
      </c>
      <c r="I143" s="9" t="s">
        <v>18</v>
      </c>
      <c r="J143" s="10" t="n">
        <v>1898</v>
      </c>
      <c r="K143" s="10" t="n">
        <v>1990</v>
      </c>
      <c r="L143" s="6" t="n">
        <f aca="false">(10-(LEN(M143)))+1</f>
        <v>7</v>
      </c>
      <c r="M143" s="6" t="n">
        <v>7588</v>
      </c>
      <c r="N143" s="6" t="str">
        <f aca="false">IF($J143="NA","NA",IF(AND($J143&gt;2019,M143&gt;0),"ERRO","OK"))</f>
        <v>OK</v>
      </c>
      <c r="O143" s="6" t="n">
        <f aca="false">(10-(LEN(P143)))+1</f>
        <v>6</v>
      </c>
      <c r="P143" s="6" t="n">
        <v>14373</v>
      </c>
      <c r="Q143" s="6" t="str">
        <f aca="false">IF($J143="NA","NA",IF(AND($J143&gt;2009,P143&gt;0),"ERRO","OK"))</f>
        <v>OK</v>
      </c>
      <c r="R143" s="6" t="n">
        <f aca="false">(10-(LEN(S143)))+1</f>
        <v>6</v>
      </c>
      <c r="S143" s="6" t="n">
        <v>30545</v>
      </c>
      <c r="T143" s="6" t="str">
        <f aca="false">IF($J143="NA","NA",IF(AND($J143&gt;1999,S143&gt;0),"ERRO","OK"))</f>
        <v>OK</v>
      </c>
      <c r="U143" s="6" t="n">
        <f aca="false">(10-(LEN(V143)))+1</f>
        <v>6</v>
      </c>
      <c r="V143" s="6" t="n">
        <v>41117</v>
      </c>
      <c r="W143" s="6" t="str">
        <f aca="false">IF($J143="NA","NA",IF(AND($J143&gt;1989,V143&gt;0),"ERRO","OK"))</f>
        <v>OK</v>
      </c>
      <c r="X143" s="6" t="n">
        <f aca="false">(10-(LEN(Y143)))+1</f>
        <v>6</v>
      </c>
      <c r="Y143" s="6" t="n">
        <v>33443</v>
      </c>
      <c r="Z143" s="6" t="str">
        <f aca="false">IF($J143="NA","NA",IF(AND($J143&gt;1979,Y143&gt;0),"ERRO","OK"))</f>
        <v>OK</v>
      </c>
      <c r="AA143" s="6" t="n">
        <f aca="false">(10-(LEN(AB143)))+1</f>
        <v>7</v>
      </c>
      <c r="AB143" s="6" t="n">
        <v>9844</v>
      </c>
      <c r="AC143" s="6" t="str">
        <f aca="false">IF($J143="NA","NA",IF(AND($J143&gt;1969,AB143&gt;0),"ERRO","OK"))</f>
        <v>OK</v>
      </c>
      <c r="AD143" s="6" t="n">
        <f aca="false">(10-(LEN(AE143)))+1</f>
        <v>7</v>
      </c>
      <c r="AE143" s="6" t="n">
        <v>4665</v>
      </c>
      <c r="AF143" s="6" t="str">
        <f aca="false">IF($J143="NA","NA",IF(AND($J143&gt;1959,AE143&gt;0),"ERRO","OK"))</f>
        <v>OK</v>
      </c>
      <c r="AG143" s="6" t="n">
        <f aca="false">(10-(LEN(AH143)))+1</f>
        <v>6</v>
      </c>
      <c r="AH143" s="6" t="n">
        <v>16961</v>
      </c>
      <c r="AI143" s="6" t="str">
        <f aca="false">IF($J143="NA","NA",IF(AND($J143&gt;1949,AH143&gt;0),"ERRO","OK"))</f>
        <v>OK</v>
      </c>
      <c r="AJ143" s="6" t="n">
        <f aca="false">(10-(LEN(AK143)))+1</f>
        <v>6</v>
      </c>
      <c r="AK143" s="6" t="n">
        <v>31054</v>
      </c>
      <c r="AL143" s="6" t="str">
        <f aca="false">IF($J143="NA","NA",IF(AND($J143&gt;1939,AK143&gt;0),"ERRO","OK"))</f>
        <v>OK</v>
      </c>
      <c r="AM143" s="6" t="n">
        <f aca="false">(10-(LEN(AN143)))+1</f>
        <v>7</v>
      </c>
      <c r="AN143" s="6" t="n">
        <v>6855</v>
      </c>
      <c r="AO143" s="6" t="str">
        <f aca="false">IF($J143="NA","NA",IF(AND($J143&gt;1929,AN143&gt;0),"ERRO","OK"))</f>
        <v>OK</v>
      </c>
      <c r="AP143" s="6" t="n">
        <f aca="false">(10-(LEN(AQ143)))+1</f>
        <v>7</v>
      </c>
      <c r="AQ143" s="6" t="n">
        <v>1001</v>
      </c>
      <c r="AR143" s="6" t="str">
        <f aca="false">IF($J143="NA","NA",IF(AND($J143&gt;1919,AQ143&gt;0),"ERRO","OK"))</f>
        <v>OK</v>
      </c>
      <c r="AS143" s="6" t="n">
        <f aca="false">(10-(LEN(AT143)))+1</f>
        <v>10</v>
      </c>
      <c r="AT143" s="6" t="n">
        <v>0</v>
      </c>
      <c r="AU143" s="6" t="str">
        <f aca="false">IF($J143="NA","NA",IF(AND($J143&gt;1909,AT143&gt;0),"ERRO","OK"))</f>
        <v>OK</v>
      </c>
      <c r="AV143" s="6" t="n">
        <f aca="false">(10-(LEN(AW143)))+1</f>
        <v>10</v>
      </c>
      <c r="AW143" s="6" t="n">
        <v>0</v>
      </c>
      <c r="AX143" s="6" t="str">
        <f aca="false">IF($J143="NA","NA",IF(AND($J143&gt;1899,AW143&gt;0),"ERRO","OK"))</f>
        <v>OK</v>
      </c>
    </row>
    <row r="144" customFormat="false" ht="15" hidden="false" customHeight="false" outlineLevel="0" collapsed="false">
      <c r="A144" s="7" t="n">
        <v>141</v>
      </c>
      <c r="B144" s="0" t="s">
        <v>161</v>
      </c>
      <c r="C144" s="8" t="n">
        <v>45310</v>
      </c>
      <c r="D144" s="6" t="n">
        <v>0</v>
      </c>
      <c r="E144" s="0" t="s">
        <v>16</v>
      </c>
      <c r="F144" s="0" t="s">
        <v>17</v>
      </c>
      <c r="G144" s="9" t="str">
        <f aca="false">IF(OR(N144="ERRO",Q144="ERRO",T144="ERRO",W144="ERRO",Z144="ERRO",AC144="ERRO",AF144="ERRO",AI144="ERRO",AL144="ERRO",AO144="ERRO",AR144="ERRO",AU144="ERRO",AX144="ERRO"),"ERRO","OK")</f>
        <v>OK</v>
      </c>
      <c r="H144" s="9" t="n">
        <f aca="false">COUNTIF(L144:AX144,"ERRO")</f>
        <v>0</v>
      </c>
      <c r="I144" s="9" t="s">
        <v>18</v>
      </c>
      <c r="J144" s="10" t="n">
        <v>1887</v>
      </c>
      <c r="K144" s="10" t="n">
        <v>1975</v>
      </c>
      <c r="L144" s="6" t="n">
        <f aca="false">(10-(LEN(M144)))+1</f>
        <v>8</v>
      </c>
      <c r="M144" s="6" t="n">
        <v>125</v>
      </c>
      <c r="N144" s="6" t="str">
        <f aca="false">IF($J144="NA","NA",IF(AND($J144&gt;2019,M144&gt;0),"ERRO","OK"))</f>
        <v>OK</v>
      </c>
      <c r="O144" s="6" t="n">
        <f aca="false">(10-(LEN(P144)))+1</f>
        <v>8</v>
      </c>
      <c r="P144" s="6" t="n">
        <v>720</v>
      </c>
      <c r="Q144" s="6" t="str">
        <f aca="false">IF($J144="NA","NA",IF(AND($J144&gt;2009,P144&gt;0),"ERRO","OK"))</f>
        <v>OK</v>
      </c>
      <c r="R144" s="6" t="n">
        <f aca="false">(10-(LEN(S144)))+1</f>
        <v>8</v>
      </c>
      <c r="S144" s="6" t="n">
        <v>210</v>
      </c>
      <c r="T144" s="6" t="str">
        <f aca="false">IF($J144="NA","NA",IF(AND($J144&gt;1999,S144&gt;0),"ERRO","OK"))</f>
        <v>OK</v>
      </c>
      <c r="U144" s="6" t="n">
        <f aca="false">(10-(LEN(V144)))+1</f>
        <v>8</v>
      </c>
      <c r="V144" s="6" t="n">
        <v>598</v>
      </c>
      <c r="W144" s="6" t="str">
        <f aca="false">IF($J144="NA","NA",IF(AND($J144&gt;1989,V144&gt;0),"ERRO","OK"))</f>
        <v>OK</v>
      </c>
      <c r="X144" s="6" t="n">
        <f aca="false">(10-(LEN(Y144)))+1</f>
        <v>8</v>
      </c>
      <c r="Y144" s="6" t="n">
        <v>107</v>
      </c>
      <c r="Z144" s="6" t="str">
        <f aca="false">IF($J144="NA","NA",IF(AND($J144&gt;1979,Y144&gt;0),"ERRO","OK"))</f>
        <v>OK</v>
      </c>
      <c r="AA144" s="6" t="n">
        <f aca="false">(10-(LEN(AB144)))+1</f>
        <v>8</v>
      </c>
      <c r="AB144" s="6" t="n">
        <v>117</v>
      </c>
      <c r="AC144" s="6" t="str">
        <f aca="false">IF($J144="NA","NA",IF(AND($J144&gt;1969,AB144&gt;0),"ERRO","OK"))</f>
        <v>OK</v>
      </c>
      <c r="AD144" s="6" t="n">
        <f aca="false">(10-(LEN(AE144)))+1</f>
        <v>8</v>
      </c>
      <c r="AE144" s="6" t="n">
        <v>179</v>
      </c>
      <c r="AF144" s="6" t="str">
        <f aca="false">IF($J144="NA","NA",IF(AND($J144&gt;1959,AE144&gt;0),"ERRO","OK"))</f>
        <v>OK</v>
      </c>
      <c r="AG144" s="6" t="n">
        <f aca="false">(10-(LEN(AH144)))+1</f>
        <v>10</v>
      </c>
      <c r="AH144" s="6" t="n">
        <v>0</v>
      </c>
      <c r="AI144" s="6" t="str">
        <f aca="false">IF($J144="NA","NA",IF(AND($J144&gt;1949,AH144&gt;0),"ERRO","OK"))</f>
        <v>OK</v>
      </c>
      <c r="AJ144" s="6" t="n">
        <f aca="false">(10-(LEN(AK144)))+1</f>
        <v>10</v>
      </c>
      <c r="AK144" s="6" t="n">
        <v>0</v>
      </c>
      <c r="AL144" s="6" t="str">
        <f aca="false">IF($J144="NA","NA",IF(AND($J144&gt;1939,AK144&gt;0),"ERRO","OK"))</f>
        <v>OK</v>
      </c>
      <c r="AM144" s="6" t="n">
        <f aca="false">(10-(LEN(AN144)))+1</f>
        <v>10</v>
      </c>
      <c r="AN144" s="6" t="n">
        <v>0</v>
      </c>
      <c r="AO144" s="6" t="str">
        <f aca="false">IF($J144="NA","NA",IF(AND($J144&gt;1929,AN144&gt;0),"ERRO","OK"))</f>
        <v>OK</v>
      </c>
      <c r="AP144" s="6" t="n">
        <f aca="false">(10-(LEN(AQ144)))+1</f>
        <v>10</v>
      </c>
      <c r="AQ144" s="6" t="n">
        <v>0</v>
      </c>
      <c r="AR144" s="6" t="str">
        <f aca="false">IF($J144="NA","NA",IF(AND($J144&gt;1919,AQ144&gt;0),"ERRO","OK"))</f>
        <v>OK</v>
      </c>
      <c r="AS144" s="6" t="n">
        <f aca="false">(10-(LEN(AT144)))+1</f>
        <v>10</v>
      </c>
      <c r="AT144" s="6" t="n">
        <v>0</v>
      </c>
      <c r="AU144" s="6" t="str">
        <f aca="false">IF($J144="NA","NA",IF(AND($J144&gt;1909,AT144&gt;0),"ERRO","OK"))</f>
        <v>OK</v>
      </c>
      <c r="AV144" s="6" t="n">
        <f aca="false">(10-(LEN(AW144)))+1</f>
        <v>10</v>
      </c>
      <c r="AW144" s="6" t="n">
        <v>0</v>
      </c>
      <c r="AX144" s="6" t="str">
        <f aca="false">IF($J144="NA","NA",IF(AND($J144&gt;1899,AW144&gt;0),"ERRO","OK"))</f>
        <v>OK</v>
      </c>
    </row>
    <row r="145" customFormat="false" ht="15" hidden="false" customHeight="false" outlineLevel="0" collapsed="false">
      <c r="A145" s="7" t="n">
        <v>142</v>
      </c>
      <c r="B145" s="0" t="s">
        <v>162</v>
      </c>
      <c r="C145" s="8" t="n">
        <v>45312</v>
      </c>
      <c r="D145" s="6" t="n">
        <v>0</v>
      </c>
      <c r="E145" s="0" t="s">
        <v>16</v>
      </c>
      <c r="F145" s="0" t="s">
        <v>17</v>
      </c>
      <c r="G145" s="9" t="str">
        <f aca="false">IF(OR(N145="ERRO",Q145="ERRO",T145="ERRO",W145="ERRO",Z145="ERRO",AC145="ERRO",AF145="ERRO",AI145="ERRO",AL145="ERRO",AO145="ERRO",AR145="ERRO",AU145="ERRO",AX145="ERRO"),"ERRO","OK")</f>
        <v>OK</v>
      </c>
      <c r="H145" s="9" t="n">
        <f aca="false">COUNTIF(L145:AX145,"ERRO")</f>
        <v>0</v>
      </c>
      <c r="I145" s="9" t="s">
        <v>18</v>
      </c>
      <c r="J145" s="10" t="s">
        <v>22</v>
      </c>
      <c r="K145" s="10" t="s">
        <v>22</v>
      </c>
      <c r="L145" s="6" t="n">
        <f aca="false">(10-(LEN(M145)))+1</f>
        <v>9</v>
      </c>
      <c r="M145" s="6" t="n">
        <v>88</v>
      </c>
      <c r="N145" s="6" t="str">
        <f aca="false">IF($J145="NA","NA",IF(AND($J145&gt;2019,M145&gt;0),"ERRO","OK"))</f>
        <v>NA</v>
      </c>
      <c r="O145" s="6" t="n">
        <f aca="false">(10-(LEN(P145)))+1</f>
        <v>8</v>
      </c>
      <c r="P145" s="6" t="n">
        <v>216</v>
      </c>
      <c r="Q145" s="6" t="str">
        <f aca="false">IF($J145="NA","NA",IF(AND($J145&gt;2009,P145&gt;0),"ERRO","OK"))</f>
        <v>NA</v>
      </c>
      <c r="R145" s="6" t="n">
        <f aca="false">(10-(LEN(S145)))+1</f>
        <v>8</v>
      </c>
      <c r="S145" s="6" t="n">
        <v>485</v>
      </c>
      <c r="T145" s="6" t="str">
        <f aca="false">IF($J145="NA","NA",IF(AND($J145&gt;1999,S145&gt;0),"ERRO","OK"))</f>
        <v>NA</v>
      </c>
      <c r="U145" s="6" t="n">
        <f aca="false">(10-(LEN(V145)))+1</f>
        <v>8</v>
      </c>
      <c r="V145" s="6" t="n">
        <v>193</v>
      </c>
      <c r="W145" s="6" t="str">
        <f aca="false">IF($J145="NA","NA",IF(AND($J145&gt;1989,V145&gt;0),"ERRO","OK"))</f>
        <v>NA</v>
      </c>
      <c r="X145" s="6" t="n">
        <f aca="false">(10-(LEN(Y145)))+1</f>
        <v>9</v>
      </c>
      <c r="Y145" s="6" t="n">
        <v>56</v>
      </c>
      <c r="Z145" s="6" t="str">
        <f aca="false">IF($J145="NA","NA",IF(AND($J145&gt;1979,Y145&gt;0),"ERRO","OK"))</f>
        <v>NA</v>
      </c>
      <c r="AA145" s="6" t="n">
        <f aca="false">(10-(LEN(AB145)))+1</f>
        <v>7</v>
      </c>
      <c r="AB145" s="6" t="n">
        <v>1416</v>
      </c>
      <c r="AC145" s="6" t="str">
        <f aca="false">IF($J145="NA","NA",IF(AND($J145&gt;1969,AB145&gt;0),"ERRO","OK"))</f>
        <v>NA</v>
      </c>
      <c r="AD145" s="6" t="n">
        <f aca="false">(10-(LEN(AE145)))+1</f>
        <v>9</v>
      </c>
      <c r="AE145" s="6" t="n">
        <v>94</v>
      </c>
      <c r="AF145" s="6" t="str">
        <f aca="false">IF($J145="NA","NA",IF(AND($J145&gt;1959,AE145&gt;0),"ERRO","OK"))</f>
        <v>NA</v>
      </c>
      <c r="AG145" s="6" t="n">
        <f aca="false">(10-(LEN(AH145)))+1</f>
        <v>7</v>
      </c>
      <c r="AH145" s="6" t="n">
        <v>3823</v>
      </c>
      <c r="AI145" s="6" t="str">
        <f aca="false">IF($J145="NA","NA",IF(AND($J145&gt;1949,AH145&gt;0),"ERRO","OK"))</f>
        <v>NA</v>
      </c>
      <c r="AJ145" s="6" t="n">
        <f aca="false">(10-(LEN(AK145)))+1</f>
        <v>6</v>
      </c>
      <c r="AK145" s="6" t="n">
        <v>12458</v>
      </c>
      <c r="AL145" s="6" t="str">
        <f aca="false">IF($J145="NA","NA",IF(AND($J145&gt;1939,AK145&gt;0),"ERRO","OK"))</f>
        <v>NA</v>
      </c>
      <c r="AM145" s="6" t="n">
        <f aca="false">(10-(LEN(AN145)))+1</f>
        <v>7</v>
      </c>
      <c r="AN145" s="6" t="n">
        <v>2086</v>
      </c>
      <c r="AO145" s="6" t="str">
        <f aca="false">IF($J145="NA","NA",IF(AND($J145&gt;1929,AN145&gt;0),"ERRO","OK"))</f>
        <v>NA</v>
      </c>
      <c r="AP145" s="6" t="n">
        <f aca="false">(10-(LEN(AQ145)))+1</f>
        <v>8</v>
      </c>
      <c r="AQ145" s="6" t="n">
        <v>948</v>
      </c>
      <c r="AR145" s="6" t="str">
        <f aca="false">IF($J145="NA","NA",IF(AND($J145&gt;1919,AQ145&gt;0),"ERRO","OK"))</f>
        <v>NA</v>
      </c>
      <c r="AS145" s="6" t="n">
        <f aca="false">(10-(LEN(AT145)))+1</f>
        <v>7</v>
      </c>
      <c r="AT145" s="6" t="n">
        <v>1412</v>
      </c>
      <c r="AU145" s="6" t="str">
        <f aca="false">IF($J145="NA","NA",IF(AND($J145&gt;1909,AT145&gt;0),"ERRO","OK"))</f>
        <v>NA</v>
      </c>
      <c r="AV145" s="6" t="n">
        <f aca="false">(10-(LEN(AW145)))+1</f>
        <v>7</v>
      </c>
      <c r="AW145" s="6" t="n">
        <v>6647</v>
      </c>
      <c r="AX145" s="6" t="str">
        <f aca="false">IF($J145="NA","NA",IF(AND($J145&gt;1899,AW145&gt;0),"ERRO","OK"))</f>
        <v>NA</v>
      </c>
    </row>
    <row r="146" customFormat="false" ht="15" hidden="false" customHeight="false" outlineLevel="0" collapsed="false">
      <c r="A146" s="7" t="n">
        <v>143</v>
      </c>
      <c r="B146" s="0" t="s">
        <v>163</v>
      </c>
      <c r="C146" s="8" t="n">
        <v>45312</v>
      </c>
      <c r="D146" s="6" t="n">
        <v>0</v>
      </c>
      <c r="E146" s="0" t="s">
        <v>16</v>
      </c>
      <c r="F146" s="0" t="s">
        <v>17</v>
      </c>
      <c r="G146" s="9" t="str">
        <f aca="false">IF(OR(N146="ERRO",Q146="ERRO",T146="ERRO",W146="ERRO",Z146="ERRO",AC146="ERRO",AF146="ERRO",AI146="ERRO",AL146="ERRO",AO146="ERRO",AR146="ERRO",AU146="ERRO",AX146="ERRO"),"ERRO","OK")</f>
        <v>OK</v>
      </c>
      <c r="H146" s="9" t="n">
        <f aca="false">COUNTIF(L146:AX146,"ERRO")</f>
        <v>0</v>
      </c>
      <c r="I146" s="9" t="s">
        <v>18</v>
      </c>
      <c r="J146" s="10" t="n">
        <v>1910</v>
      </c>
      <c r="K146" s="10" t="n">
        <v>1993</v>
      </c>
      <c r="L146" s="6" t="n">
        <f aca="false">(10-(LEN(M146)))+1</f>
        <v>10</v>
      </c>
      <c r="M146" s="6" t="n">
        <v>0</v>
      </c>
      <c r="N146" s="6" t="str">
        <f aca="false">IF($J146="NA","NA",IF(AND($J146&gt;2019,M146&gt;0),"ERRO","OK"))</f>
        <v>OK</v>
      </c>
      <c r="O146" s="6" t="n">
        <f aca="false">(10-(LEN(P146)))+1</f>
        <v>10</v>
      </c>
      <c r="P146" s="6" t="n">
        <v>0</v>
      </c>
      <c r="Q146" s="6" t="str">
        <f aca="false">IF($J146="NA","NA",IF(AND($J146&gt;2009,P146&gt;0),"ERRO","OK"))</f>
        <v>OK</v>
      </c>
      <c r="R146" s="6" t="n">
        <f aca="false">(10-(LEN(S146)))+1</f>
        <v>10</v>
      </c>
      <c r="S146" s="6" t="n">
        <v>0</v>
      </c>
      <c r="T146" s="6" t="str">
        <f aca="false">IF($J146="NA","NA",IF(AND($J146&gt;1999,S146&gt;0),"ERRO","OK"))</f>
        <v>OK</v>
      </c>
      <c r="U146" s="6" t="n">
        <f aca="false">(10-(LEN(V146)))+1</f>
        <v>10</v>
      </c>
      <c r="V146" s="6" t="n">
        <v>0</v>
      </c>
      <c r="W146" s="6" t="str">
        <f aca="false">IF($J146="NA","NA",IF(AND($J146&gt;1989,V146&gt;0),"ERRO","OK"))</f>
        <v>OK</v>
      </c>
      <c r="X146" s="6" t="n">
        <f aca="false">(10-(LEN(Y146)))+1</f>
        <v>10</v>
      </c>
      <c r="Y146" s="6" t="n">
        <v>0</v>
      </c>
      <c r="Z146" s="6" t="str">
        <f aca="false">IF($J146="NA","NA",IF(AND($J146&gt;1979,Y146&gt;0),"ERRO","OK"))</f>
        <v>OK</v>
      </c>
      <c r="AA146" s="6" t="n">
        <f aca="false">(10-(LEN(AB146)))+1</f>
        <v>10</v>
      </c>
      <c r="AB146" s="6" t="n">
        <v>0</v>
      </c>
      <c r="AC146" s="6" t="str">
        <f aca="false">IF($J146="NA","NA",IF(AND($J146&gt;1969,AB146&gt;0),"ERRO","OK"))</f>
        <v>OK</v>
      </c>
      <c r="AD146" s="6" t="n">
        <f aca="false">(10-(LEN(AE146)))+1</f>
        <v>10</v>
      </c>
      <c r="AE146" s="6" t="n">
        <v>0</v>
      </c>
      <c r="AF146" s="6" t="str">
        <f aca="false">IF($J146="NA","NA",IF(AND($J146&gt;1959,AE146&gt;0),"ERRO","OK"))</f>
        <v>OK</v>
      </c>
      <c r="AG146" s="6" t="n">
        <f aca="false">(10-(LEN(AH146)))+1</f>
        <v>10</v>
      </c>
      <c r="AH146" s="6" t="n">
        <v>0</v>
      </c>
      <c r="AI146" s="6" t="str">
        <f aca="false">IF($J146="NA","NA",IF(AND($J146&gt;1949,AH146&gt;0),"ERRO","OK"))</f>
        <v>OK</v>
      </c>
      <c r="AJ146" s="6" t="n">
        <f aca="false">(10-(LEN(AK146)))+1</f>
        <v>10</v>
      </c>
      <c r="AK146" s="6" t="n">
        <v>0</v>
      </c>
      <c r="AL146" s="6" t="str">
        <f aca="false">IF($J146="NA","NA",IF(AND($J146&gt;1939,AK146&gt;0),"ERRO","OK"))</f>
        <v>OK</v>
      </c>
      <c r="AM146" s="6" t="n">
        <f aca="false">(10-(LEN(AN146)))+1</f>
        <v>10</v>
      </c>
      <c r="AN146" s="6" t="n">
        <v>0</v>
      </c>
      <c r="AO146" s="6" t="str">
        <f aca="false">IF($J146="NA","NA",IF(AND($J146&gt;1929,AN146&gt;0),"ERRO","OK"))</f>
        <v>OK</v>
      </c>
      <c r="AP146" s="6" t="n">
        <f aca="false">(10-(LEN(AQ146)))+1</f>
        <v>10</v>
      </c>
      <c r="AQ146" s="6" t="n">
        <v>0</v>
      </c>
      <c r="AR146" s="6" t="str">
        <f aca="false">IF($J146="NA","NA",IF(AND($J146&gt;1919,AQ146&gt;0),"ERRO","OK"))</f>
        <v>OK</v>
      </c>
      <c r="AS146" s="6" t="n">
        <f aca="false">(10-(LEN(AT146)))+1</f>
        <v>10</v>
      </c>
      <c r="AT146" s="6" t="n">
        <v>0</v>
      </c>
      <c r="AU146" s="6" t="str">
        <f aca="false">IF($J146="NA","NA",IF(AND($J146&gt;1909,AT146&gt;0),"ERRO","OK"))</f>
        <v>OK</v>
      </c>
      <c r="AV146" s="6" t="n">
        <f aca="false">(10-(LEN(AW146)))+1</f>
        <v>10</v>
      </c>
      <c r="AW146" s="6" t="n">
        <v>0</v>
      </c>
      <c r="AX146" s="6" t="str">
        <f aca="false">IF($J146="NA","NA",IF(AND($J146&gt;1899,AW146&gt;0),"ERRO","OK"))</f>
        <v>OK</v>
      </c>
    </row>
    <row r="147" customFormat="false" ht="15" hidden="false" customHeight="false" outlineLevel="0" collapsed="false">
      <c r="A147" s="7" t="n">
        <v>144</v>
      </c>
      <c r="B147" s="0" t="s">
        <v>164</v>
      </c>
      <c r="C147" s="8" t="n">
        <v>45312</v>
      </c>
      <c r="D147" s="6" t="n">
        <v>0</v>
      </c>
      <c r="E147" s="0" t="s">
        <v>16</v>
      </c>
      <c r="F147" s="0" t="s">
        <v>17</v>
      </c>
      <c r="G147" s="9" t="str">
        <f aca="false">IF(OR(N147="ERRO",Q147="ERRO",T147="ERRO",W147="ERRO",Z147="ERRO",AC147="ERRO",AF147="ERRO",AI147="ERRO",AL147="ERRO",AO147="ERRO",AR147="ERRO",AU147="ERRO",AX147="ERRO"),"ERRO","OK")</f>
        <v>OK</v>
      </c>
      <c r="H147" s="9" t="n">
        <f aca="false">COUNTIF(L147:AX147,"ERRO")</f>
        <v>0</v>
      </c>
      <c r="I147" s="9" t="s">
        <v>18</v>
      </c>
      <c r="J147" s="10" t="n">
        <v>1878</v>
      </c>
      <c r="K147" s="10" t="n">
        <v>1962</v>
      </c>
      <c r="L147" s="6" t="n">
        <f aca="false">(10-(LEN(M147)))+1</f>
        <v>8</v>
      </c>
      <c r="M147" s="6" t="n">
        <v>250</v>
      </c>
      <c r="N147" s="6" t="str">
        <f aca="false">IF($J147="NA","NA",IF(AND($J147&gt;2019,M147&gt;0),"ERRO","OK"))</f>
        <v>OK</v>
      </c>
      <c r="O147" s="6" t="n">
        <f aca="false">(10-(LEN(P147)))+1</f>
        <v>8</v>
      </c>
      <c r="P147" s="6" t="n">
        <v>240</v>
      </c>
      <c r="Q147" s="6" t="str">
        <f aca="false">IF($J147="NA","NA",IF(AND($J147&gt;2009,P147&gt;0),"ERRO","OK"))</f>
        <v>OK</v>
      </c>
      <c r="R147" s="6" t="n">
        <f aca="false">(10-(LEN(S147)))+1</f>
        <v>8</v>
      </c>
      <c r="S147" s="6" t="n">
        <v>336</v>
      </c>
      <c r="T147" s="6" t="str">
        <f aca="false">IF($J147="NA","NA",IF(AND($J147&gt;1999,S147&gt;0),"ERRO","OK"))</f>
        <v>OK</v>
      </c>
      <c r="U147" s="6" t="n">
        <f aca="false">(10-(LEN(V147)))+1</f>
        <v>9</v>
      </c>
      <c r="V147" s="6" t="n">
        <v>92</v>
      </c>
      <c r="W147" s="6" t="str">
        <f aca="false">IF($J147="NA","NA",IF(AND($J147&gt;1989,V147&gt;0),"ERRO","OK"))</f>
        <v>OK</v>
      </c>
      <c r="X147" s="6" t="n">
        <f aca="false">(10-(LEN(Y147)))+1</f>
        <v>8</v>
      </c>
      <c r="Y147" s="6" t="n">
        <v>268</v>
      </c>
      <c r="Z147" s="6" t="str">
        <f aca="false">IF($J147="NA","NA",IF(AND($J147&gt;1979,Y147&gt;0),"ERRO","OK"))</f>
        <v>OK</v>
      </c>
      <c r="AA147" s="6" t="n">
        <f aca="false">(10-(LEN(AB147)))+1</f>
        <v>10</v>
      </c>
      <c r="AB147" s="6" t="n">
        <v>0</v>
      </c>
      <c r="AC147" s="6" t="str">
        <f aca="false">IF($J147="NA","NA",IF(AND($J147&gt;1969,AB147&gt;0),"ERRO","OK"))</f>
        <v>OK</v>
      </c>
      <c r="AD147" s="6" t="n">
        <f aca="false">(10-(LEN(AE147)))+1</f>
        <v>10</v>
      </c>
      <c r="AE147" s="6" t="n">
        <v>0</v>
      </c>
      <c r="AF147" s="6" t="str">
        <f aca="false">IF($J147="NA","NA",IF(AND($J147&gt;1959,AE147&gt;0),"ERRO","OK"))</f>
        <v>OK</v>
      </c>
      <c r="AG147" s="6" t="n">
        <f aca="false">(10-(LEN(AH147)))+1</f>
        <v>8</v>
      </c>
      <c r="AH147" s="6" t="n">
        <v>110</v>
      </c>
      <c r="AI147" s="6" t="str">
        <f aca="false">IF($J147="NA","NA",IF(AND($J147&gt;1949,AH147&gt;0),"ERRO","OK"))</f>
        <v>OK</v>
      </c>
      <c r="AJ147" s="6" t="n">
        <f aca="false">(10-(LEN(AK147)))+1</f>
        <v>10</v>
      </c>
      <c r="AK147" s="6" t="n">
        <v>0</v>
      </c>
      <c r="AL147" s="6" t="str">
        <f aca="false">IF($J147="NA","NA",IF(AND($J147&gt;1939,AK147&gt;0),"ERRO","OK"))</f>
        <v>OK</v>
      </c>
      <c r="AM147" s="6" t="n">
        <f aca="false">(10-(LEN(AN147)))+1</f>
        <v>8</v>
      </c>
      <c r="AN147" s="6" t="n">
        <v>152</v>
      </c>
      <c r="AO147" s="6" t="str">
        <f aca="false">IF($J147="NA","NA",IF(AND($J147&gt;1929,AN147&gt;0),"ERRO","OK"))</f>
        <v>OK</v>
      </c>
      <c r="AP147" s="6" t="n">
        <f aca="false">(10-(LEN(AQ147)))+1</f>
        <v>8</v>
      </c>
      <c r="AQ147" s="6" t="n">
        <v>401</v>
      </c>
      <c r="AR147" s="6" t="str">
        <f aca="false">IF($J147="NA","NA",IF(AND($J147&gt;1919,AQ147&gt;0),"ERRO","OK"))</f>
        <v>OK</v>
      </c>
      <c r="AS147" s="6" t="n">
        <f aca="false">(10-(LEN(AT147)))+1</f>
        <v>8</v>
      </c>
      <c r="AT147" s="6" t="n">
        <v>206</v>
      </c>
      <c r="AU147" s="6" t="str">
        <f aca="false">IF($J147="NA","NA",IF(AND($J147&gt;1909,AT147&gt;0),"ERRO","OK"))</f>
        <v>OK</v>
      </c>
      <c r="AV147" s="6" t="n">
        <f aca="false">(10-(LEN(AW147)))+1</f>
        <v>7</v>
      </c>
      <c r="AW147" s="6" t="n">
        <v>1032</v>
      </c>
      <c r="AX147" s="6" t="str">
        <f aca="false">IF($J147="NA","NA",IF(AND($J147&gt;1899,AW147&gt;0),"ERRO","OK"))</f>
        <v>OK</v>
      </c>
    </row>
    <row r="148" customFormat="false" ht="15" hidden="false" customHeight="false" outlineLevel="0" collapsed="false">
      <c r="A148" s="7" t="n">
        <v>145</v>
      </c>
      <c r="B148" s="0" t="s">
        <v>165</v>
      </c>
      <c r="C148" s="8" t="n">
        <v>45312</v>
      </c>
      <c r="D148" s="6" t="n">
        <v>0</v>
      </c>
      <c r="E148" s="0" t="s">
        <v>16</v>
      </c>
      <c r="F148" s="0" t="s">
        <v>17</v>
      </c>
      <c r="G148" s="9" t="str">
        <f aca="false">IF(OR(N148="ERRO",Q148="ERRO",T148="ERRO",W148="ERRO",Z148="ERRO",AC148="ERRO",AF148="ERRO",AI148="ERRO",AL148="ERRO",AO148="ERRO",AR148="ERRO",AU148="ERRO",AX148="ERRO"),"ERRO","OK")</f>
        <v>OK</v>
      </c>
      <c r="H148" s="9" t="n">
        <f aca="false">COUNTIF(L148:AX148,"ERRO")</f>
        <v>0</v>
      </c>
      <c r="I148" s="9" t="s">
        <v>18</v>
      </c>
      <c r="J148" s="10" t="n">
        <v>1900</v>
      </c>
      <c r="K148" s="10" t="n">
        <v>1945</v>
      </c>
      <c r="L148" s="6" t="n">
        <f aca="false">(10-(LEN(M148)))+1</f>
        <v>6</v>
      </c>
      <c r="M148" s="6" t="n">
        <v>11369</v>
      </c>
      <c r="N148" s="6" t="str">
        <f aca="false">IF($J148="NA","NA",IF(AND($J148&gt;2019,M148&gt;0),"ERRO","OK"))</f>
        <v>OK</v>
      </c>
      <c r="O148" s="6" t="n">
        <f aca="false">(10-(LEN(P148)))+1</f>
        <v>6</v>
      </c>
      <c r="P148" s="6" t="n">
        <v>13927</v>
      </c>
      <c r="Q148" s="6" t="str">
        <f aca="false">IF($J148="NA","NA",IF(AND($J148&gt;2009,P148&gt;0),"ERRO","OK"))</f>
        <v>OK</v>
      </c>
      <c r="R148" s="6" t="n">
        <f aca="false">(10-(LEN(S148)))+1</f>
        <v>6</v>
      </c>
      <c r="S148" s="6" t="n">
        <v>15882</v>
      </c>
      <c r="T148" s="6" t="str">
        <f aca="false">IF($J148="NA","NA",IF(AND($J148&gt;1999,S148&gt;0),"ERRO","OK"))</f>
        <v>OK</v>
      </c>
      <c r="U148" s="6" t="n">
        <f aca="false">(10-(LEN(V148)))+1</f>
        <v>6</v>
      </c>
      <c r="V148" s="6" t="n">
        <v>15407</v>
      </c>
      <c r="W148" s="6" t="str">
        <f aca="false">IF($J148="NA","NA",IF(AND($J148&gt;1989,V148&gt;0),"ERRO","OK"))</f>
        <v>OK</v>
      </c>
      <c r="X148" s="6" t="n">
        <f aca="false">(10-(LEN(Y148)))+1</f>
        <v>6</v>
      </c>
      <c r="Y148" s="6" t="n">
        <v>11665</v>
      </c>
      <c r="Z148" s="6" t="str">
        <f aca="false">IF($J148="NA","NA",IF(AND($J148&gt;1979,Y148&gt;0),"ERRO","OK"))</f>
        <v>OK</v>
      </c>
      <c r="AA148" s="6" t="n">
        <f aca="false">(10-(LEN(AB148)))+1</f>
        <v>6</v>
      </c>
      <c r="AB148" s="6" t="n">
        <v>12364</v>
      </c>
      <c r="AC148" s="6" t="str">
        <f aca="false">IF($J148="NA","NA",IF(AND($J148&gt;1969,AB148&gt;0),"ERRO","OK"))</f>
        <v>OK</v>
      </c>
      <c r="AD148" s="6" t="n">
        <f aca="false">(10-(LEN(AE148)))+1</f>
        <v>7</v>
      </c>
      <c r="AE148" s="6" t="n">
        <v>4665</v>
      </c>
      <c r="AF148" s="6" t="str">
        <f aca="false">IF($J148="NA","NA",IF(AND($J148&gt;1959,AE148&gt;0),"ERRO","OK"))</f>
        <v>OK</v>
      </c>
      <c r="AG148" s="6" t="n">
        <f aca="false">(10-(LEN(AH148)))+1</f>
        <v>7</v>
      </c>
      <c r="AH148" s="6" t="n">
        <v>5507</v>
      </c>
      <c r="AI148" s="6" t="str">
        <f aca="false">IF($J148="NA","NA",IF(AND($J148&gt;1949,AH148&gt;0),"ERRO","OK"))</f>
        <v>OK</v>
      </c>
      <c r="AJ148" s="6" t="n">
        <f aca="false">(10-(LEN(AK148)))+1</f>
        <v>7</v>
      </c>
      <c r="AK148" s="6" t="n">
        <v>1671</v>
      </c>
      <c r="AL148" s="6" t="str">
        <f aca="false">IF($J148="NA","NA",IF(AND($J148&gt;1939,AK148&gt;0),"ERRO","OK"))</f>
        <v>OK</v>
      </c>
      <c r="AM148" s="6" t="n">
        <f aca="false">(10-(LEN(AN148)))+1</f>
        <v>7</v>
      </c>
      <c r="AN148" s="6" t="n">
        <v>4113</v>
      </c>
      <c r="AO148" s="6" t="str">
        <f aca="false">IF($J148="NA","NA",IF(AND($J148&gt;1929,AN148&gt;0),"ERRO","OK"))</f>
        <v>OK</v>
      </c>
      <c r="AP148" s="6" t="n">
        <f aca="false">(10-(LEN(AQ148)))+1</f>
        <v>10</v>
      </c>
      <c r="AQ148" s="6" t="n">
        <v>0</v>
      </c>
      <c r="AR148" s="6" t="str">
        <f aca="false">IF($J148="NA","NA",IF(AND($J148&gt;1919,AQ148&gt;0),"ERRO","OK"))</f>
        <v>OK</v>
      </c>
      <c r="AS148" s="6" t="n">
        <f aca="false">(10-(LEN(AT148)))+1</f>
        <v>10</v>
      </c>
      <c r="AT148" s="6" t="n">
        <v>0</v>
      </c>
      <c r="AU148" s="6" t="str">
        <f aca="false">IF($J148="NA","NA",IF(AND($J148&gt;1909,AT148&gt;0),"ERRO","OK"))</f>
        <v>OK</v>
      </c>
      <c r="AV148" s="6" t="n">
        <f aca="false">(10-(LEN(AW148)))+1</f>
        <v>10</v>
      </c>
      <c r="AW148" s="6" t="n">
        <v>0</v>
      </c>
      <c r="AX148" s="6" t="str">
        <f aca="false">IF($J148="NA","NA",IF(AND($J148&gt;1899,AW148&gt;0),"ERRO","OK"))</f>
        <v>OK</v>
      </c>
    </row>
    <row r="149" customFormat="false" ht="15" hidden="false" customHeight="false" outlineLevel="0" collapsed="false">
      <c r="A149" s="7" t="n">
        <v>146</v>
      </c>
      <c r="B149" s="0" t="s">
        <v>166</v>
      </c>
      <c r="C149" s="8" t="n">
        <v>45312</v>
      </c>
      <c r="D149" s="6" t="n">
        <v>0</v>
      </c>
      <c r="E149" s="0" t="s">
        <v>16</v>
      </c>
      <c r="F149" s="0" t="s">
        <v>17</v>
      </c>
      <c r="G149" s="9" t="str">
        <f aca="false">IF(OR(N149="ERRO",Q149="ERRO",T149="ERRO",W149="ERRO",Z149="ERRO",AC149="ERRO",AF149="ERRO",AI149="ERRO",AL149="ERRO",AO149="ERRO",AR149="ERRO",AU149="ERRO",AX149="ERRO"),"ERRO","OK")</f>
        <v>OK</v>
      </c>
      <c r="H149" s="9" t="n">
        <f aca="false">COUNTIF(L149:AX149,"ERRO")</f>
        <v>0</v>
      </c>
      <c r="I149" s="9" t="s">
        <v>18</v>
      </c>
      <c r="J149" s="10" t="n">
        <v>1894</v>
      </c>
      <c r="K149" s="10" t="n">
        <v>1950</v>
      </c>
      <c r="L149" s="6" t="n">
        <f aca="false">(10-(LEN(M149)))+1</f>
        <v>10</v>
      </c>
      <c r="M149" s="6" t="n">
        <v>0</v>
      </c>
      <c r="N149" s="6" t="str">
        <f aca="false">IF($J149="NA","NA",IF(AND($J149&gt;2019,M149&gt;0),"ERRO","OK"))</f>
        <v>OK</v>
      </c>
      <c r="O149" s="6" t="n">
        <f aca="false">(10-(LEN(P149)))+1</f>
        <v>8</v>
      </c>
      <c r="P149" s="6" t="n">
        <v>757</v>
      </c>
      <c r="Q149" s="6" t="str">
        <f aca="false">IF($J149="NA","NA",IF(AND($J149&gt;2009,P149&gt;0),"ERRO","OK"))</f>
        <v>OK</v>
      </c>
      <c r="R149" s="6" t="n">
        <f aca="false">(10-(LEN(S149)))+1</f>
        <v>10</v>
      </c>
      <c r="S149" s="6" t="n">
        <v>0</v>
      </c>
      <c r="T149" s="6" t="str">
        <f aca="false">IF($J149="NA","NA",IF(AND($J149&gt;1999,S149&gt;0),"ERRO","OK"))</f>
        <v>OK</v>
      </c>
      <c r="U149" s="6" t="n">
        <f aca="false">(10-(LEN(V149)))+1</f>
        <v>9</v>
      </c>
      <c r="V149" s="6" t="n">
        <v>97</v>
      </c>
      <c r="W149" s="6" t="str">
        <f aca="false">IF($J149="NA","NA",IF(AND($J149&gt;1989,V149&gt;0),"ERRO","OK"))</f>
        <v>OK</v>
      </c>
      <c r="X149" s="6" t="n">
        <f aca="false">(10-(LEN(Y149)))+1</f>
        <v>10</v>
      </c>
      <c r="Y149" s="6" t="n">
        <v>0</v>
      </c>
      <c r="Z149" s="6" t="str">
        <f aca="false">IF($J149="NA","NA",IF(AND($J149&gt;1979,Y149&gt;0),"ERRO","OK"))</f>
        <v>OK</v>
      </c>
      <c r="AA149" s="6" t="n">
        <f aca="false">(10-(LEN(AB149)))+1</f>
        <v>8</v>
      </c>
      <c r="AB149" s="6" t="n">
        <v>492</v>
      </c>
      <c r="AC149" s="6" t="str">
        <f aca="false">IF($J149="NA","NA",IF(AND($J149&gt;1969,AB149&gt;0),"ERRO","OK"))</f>
        <v>OK</v>
      </c>
      <c r="AD149" s="6" t="n">
        <f aca="false">(10-(LEN(AE149)))+1</f>
        <v>8</v>
      </c>
      <c r="AE149" s="6" t="n">
        <v>566</v>
      </c>
      <c r="AF149" s="6" t="str">
        <f aca="false">IF($J149="NA","NA",IF(AND($J149&gt;1959,AE149&gt;0),"ERRO","OK"))</f>
        <v>OK</v>
      </c>
      <c r="AG149" s="6" t="n">
        <f aca="false">(10-(LEN(AH149)))+1</f>
        <v>10</v>
      </c>
      <c r="AH149" s="6" t="n">
        <v>0</v>
      </c>
      <c r="AI149" s="6" t="str">
        <f aca="false">IF($J149="NA","NA",IF(AND($J149&gt;1949,AH149&gt;0),"ERRO","OK"))</f>
        <v>OK</v>
      </c>
      <c r="AJ149" s="6" t="n">
        <f aca="false">(10-(LEN(AK149)))+1</f>
        <v>8</v>
      </c>
      <c r="AK149" s="6" t="n">
        <v>293</v>
      </c>
      <c r="AL149" s="6" t="str">
        <f aca="false">IF($J149="NA","NA",IF(AND($J149&gt;1939,AK149&gt;0),"ERRO","OK"))</f>
        <v>OK</v>
      </c>
      <c r="AM149" s="6" t="n">
        <f aca="false">(10-(LEN(AN149)))+1</f>
        <v>8</v>
      </c>
      <c r="AN149" s="6" t="n">
        <v>160</v>
      </c>
      <c r="AO149" s="6" t="str">
        <f aca="false">IF($J149="NA","NA",IF(AND($J149&gt;1929,AN149&gt;0),"ERRO","OK"))</f>
        <v>OK</v>
      </c>
      <c r="AP149" s="6" t="n">
        <f aca="false">(10-(LEN(AQ149)))+1</f>
        <v>10</v>
      </c>
      <c r="AQ149" s="6" t="n">
        <v>0</v>
      </c>
      <c r="AR149" s="6" t="str">
        <f aca="false">IF($J149="NA","NA",IF(AND($J149&gt;1919,AQ149&gt;0),"ERRO","OK"))</f>
        <v>OK</v>
      </c>
      <c r="AS149" s="6" t="n">
        <f aca="false">(10-(LEN(AT149)))+1</f>
        <v>10</v>
      </c>
      <c r="AT149" s="6" t="n">
        <v>0</v>
      </c>
      <c r="AU149" s="6" t="str">
        <f aca="false">IF($J149="NA","NA",IF(AND($J149&gt;1909,AT149&gt;0),"ERRO","OK"))</f>
        <v>OK</v>
      </c>
      <c r="AV149" s="6" t="n">
        <f aca="false">(10-(LEN(AW149)))+1</f>
        <v>10</v>
      </c>
      <c r="AW149" s="6" t="n">
        <v>0</v>
      </c>
      <c r="AX149" s="6" t="str">
        <f aca="false">IF($J149="NA","NA",IF(AND($J149&gt;1899,AW149&gt;0),"ERRO","OK"))</f>
        <v>OK</v>
      </c>
    </row>
    <row r="150" customFormat="false" ht="15" hidden="false" customHeight="false" outlineLevel="0" collapsed="false">
      <c r="A150" s="7" t="n">
        <v>147</v>
      </c>
      <c r="B150" s="0" t="s">
        <v>167</v>
      </c>
      <c r="C150" s="8" t="n">
        <v>45312</v>
      </c>
      <c r="D150" s="6" t="n">
        <v>0</v>
      </c>
      <c r="E150" s="0" t="s">
        <v>16</v>
      </c>
      <c r="F150" s="0" t="s">
        <v>17</v>
      </c>
      <c r="G150" s="9" t="str">
        <f aca="false">IF(OR(N150="ERRO",Q150="ERRO",T150="ERRO",W150="ERRO",Z150="ERRO",AC150="ERRO",AF150="ERRO",AI150="ERRO",AL150="ERRO",AO150="ERRO",AR150="ERRO",AU150="ERRO",AX150="ERRO"),"ERRO","OK")</f>
        <v>OK</v>
      </c>
      <c r="H150" s="9" t="n">
        <f aca="false">COUNTIF(L150:AX150,"ERRO")</f>
        <v>0</v>
      </c>
      <c r="I150" s="9" t="s">
        <v>18</v>
      </c>
      <c r="J150" s="10" t="s">
        <v>22</v>
      </c>
      <c r="K150" s="10" t="s">
        <v>22</v>
      </c>
      <c r="L150" s="6" t="n">
        <f aca="false">(10-(LEN(M150)))+1</f>
        <v>10</v>
      </c>
      <c r="M150" s="6" t="n">
        <v>0</v>
      </c>
      <c r="N150" s="6" t="str">
        <f aca="false">IF($J150="NA","NA",IF(AND($J150&gt;2019,M150&gt;0),"ERRO","OK"))</f>
        <v>NA</v>
      </c>
      <c r="O150" s="6" t="n">
        <f aca="false">(10-(LEN(P150)))+1</f>
        <v>10</v>
      </c>
      <c r="P150" s="6" t="n">
        <v>0</v>
      </c>
      <c r="Q150" s="6" t="str">
        <f aca="false">IF($J150="NA","NA",IF(AND($J150&gt;2009,P150&gt;0),"ERRO","OK"))</f>
        <v>NA</v>
      </c>
      <c r="R150" s="6" t="n">
        <f aca="false">(10-(LEN(S150)))+1</f>
        <v>10</v>
      </c>
      <c r="S150" s="6" t="n">
        <v>0</v>
      </c>
      <c r="T150" s="6" t="str">
        <f aca="false">IF($J150="NA","NA",IF(AND($J150&gt;1999,S150&gt;0),"ERRO","OK"))</f>
        <v>NA</v>
      </c>
      <c r="U150" s="6" t="n">
        <f aca="false">(10-(LEN(V150)))+1</f>
        <v>10</v>
      </c>
      <c r="V150" s="6" t="n">
        <v>0</v>
      </c>
      <c r="W150" s="6" t="str">
        <f aca="false">IF($J150="NA","NA",IF(AND($J150&gt;1989,V150&gt;0),"ERRO","OK"))</f>
        <v>NA</v>
      </c>
      <c r="X150" s="6" t="n">
        <f aca="false">(10-(LEN(Y150)))+1</f>
        <v>10</v>
      </c>
      <c r="Y150" s="6" t="n">
        <v>0</v>
      </c>
      <c r="Z150" s="6" t="str">
        <f aca="false">IF($J150="NA","NA",IF(AND($J150&gt;1979,Y150&gt;0),"ERRO","OK"))</f>
        <v>NA</v>
      </c>
      <c r="AA150" s="6" t="n">
        <f aca="false">(10-(LEN(AB150)))+1</f>
        <v>10</v>
      </c>
      <c r="AB150" s="6" t="n">
        <v>0</v>
      </c>
      <c r="AC150" s="6" t="str">
        <f aca="false">IF($J150="NA","NA",IF(AND($J150&gt;1969,AB150&gt;0),"ERRO","OK"))</f>
        <v>NA</v>
      </c>
      <c r="AD150" s="6" t="n">
        <f aca="false">(10-(LEN(AE150)))+1</f>
        <v>10</v>
      </c>
      <c r="AE150" s="6" t="n">
        <v>0</v>
      </c>
      <c r="AF150" s="6" t="str">
        <f aca="false">IF($J150="NA","NA",IF(AND($J150&gt;1959,AE150&gt;0),"ERRO","OK"))</f>
        <v>NA</v>
      </c>
      <c r="AG150" s="6" t="n">
        <f aca="false">(10-(LEN(AH150)))+1</f>
        <v>10</v>
      </c>
      <c r="AH150" s="6" t="n">
        <v>0</v>
      </c>
      <c r="AI150" s="6" t="str">
        <f aca="false">IF($J150="NA","NA",IF(AND($J150&gt;1949,AH150&gt;0),"ERRO","OK"))</f>
        <v>NA</v>
      </c>
      <c r="AJ150" s="6" t="n">
        <f aca="false">(10-(LEN(AK150)))+1</f>
        <v>10</v>
      </c>
      <c r="AK150" s="6" t="n">
        <v>0</v>
      </c>
      <c r="AL150" s="6" t="str">
        <f aca="false">IF($J150="NA","NA",IF(AND($J150&gt;1939,AK150&gt;0),"ERRO","OK"))</f>
        <v>NA</v>
      </c>
      <c r="AM150" s="6" t="n">
        <f aca="false">(10-(LEN(AN150)))+1</f>
        <v>10</v>
      </c>
      <c r="AN150" s="6" t="n">
        <v>0</v>
      </c>
      <c r="AO150" s="6" t="str">
        <f aca="false">IF($J150="NA","NA",IF(AND($J150&gt;1929,AN150&gt;0),"ERRO","OK"))</f>
        <v>NA</v>
      </c>
      <c r="AP150" s="6" t="n">
        <f aca="false">(10-(LEN(AQ150)))+1</f>
        <v>10</v>
      </c>
      <c r="AQ150" s="6" t="n">
        <v>0</v>
      </c>
      <c r="AR150" s="6" t="str">
        <f aca="false">IF($J150="NA","NA",IF(AND($J150&gt;1919,AQ150&gt;0),"ERRO","OK"))</f>
        <v>NA</v>
      </c>
      <c r="AS150" s="6" t="n">
        <f aca="false">(10-(LEN(AT150)))+1</f>
        <v>10</v>
      </c>
      <c r="AT150" s="6" t="n">
        <v>0</v>
      </c>
      <c r="AU150" s="6" t="str">
        <f aca="false">IF($J150="NA","NA",IF(AND($J150&gt;1909,AT150&gt;0),"ERRO","OK"))</f>
        <v>NA</v>
      </c>
      <c r="AV150" s="6" t="n">
        <f aca="false">(10-(LEN(AW150)))+1</f>
        <v>10</v>
      </c>
      <c r="AW150" s="6" t="n">
        <v>0</v>
      </c>
      <c r="AX150" s="6" t="str">
        <f aca="false">IF($J150="NA","NA",IF(AND($J150&gt;1899,AW150&gt;0),"ERRO","OK"))</f>
        <v>NA</v>
      </c>
    </row>
    <row r="151" customFormat="false" ht="15" hidden="false" customHeight="false" outlineLevel="0" collapsed="false">
      <c r="A151" s="7" t="n">
        <v>148</v>
      </c>
      <c r="B151" s="0" t="s">
        <v>168</v>
      </c>
      <c r="C151" s="8" t="n">
        <v>45312</v>
      </c>
      <c r="D151" s="6" t="n">
        <v>0</v>
      </c>
      <c r="E151" s="0" t="s">
        <v>16</v>
      </c>
      <c r="F151" s="0" t="s">
        <v>17</v>
      </c>
      <c r="G151" s="9" t="str">
        <f aca="false">IF(OR(N151="ERRO",Q151="ERRO",T151="ERRO",W151="ERRO",Z151="ERRO",AC151="ERRO",AF151="ERRO",AI151="ERRO",AL151="ERRO",AO151="ERRO",AR151="ERRO",AU151="ERRO",AX151="ERRO"),"ERRO","OK")</f>
        <v>OK</v>
      </c>
      <c r="H151" s="9" t="n">
        <f aca="false">COUNTIF(L151:AX151,"ERRO")</f>
        <v>0</v>
      </c>
      <c r="I151" s="9" t="s">
        <v>18</v>
      </c>
      <c r="J151" s="10" t="n">
        <v>1896</v>
      </c>
      <c r="K151" s="10" t="n">
        <v>1989</v>
      </c>
      <c r="L151" s="6" t="n">
        <f aca="false">(10-(LEN(M151)))+1</f>
        <v>7</v>
      </c>
      <c r="M151" s="6" t="n">
        <v>8287</v>
      </c>
      <c r="N151" s="6" t="str">
        <f aca="false">IF($J151="NA","NA",IF(AND($J151&gt;2019,M151&gt;0),"ERRO","OK"))</f>
        <v>OK</v>
      </c>
      <c r="O151" s="6" t="n">
        <f aca="false">(10-(LEN(P151)))+1</f>
        <v>6</v>
      </c>
      <c r="P151" s="6" t="n">
        <v>12864</v>
      </c>
      <c r="Q151" s="6" t="str">
        <f aca="false">IF($J151="NA","NA",IF(AND($J151&gt;2009,P151&gt;0),"ERRO","OK"))</f>
        <v>OK</v>
      </c>
      <c r="R151" s="6" t="n">
        <f aca="false">(10-(LEN(S151)))+1</f>
        <v>6</v>
      </c>
      <c r="S151" s="6" t="n">
        <v>21386</v>
      </c>
      <c r="T151" s="6" t="str">
        <f aca="false">IF($J151="NA","NA",IF(AND($J151&gt;1999,S151&gt;0),"ERRO","OK"))</f>
        <v>OK</v>
      </c>
      <c r="U151" s="6" t="n">
        <f aca="false">(10-(LEN(V151)))+1</f>
        <v>6</v>
      </c>
      <c r="V151" s="6" t="n">
        <v>54087</v>
      </c>
      <c r="W151" s="6" t="str">
        <f aca="false">IF($J151="NA","NA",IF(AND($J151&gt;1989,V151&gt;0),"ERRO","OK"))</f>
        <v>OK</v>
      </c>
      <c r="X151" s="6" t="n">
        <f aca="false">(10-(LEN(Y151)))+1</f>
        <v>6</v>
      </c>
      <c r="Y151" s="6" t="n">
        <v>38099</v>
      </c>
      <c r="Z151" s="6" t="str">
        <f aca="false">IF($J151="NA","NA",IF(AND($J151&gt;1979,Y151&gt;0),"ERRO","OK"))</f>
        <v>OK</v>
      </c>
      <c r="AA151" s="6" t="n">
        <f aca="false">(10-(LEN(AB151)))+1</f>
        <v>6</v>
      </c>
      <c r="AB151" s="6" t="n">
        <v>45120</v>
      </c>
      <c r="AC151" s="6" t="str">
        <f aca="false">IF($J151="NA","NA",IF(AND($J151&gt;1969,AB151&gt;0),"ERRO","OK"))</f>
        <v>OK</v>
      </c>
      <c r="AD151" s="6" t="n">
        <f aca="false">(10-(LEN(AE151)))+1</f>
        <v>6</v>
      </c>
      <c r="AE151" s="6" t="n">
        <v>28705</v>
      </c>
      <c r="AF151" s="6" t="str">
        <f aca="false">IF($J151="NA","NA",IF(AND($J151&gt;1959,AE151&gt;0),"ERRO","OK"))</f>
        <v>OK</v>
      </c>
      <c r="AG151" s="6" t="n">
        <f aca="false">(10-(LEN(AH151)))+1</f>
        <v>7</v>
      </c>
      <c r="AH151" s="6" t="n">
        <v>9802</v>
      </c>
      <c r="AI151" s="6" t="str">
        <f aca="false">IF($J151="NA","NA",IF(AND($J151&gt;1949,AH151&gt;0),"ERRO","OK"))</f>
        <v>OK</v>
      </c>
      <c r="AJ151" s="6" t="n">
        <f aca="false">(10-(LEN(AK151)))+1</f>
        <v>6</v>
      </c>
      <c r="AK151" s="6" t="n">
        <v>12394</v>
      </c>
      <c r="AL151" s="6" t="str">
        <f aca="false">IF($J151="NA","NA",IF(AND($J151&gt;1939,AK151&gt;0),"ERRO","OK"))</f>
        <v>OK</v>
      </c>
      <c r="AM151" s="6" t="n">
        <f aca="false">(10-(LEN(AN151)))+1</f>
        <v>8</v>
      </c>
      <c r="AN151" s="6" t="n">
        <v>457</v>
      </c>
      <c r="AO151" s="6" t="str">
        <f aca="false">IF($J151="NA","NA",IF(AND($J151&gt;1929,AN151&gt;0),"ERRO","OK"))</f>
        <v>OK</v>
      </c>
      <c r="AP151" s="6" t="n">
        <f aca="false">(10-(LEN(AQ151)))+1</f>
        <v>10</v>
      </c>
      <c r="AQ151" s="6" t="n">
        <v>0</v>
      </c>
      <c r="AR151" s="6" t="str">
        <f aca="false">IF($J151="NA","NA",IF(AND($J151&gt;1919,AQ151&gt;0),"ERRO","OK"))</f>
        <v>OK</v>
      </c>
      <c r="AS151" s="6" t="n">
        <f aca="false">(10-(LEN(AT151)))+1</f>
        <v>10</v>
      </c>
      <c r="AT151" s="6" t="n">
        <v>0</v>
      </c>
      <c r="AU151" s="6" t="str">
        <f aca="false">IF($J151="NA","NA",IF(AND($J151&gt;1909,AT151&gt;0),"ERRO","OK"))</f>
        <v>OK</v>
      </c>
      <c r="AV151" s="6" t="n">
        <f aca="false">(10-(LEN(AW151)))+1</f>
        <v>10</v>
      </c>
      <c r="AW151" s="6" t="n">
        <v>0</v>
      </c>
      <c r="AX151" s="6" t="str">
        <f aca="false">IF($J151="NA","NA",IF(AND($J151&gt;1899,AW151&gt;0),"ERRO","OK"))</f>
        <v>OK</v>
      </c>
    </row>
    <row r="152" customFormat="false" ht="15" hidden="false" customHeight="false" outlineLevel="0" collapsed="false">
      <c r="A152" s="7" t="n">
        <v>149</v>
      </c>
      <c r="B152" s="0" t="s">
        <v>169</v>
      </c>
      <c r="C152" s="8" t="n">
        <v>45312</v>
      </c>
      <c r="D152" s="6" t="n">
        <v>0</v>
      </c>
      <c r="E152" s="0" t="s">
        <v>16</v>
      </c>
      <c r="F152" s="0" t="s">
        <v>17</v>
      </c>
      <c r="G152" s="9" t="str">
        <f aca="false">IF(OR(N152="ERRO",Q152="ERRO",T152="ERRO",W152="ERRO",Z152="ERRO",AC152="ERRO",AF152="ERRO",AI152="ERRO",AL152="ERRO",AO152="ERRO",AR152="ERRO",AU152="ERRO",AX152="ERRO"),"ERRO","OK")</f>
        <v>OK</v>
      </c>
      <c r="H152" s="9" t="n">
        <f aca="false">COUNTIF(L152:AX152,"ERRO")</f>
        <v>0</v>
      </c>
      <c r="I152" s="9" t="s">
        <v>18</v>
      </c>
      <c r="J152" s="10" t="n">
        <v>1902</v>
      </c>
      <c r="K152" s="10" t="n">
        <v>1994</v>
      </c>
      <c r="L152" s="6" t="n">
        <f aca="false">(10-(LEN(M152)))+1</f>
        <v>10</v>
      </c>
      <c r="M152" s="6" t="n">
        <v>0</v>
      </c>
      <c r="N152" s="6" t="str">
        <f aca="false">IF($J152="NA","NA",IF(AND($J152&gt;2019,M152&gt;0),"ERRO","OK"))</f>
        <v>OK</v>
      </c>
      <c r="O152" s="6" t="n">
        <f aca="false">(10-(LEN(P152)))+1</f>
        <v>10</v>
      </c>
      <c r="P152" s="6" t="n">
        <v>0</v>
      </c>
      <c r="Q152" s="6" t="str">
        <f aca="false">IF($J152="NA","NA",IF(AND($J152&gt;2009,P152&gt;0),"ERRO","OK"))</f>
        <v>OK</v>
      </c>
      <c r="R152" s="6" t="n">
        <f aca="false">(10-(LEN(S152)))+1</f>
        <v>10</v>
      </c>
      <c r="S152" s="6" t="n">
        <v>0</v>
      </c>
      <c r="T152" s="6" t="str">
        <f aca="false">IF($J152="NA","NA",IF(AND($J152&gt;1999,S152&gt;0),"ERRO","OK"))</f>
        <v>OK</v>
      </c>
      <c r="U152" s="6" t="n">
        <f aca="false">(10-(LEN(V152)))+1</f>
        <v>10</v>
      </c>
      <c r="V152" s="6" t="n">
        <v>0</v>
      </c>
      <c r="W152" s="6" t="str">
        <f aca="false">IF($J152="NA","NA",IF(AND($J152&gt;1989,V152&gt;0),"ERRO","OK"))</f>
        <v>OK</v>
      </c>
      <c r="X152" s="6" t="n">
        <f aca="false">(10-(LEN(Y152)))+1</f>
        <v>10</v>
      </c>
      <c r="Y152" s="6" t="n">
        <v>0</v>
      </c>
      <c r="Z152" s="6" t="str">
        <f aca="false">IF($J152="NA","NA",IF(AND($J152&gt;1979,Y152&gt;0),"ERRO","OK"))</f>
        <v>OK</v>
      </c>
      <c r="AA152" s="6" t="n">
        <f aca="false">(10-(LEN(AB152)))+1</f>
        <v>10</v>
      </c>
      <c r="AB152" s="6" t="n">
        <v>0</v>
      </c>
      <c r="AC152" s="6" t="str">
        <f aca="false">IF($J152="NA","NA",IF(AND($J152&gt;1969,AB152&gt;0),"ERRO","OK"))</f>
        <v>OK</v>
      </c>
      <c r="AD152" s="6" t="n">
        <f aca="false">(10-(LEN(AE152)))+1</f>
        <v>10</v>
      </c>
      <c r="AE152" s="6" t="n">
        <v>0</v>
      </c>
      <c r="AF152" s="6" t="str">
        <f aca="false">IF($J152="NA","NA",IF(AND($J152&gt;1959,AE152&gt;0),"ERRO","OK"))</f>
        <v>OK</v>
      </c>
      <c r="AG152" s="6" t="n">
        <f aca="false">(10-(LEN(AH152)))+1</f>
        <v>10</v>
      </c>
      <c r="AH152" s="6" t="n">
        <v>0</v>
      </c>
      <c r="AI152" s="6" t="str">
        <f aca="false">IF($J152="NA","NA",IF(AND($J152&gt;1949,AH152&gt;0),"ERRO","OK"))</f>
        <v>OK</v>
      </c>
      <c r="AJ152" s="6" t="n">
        <f aca="false">(10-(LEN(AK152)))+1</f>
        <v>10</v>
      </c>
      <c r="AK152" s="6" t="n">
        <v>0</v>
      </c>
      <c r="AL152" s="6" t="str">
        <f aca="false">IF($J152="NA","NA",IF(AND($J152&gt;1939,AK152&gt;0),"ERRO","OK"))</f>
        <v>OK</v>
      </c>
      <c r="AM152" s="6" t="n">
        <f aca="false">(10-(LEN(AN152)))+1</f>
        <v>10</v>
      </c>
      <c r="AN152" s="6" t="n">
        <v>0</v>
      </c>
      <c r="AO152" s="6" t="str">
        <f aca="false">IF($J152="NA","NA",IF(AND($J152&gt;1929,AN152&gt;0),"ERRO","OK"))</f>
        <v>OK</v>
      </c>
      <c r="AP152" s="6" t="n">
        <f aca="false">(10-(LEN(AQ152)))+1</f>
        <v>10</v>
      </c>
      <c r="AQ152" s="6" t="n">
        <v>0</v>
      </c>
      <c r="AR152" s="6" t="str">
        <f aca="false">IF($J152="NA","NA",IF(AND($J152&gt;1919,AQ152&gt;0),"ERRO","OK"))</f>
        <v>OK</v>
      </c>
      <c r="AS152" s="6" t="n">
        <f aca="false">(10-(LEN(AT152)))+1</f>
        <v>10</v>
      </c>
      <c r="AT152" s="6" t="n">
        <v>0</v>
      </c>
      <c r="AU152" s="6" t="str">
        <f aca="false">IF($J152="NA","NA",IF(AND($J152&gt;1909,AT152&gt;0),"ERRO","OK"))</f>
        <v>OK</v>
      </c>
      <c r="AV152" s="6" t="n">
        <f aca="false">(10-(LEN(AW152)))+1</f>
        <v>10</v>
      </c>
      <c r="AW152" s="6" t="n">
        <v>0</v>
      </c>
      <c r="AX152" s="6" t="str">
        <f aca="false">IF($J152="NA","NA",IF(AND($J152&gt;1899,AW152&gt;0),"ERRO","OK"))</f>
        <v>OK</v>
      </c>
    </row>
    <row r="153" customFormat="false" ht="15" hidden="false" customHeight="false" outlineLevel="0" collapsed="false">
      <c r="A153" s="7" t="n">
        <v>150</v>
      </c>
      <c r="B153" s="0" t="s">
        <v>170</v>
      </c>
      <c r="C153" s="8" t="n">
        <v>45312</v>
      </c>
      <c r="D153" s="6" t="n">
        <v>0</v>
      </c>
      <c r="E153" s="0" t="s">
        <v>16</v>
      </c>
      <c r="F153" s="0" t="s">
        <v>17</v>
      </c>
      <c r="G153" s="9" t="str">
        <f aca="false">IF(OR(N153="ERRO",Q153="ERRO",T153="ERRO",W153="ERRO",Z153="ERRO",AC153="ERRO",AF153="ERRO",AI153="ERRO",AL153="ERRO",AO153="ERRO",AR153="ERRO",AU153="ERRO",AX153="ERRO"),"ERRO","OK")</f>
        <v>OK</v>
      </c>
      <c r="H153" s="9" t="n">
        <f aca="false">COUNTIF(L153:AX153,"ERRO")</f>
        <v>0</v>
      </c>
      <c r="I153" s="9" t="s">
        <v>18</v>
      </c>
      <c r="J153" s="10" t="n">
        <v>1907</v>
      </c>
      <c r="K153" s="10" t="n">
        <v>1954</v>
      </c>
      <c r="L153" s="6" t="n">
        <f aca="false">(10-(LEN(M153)))+1</f>
        <v>5</v>
      </c>
      <c r="M153" s="6" t="n">
        <v>107275</v>
      </c>
      <c r="N153" s="6" t="str">
        <f aca="false">IF($J153="NA","NA",IF(AND($J153&gt;2019,M153&gt;0),"ERRO","OK"))</f>
        <v>OK</v>
      </c>
      <c r="O153" s="6" t="n">
        <f aca="false">(10-(LEN(P153)))+1</f>
        <v>6</v>
      </c>
      <c r="P153" s="6" t="n">
        <v>90151</v>
      </c>
      <c r="Q153" s="6" t="str">
        <f aca="false">IF($J153="NA","NA",IF(AND($J153&gt;2009,P153&gt;0),"ERRO","OK"))</f>
        <v>OK</v>
      </c>
      <c r="R153" s="6" t="n">
        <f aca="false">(10-(LEN(S153)))+1</f>
        <v>6</v>
      </c>
      <c r="S153" s="6" t="n">
        <v>83107</v>
      </c>
      <c r="T153" s="6" t="str">
        <f aca="false">IF($J153="NA","NA",IF(AND($J153&gt;1999,S153&gt;0),"ERRO","OK"))</f>
        <v>OK</v>
      </c>
      <c r="U153" s="6" t="n">
        <f aca="false">(10-(LEN(V153)))+1</f>
        <v>6</v>
      </c>
      <c r="V153" s="6" t="n">
        <v>59238</v>
      </c>
      <c r="W153" s="6" t="str">
        <f aca="false">IF($J153="NA","NA",IF(AND($J153&gt;1989,V153&gt;0),"ERRO","OK"))</f>
        <v>OK</v>
      </c>
      <c r="X153" s="6" t="n">
        <f aca="false">(10-(LEN(Y153)))+1</f>
        <v>6</v>
      </c>
      <c r="Y153" s="6" t="n">
        <v>18621</v>
      </c>
      <c r="Z153" s="6" t="str">
        <f aca="false">IF($J153="NA","NA",IF(AND($J153&gt;1979,Y153&gt;0),"ERRO","OK"))</f>
        <v>OK</v>
      </c>
      <c r="AA153" s="6" t="n">
        <f aca="false">(10-(LEN(AB153)))+1</f>
        <v>7</v>
      </c>
      <c r="AB153" s="6" t="n">
        <v>4395</v>
      </c>
      <c r="AC153" s="6" t="str">
        <f aca="false">IF($J153="NA","NA",IF(AND($J153&gt;1969,AB153&gt;0),"ERRO","OK"))</f>
        <v>OK</v>
      </c>
      <c r="AD153" s="6" t="n">
        <f aca="false">(10-(LEN(AE153)))+1</f>
        <v>7</v>
      </c>
      <c r="AE153" s="6" t="n">
        <v>1615</v>
      </c>
      <c r="AF153" s="6" t="str">
        <f aca="false">IF($J153="NA","NA",IF(AND($J153&gt;1959,AE153&gt;0),"ERRO","OK"))</f>
        <v>OK</v>
      </c>
      <c r="AG153" s="6" t="n">
        <f aca="false">(10-(LEN(AH153)))+1</f>
        <v>7</v>
      </c>
      <c r="AH153" s="6" t="n">
        <v>2423</v>
      </c>
      <c r="AI153" s="6" t="str">
        <f aca="false">IF($J153="NA","NA",IF(AND($J153&gt;1949,AH153&gt;0),"ERRO","OK"))</f>
        <v>OK</v>
      </c>
      <c r="AJ153" s="6" t="n">
        <f aca="false">(10-(LEN(AK153)))+1</f>
        <v>6</v>
      </c>
      <c r="AK153" s="6" t="n">
        <v>12672</v>
      </c>
      <c r="AL153" s="6" t="str">
        <f aca="false">IF($J153="NA","NA",IF(AND($J153&gt;1939,AK153&gt;0),"ERRO","OK"))</f>
        <v>OK</v>
      </c>
      <c r="AM153" s="6" t="n">
        <f aca="false">(10-(LEN(AN153)))+1</f>
        <v>10</v>
      </c>
      <c r="AN153" s="6" t="n">
        <v>0</v>
      </c>
      <c r="AO153" s="6" t="str">
        <f aca="false">IF($J153="NA","NA",IF(AND($J153&gt;1929,AN153&gt;0),"ERRO","OK"))</f>
        <v>OK</v>
      </c>
      <c r="AP153" s="6" t="n">
        <f aca="false">(10-(LEN(AQ153)))+1</f>
        <v>8</v>
      </c>
      <c r="AQ153" s="6" t="n">
        <v>100</v>
      </c>
      <c r="AR153" s="6" t="str">
        <f aca="false">IF($J153="NA","NA",IF(AND($J153&gt;1919,AQ153&gt;0),"ERRO","OK"))</f>
        <v>OK</v>
      </c>
      <c r="AS153" s="6" t="n">
        <f aca="false">(10-(LEN(AT153)))+1</f>
        <v>10</v>
      </c>
      <c r="AT153" s="6" t="n">
        <v>0</v>
      </c>
      <c r="AU153" s="6" t="str">
        <f aca="false">IF($J153="NA","NA",IF(AND($J153&gt;1909,AT153&gt;0),"ERRO","OK"))</f>
        <v>OK</v>
      </c>
      <c r="AV153" s="6" t="n">
        <f aca="false">(10-(LEN(AW153)))+1</f>
        <v>10</v>
      </c>
      <c r="AW153" s="6" t="n">
        <v>0</v>
      </c>
      <c r="AX153" s="6" t="str">
        <f aca="false">IF($J153="NA","NA",IF(AND($J153&gt;1899,AW153&gt;0),"ERRO","OK"))</f>
        <v>OK</v>
      </c>
    </row>
    <row r="154" customFormat="false" ht="15" hidden="false" customHeight="false" outlineLevel="0" collapsed="false">
      <c r="A154" s="7" t="n">
        <v>151</v>
      </c>
      <c r="B154" s="0" t="s">
        <v>171</v>
      </c>
      <c r="C154" s="8" t="n">
        <v>45312</v>
      </c>
      <c r="D154" s="6" t="n">
        <v>0</v>
      </c>
      <c r="E154" s="0" t="s">
        <v>16</v>
      </c>
      <c r="F154" s="0" t="s">
        <v>17</v>
      </c>
      <c r="G154" s="9" t="str">
        <f aca="false">IF(OR(N154="ERRO",Q154="ERRO",T154="ERRO",W154="ERRO",Z154="ERRO",AC154="ERRO",AF154="ERRO",AI154="ERRO",AL154="ERRO",AO154="ERRO",AR154="ERRO",AU154="ERRO",AX154="ERRO"),"ERRO","OK")</f>
        <v>OK</v>
      </c>
      <c r="H154" s="9" t="n">
        <f aca="false">COUNTIF(L154:AX154,"ERRO")</f>
        <v>0</v>
      </c>
      <c r="I154" s="9" t="s">
        <v>18</v>
      </c>
      <c r="J154" s="10" t="n">
        <v>1886</v>
      </c>
      <c r="K154" s="10" t="n">
        <v>1957</v>
      </c>
      <c r="L154" s="6" t="n">
        <f aca="false">(10-(LEN(M154)))+1</f>
        <v>6</v>
      </c>
      <c r="M154" s="6" t="n">
        <v>84871</v>
      </c>
      <c r="N154" s="6" t="str">
        <f aca="false">IF($J154="NA","NA",IF(AND($J154&gt;2019,M154&gt;0),"ERRO","OK"))</f>
        <v>OK</v>
      </c>
      <c r="O154" s="6" t="n">
        <f aca="false">(10-(LEN(P154)))+1</f>
        <v>5</v>
      </c>
      <c r="P154" s="6" t="n">
        <v>107886</v>
      </c>
      <c r="Q154" s="6" t="str">
        <f aca="false">IF($J154="NA","NA",IF(AND($J154&gt;2009,P154&gt;0),"ERRO","OK"))</f>
        <v>OK</v>
      </c>
      <c r="R154" s="6" t="n">
        <f aca="false">(10-(LEN(S154)))+1</f>
        <v>5</v>
      </c>
      <c r="S154" s="6" t="n">
        <v>184071</v>
      </c>
      <c r="T154" s="6" t="str">
        <f aca="false">IF($J154="NA","NA",IF(AND($J154&gt;1999,S154&gt;0),"ERRO","OK"))</f>
        <v>OK</v>
      </c>
      <c r="U154" s="6" t="n">
        <f aca="false">(10-(LEN(V154)))+1</f>
        <v>5</v>
      </c>
      <c r="V154" s="6" t="n">
        <v>113876</v>
      </c>
      <c r="W154" s="6" t="str">
        <f aca="false">IF($J154="NA","NA",IF(AND($J154&gt;1989,V154&gt;0),"ERRO","OK"))</f>
        <v>OK</v>
      </c>
      <c r="X154" s="6" t="n">
        <f aca="false">(10-(LEN(Y154)))+1</f>
        <v>6</v>
      </c>
      <c r="Y154" s="6" t="n">
        <v>69134</v>
      </c>
      <c r="Z154" s="6" t="str">
        <f aca="false">IF($J154="NA","NA",IF(AND($J154&gt;1979,Y154&gt;0),"ERRO","OK"))</f>
        <v>OK</v>
      </c>
      <c r="AA154" s="6" t="n">
        <f aca="false">(10-(LEN(AB154)))+1</f>
        <v>6</v>
      </c>
      <c r="AB154" s="6" t="n">
        <v>58715</v>
      </c>
      <c r="AC154" s="6" t="str">
        <f aca="false">IF($J154="NA","NA",IF(AND($J154&gt;1969,AB154&gt;0),"ERRO","OK"))</f>
        <v>OK</v>
      </c>
      <c r="AD154" s="6" t="n">
        <f aca="false">(10-(LEN(AE154)))+1</f>
        <v>6</v>
      </c>
      <c r="AE154" s="6" t="n">
        <v>56783</v>
      </c>
      <c r="AF154" s="6" t="str">
        <f aca="false">IF($J154="NA","NA",IF(AND($J154&gt;1959,AE154&gt;0),"ERRO","OK"))</f>
        <v>OK</v>
      </c>
      <c r="AG154" s="6" t="n">
        <f aca="false">(10-(LEN(AH154)))+1</f>
        <v>6</v>
      </c>
      <c r="AH154" s="6" t="n">
        <v>66523</v>
      </c>
      <c r="AI154" s="6" t="str">
        <f aca="false">IF($J154="NA","NA",IF(AND($J154&gt;1949,AH154&gt;0),"ERRO","OK"))</f>
        <v>OK</v>
      </c>
      <c r="AJ154" s="6" t="n">
        <f aca="false">(10-(LEN(AK154)))+1</f>
        <v>5</v>
      </c>
      <c r="AK154" s="6" t="n">
        <v>158615</v>
      </c>
      <c r="AL154" s="6" t="str">
        <f aca="false">IF($J154="NA","NA",IF(AND($J154&gt;1939,AK154&gt;0),"ERRO","OK"))</f>
        <v>OK</v>
      </c>
      <c r="AM154" s="6" t="n">
        <f aca="false">(10-(LEN(AN154)))+1</f>
        <v>6</v>
      </c>
      <c r="AN154" s="6" t="n">
        <v>67939</v>
      </c>
      <c r="AO154" s="6" t="str">
        <f aca="false">IF($J154="NA","NA",IF(AND($J154&gt;1929,AN154&gt;0),"ERRO","OK"))</f>
        <v>OK</v>
      </c>
      <c r="AP154" s="6" t="n">
        <f aca="false">(10-(LEN(AQ154)))+1</f>
        <v>7</v>
      </c>
      <c r="AQ154" s="6" t="n">
        <v>1802</v>
      </c>
      <c r="AR154" s="6" t="str">
        <f aca="false">IF($J154="NA","NA",IF(AND($J154&gt;1919,AQ154&gt;0),"ERRO","OK"))</f>
        <v>OK</v>
      </c>
      <c r="AS154" s="6" t="n">
        <f aca="false">(10-(LEN(AT154)))+1</f>
        <v>10</v>
      </c>
      <c r="AT154" s="6" t="n">
        <v>0</v>
      </c>
      <c r="AU154" s="6" t="str">
        <f aca="false">IF($J154="NA","NA",IF(AND($J154&gt;1909,AT154&gt;0),"ERRO","OK"))</f>
        <v>OK</v>
      </c>
      <c r="AV154" s="6" t="n">
        <f aca="false">(10-(LEN(AW154)))+1</f>
        <v>10</v>
      </c>
      <c r="AW154" s="6" t="n">
        <v>0</v>
      </c>
      <c r="AX154" s="6" t="str">
        <f aca="false">IF($J154="NA","NA",IF(AND($J154&gt;1899,AW154&gt;0),"ERRO","OK"))</f>
        <v>OK</v>
      </c>
    </row>
    <row r="155" customFormat="false" ht="15" hidden="false" customHeight="false" outlineLevel="0" collapsed="false">
      <c r="A155" s="7" t="n">
        <v>152</v>
      </c>
      <c r="B155" s="0" t="s">
        <v>172</v>
      </c>
      <c r="C155" s="8" t="n">
        <v>45312</v>
      </c>
      <c r="D155" s="6" t="n">
        <v>0</v>
      </c>
      <c r="E155" s="0" t="s">
        <v>16</v>
      </c>
      <c r="F155" s="0" t="s">
        <v>17</v>
      </c>
      <c r="G155" s="9" t="str">
        <f aca="false">IF(OR(N155="ERRO",Q155="ERRO",T155="ERRO",W155="ERRO",Z155="ERRO",AC155="ERRO",AF155="ERRO",AI155="ERRO",AL155="ERRO",AO155="ERRO",AR155="ERRO",AU155="ERRO",AX155="ERRO"),"ERRO","OK")</f>
        <v>OK</v>
      </c>
      <c r="H155" s="9" t="n">
        <f aca="false">COUNTIF(L155:AX155,"ERRO")</f>
        <v>0</v>
      </c>
      <c r="I155" s="9" t="s">
        <v>18</v>
      </c>
      <c r="J155" s="10" t="n">
        <v>1890</v>
      </c>
      <c r="K155" s="10" t="n">
        <v>1973</v>
      </c>
      <c r="L155" s="6" t="n">
        <f aca="false">(10-(LEN(M155)))+1</f>
        <v>6</v>
      </c>
      <c r="M155" s="6" t="n">
        <v>14159</v>
      </c>
      <c r="N155" s="6" t="str">
        <f aca="false">IF($J155="NA","NA",IF(AND($J155&gt;2019,M155&gt;0),"ERRO","OK"))</f>
        <v>OK</v>
      </c>
      <c r="O155" s="6" t="n">
        <f aca="false">(10-(LEN(P155)))+1</f>
        <v>6</v>
      </c>
      <c r="P155" s="6" t="n">
        <v>16843</v>
      </c>
      <c r="Q155" s="6" t="str">
        <f aca="false">IF($J155="NA","NA",IF(AND($J155&gt;2009,P155&gt;0),"ERRO","OK"))</f>
        <v>OK</v>
      </c>
      <c r="R155" s="6" t="n">
        <f aca="false">(10-(LEN(S155)))+1</f>
        <v>7</v>
      </c>
      <c r="S155" s="6" t="n">
        <v>9538</v>
      </c>
      <c r="T155" s="6" t="str">
        <f aca="false">IF($J155="NA","NA",IF(AND($J155&gt;1999,S155&gt;0),"ERRO","OK"))</f>
        <v>OK</v>
      </c>
      <c r="U155" s="6" t="n">
        <f aca="false">(10-(LEN(V155)))+1</f>
        <v>7</v>
      </c>
      <c r="V155" s="6" t="n">
        <v>6991</v>
      </c>
      <c r="W155" s="6" t="str">
        <f aca="false">IF($J155="NA","NA",IF(AND($J155&gt;1989,V155&gt;0),"ERRO","OK"))</f>
        <v>OK</v>
      </c>
      <c r="X155" s="6" t="n">
        <f aca="false">(10-(LEN(Y155)))+1</f>
        <v>7</v>
      </c>
      <c r="Y155" s="6" t="n">
        <v>1605</v>
      </c>
      <c r="Z155" s="6" t="str">
        <f aca="false">IF($J155="NA","NA",IF(AND($J155&gt;1979,Y155&gt;0),"ERRO","OK"))</f>
        <v>OK</v>
      </c>
      <c r="AA155" s="6" t="n">
        <f aca="false">(10-(LEN(AB155)))+1</f>
        <v>8</v>
      </c>
      <c r="AB155" s="6" t="n">
        <v>762</v>
      </c>
      <c r="AC155" s="6" t="str">
        <f aca="false">IF($J155="NA","NA",IF(AND($J155&gt;1969,AB155&gt;0),"ERRO","OK"))</f>
        <v>OK</v>
      </c>
      <c r="AD155" s="6" t="n">
        <f aca="false">(10-(LEN(AE155)))+1</f>
        <v>8</v>
      </c>
      <c r="AE155" s="6" t="n">
        <v>718</v>
      </c>
      <c r="AF155" s="6" t="str">
        <f aca="false">IF($J155="NA","NA",IF(AND($J155&gt;1959,AE155&gt;0),"ERRO","OK"))</f>
        <v>OK</v>
      </c>
      <c r="AG155" s="6" t="n">
        <f aca="false">(10-(LEN(AH155)))+1</f>
        <v>7</v>
      </c>
      <c r="AH155" s="6" t="n">
        <v>3965</v>
      </c>
      <c r="AI155" s="6" t="str">
        <f aca="false">IF($J155="NA","NA",IF(AND($J155&gt;1949,AH155&gt;0),"ERRO","OK"))</f>
        <v>OK</v>
      </c>
      <c r="AJ155" s="6" t="n">
        <f aca="false">(10-(LEN(AK155)))+1</f>
        <v>7</v>
      </c>
      <c r="AK155" s="6" t="n">
        <v>4178</v>
      </c>
      <c r="AL155" s="6" t="str">
        <f aca="false">IF($J155="NA","NA",IF(AND($J155&gt;1939,AK155&gt;0),"ERRO","OK"))</f>
        <v>OK</v>
      </c>
      <c r="AM155" s="6" t="n">
        <f aca="false">(10-(LEN(AN155)))+1</f>
        <v>10</v>
      </c>
      <c r="AN155" s="6" t="n">
        <v>0</v>
      </c>
      <c r="AO155" s="6" t="str">
        <f aca="false">IF($J155="NA","NA",IF(AND($J155&gt;1929,AN155&gt;0),"ERRO","OK"))</f>
        <v>OK</v>
      </c>
      <c r="AP155" s="6" t="n">
        <f aca="false">(10-(LEN(AQ155)))+1</f>
        <v>8</v>
      </c>
      <c r="AQ155" s="6" t="n">
        <v>200</v>
      </c>
      <c r="AR155" s="6" t="str">
        <f aca="false">IF($J155="NA","NA",IF(AND($J155&gt;1919,AQ155&gt;0),"ERRO","OK"))</f>
        <v>OK</v>
      </c>
      <c r="AS155" s="6" t="n">
        <f aca="false">(10-(LEN(AT155)))+1</f>
        <v>10</v>
      </c>
      <c r="AT155" s="6" t="n">
        <v>0</v>
      </c>
      <c r="AU155" s="6" t="str">
        <f aca="false">IF($J155="NA","NA",IF(AND($J155&gt;1909,AT155&gt;0),"ERRO","OK"))</f>
        <v>OK</v>
      </c>
      <c r="AV155" s="6" t="n">
        <f aca="false">(10-(LEN(AW155)))+1</f>
        <v>10</v>
      </c>
      <c r="AW155" s="6" t="n">
        <v>0</v>
      </c>
      <c r="AX155" s="6" t="str">
        <f aca="false">IF($J155="NA","NA",IF(AND($J155&gt;1899,AW155&gt;0),"ERRO","OK"))</f>
        <v>OK</v>
      </c>
    </row>
    <row r="156" customFormat="false" ht="15" hidden="false" customHeight="false" outlineLevel="0" collapsed="false">
      <c r="A156" s="7" t="n">
        <v>153</v>
      </c>
      <c r="B156" s="0" t="s">
        <v>173</v>
      </c>
      <c r="C156" s="8" t="n">
        <v>45312</v>
      </c>
      <c r="D156" s="6" t="n">
        <v>0</v>
      </c>
      <c r="E156" s="0" t="s">
        <v>16</v>
      </c>
      <c r="F156" s="0" t="s">
        <v>17</v>
      </c>
      <c r="G156" s="9" t="str">
        <f aca="false">IF(OR(N156="ERRO",Q156="ERRO",T156="ERRO",W156="ERRO",Z156="ERRO",AC156="ERRO",AF156="ERRO",AI156="ERRO",AL156="ERRO",AO156="ERRO",AR156="ERRO",AU156="ERRO",AX156="ERRO"),"ERRO","OK")</f>
        <v>OK</v>
      </c>
      <c r="H156" s="9" t="n">
        <f aca="false">COUNTIF(L156:AX156,"ERRO")</f>
        <v>0</v>
      </c>
      <c r="I156" s="9" t="s">
        <v>18</v>
      </c>
      <c r="J156" s="10" t="n">
        <v>1905</v>
      </c>
      <c r="K156" s="10" t="n">
        <v>1959</v>
      </c>
      <c r="L156" s="6" t="n">
        <f aca="false">(10-(LEN(M156)))+1</f>
        <v>7</v>
      </c>
      <c r="M156" s="6" t="n">
        <v>4789</v>
      </c>
      <c r="N156" s="6" t="str">
        <f aca="false">IF($J156="NA","NA",IF(AND($J156&gt;2019,M156&gt;0),"ERRO","OK"))</f>
        <v>OK</v>
      </c>
      <c r="O156" s="6" t="n">
        <f aca="false">(10-(LEN(P156)))+1</f>
        <v>7</v>
      </c>
      <c r="P156" s="6" t="n">
        <v>1715</v>
      </c>
      <c r="Q156" s="6" t="str">
        <f aca="false">IF($J156="NA","NA",IF(AND($J156&gt;2009,P156&gt;0),"ERRO","OK"))</f>
        <v>OK</v>
      </c>
      <c r="R156" s="6" t="n">
        <f aca="false">(10-(LEN(S156)))+1</f>
        <v>7</v>
      </c>
      <c r="S156" s="6" t="n">
        <v>4874</v>
      </c>
      <c r="T156" s="6" t="str">
        <f aca="false">IF($J156="NA","NA",IF(AND($J156&gt;1999,S156&gt;0),"ERRO","OK"))</f>
        <v>OK</v>
      </c>
      <c r="U156" s="6" t="n">
        <f aca="false">(10-(LEN(V156)))+1</f>
        <v>7</v>
      </c>
      <c r="V156" s="6" t="n">
        <v>2714</v>
      </c>
      <c r="W156" s="6" t="str">
        <f aca="false">IF($J156="NA","NA",IF(AND($J156&gt;1989,V156&gt;0),"ERRO","OK"))</f>
        <v>OK</v>
      </c>
      <c r="X156" s="6" t="n">
        <f aca="false">(10-(LEN(Y156)))+1</f>
        <v>7</v>
      </c>
      <c r="Y156" s="6" t="n">
        <v>1926</v>
      </c>
      <c r="Z156" s="6" t="str">
        <f aca="false">IF($J156="NA","NA",IF(AND($J156&gt;1979,Y156&gt;0),"ERRO","OK"))</f>
        <v>OK</v>
      </c>
      <c r="AA156" s="6" t="n">
        <f aca="false">(10-(LEN(AB156)))+1</f>
        <v>7</v>
      </c>
      <c r="AB156" s="6" t="n">
        <v>2813</v>
      </c>
      <c r="AC156" s="6" t="str">
        <f aca="false">IF($J156="NA","NA",IF(AND($J156&gt;1969,AB156&gt;0),"ERRO","OK"))</f>
        <v>OK</v>
      </c>
      <c r="AD156" s="6" t="n">
        <f aca="false">(10-(LEN(AE156)))+1</f>
        <v>7</v>
      </c>
      <c r="AE156" s="6" t="n">
        <v>1346</v>
      </c>
      <c r="AF156" s="6" t="str">
        <f aca="false">IF($J156="NA","NA",IF(AND($J156&gt;1959,AE156&gt;0),"ERRO","OK"))</f>
        <v>OK</v>
      </c>
      <c r="AG156" s="6" t="n">
        <f aca="false">(10-(LEN(AH156)))+1</f>
        <v>8</v>
      </c>
      <c r="AH156" s="6" t="n">
        <v>771</v>
      </c>
      <c r="AI156" s="6" t="str">
        <f aca="false">IF($J156="NA","NA",IF(AND($J156&gt;1949,AH156&gt;0),"ERRO","OK"))</f>
        <v>OK</v>
      </c>
      <c r="AJ156" s="6" t="n">
        <f aca="false">(10-(LEN(AK156)))+1</f>
        <v>7</v>
      </c>
      <c r="AK156" s="6" t="n">
        <v>2228</v>
      </c>
      <c r="AL156" s="6" t="str">
        <f aca="false">IF($J156="NA","NA",IF(AND($J156&gt;1939,AK156&gt;0),"ERRO","OK"))</f>
        <v>OK</v>
      </c>
      <c r="AM156" s="6" t="n">
        <f aca="false">(10-(LEN(AN156)))+1</f>
        <v>10</v>
      </c>
      <c r="AN156" s="6" t="n">
        <v>0</v>
      </c>
      <c r="AO156" s="6" t="str">
        <f aca="false">IF($J156="NA","NA",IF(AND($J156&gt;1929,AN156&gt;0),"ERRO","OK"))</f>
        <v>OK</v>
      </c>
      <c r="AP156" s="6" t="n">
        <f aca="false">(10-(LEN(AQ156)))+1</f>
        <v>8</v>
      </c>
      <c r="AQ156" s="6" t="n">
        <v>200</v>
      </c>
      <c r="AR156" s="6" t="str">
        <f aca="false">IF($J156="NA","NA",IF(AND($J156&gt;1919,AQ156&gt;0),"ERRO","OK"))</f>
        <v>OK</v>
      </c>
      <c r="AS156" s="6" t="n">
        <f aca="false">(10-(LEN(AT156)))+1</f>
        <v>10</v>
      </c>
      <c r="AT156" s="6" t="n">
        <v>0</v>
      </c>
      <c r="AU156" s="6" t="str">
        <f aca="false">IF($J156="NA","NA",IF(AND($J156&gt;1909,AT156&gt;0),"ERRO","OK"))</f>
        <v>OK</v>
      </c>
      <c r="AV156" s="6" t="n">
        <f aca="false">(10-(LEN(AW156)))+1</f>
        <v>10</v>
      </c>
      <c r="AW156" s="6" t="n">
        <v>0</v>
      </c>
      <c r="AX156" s="6" t="str">
        <f aca="false">IF($J156="NA","NA",IF(AND($J156&gt;1899,AW156&gt;0),"ERRO","OK"))</f>
        <v>OK</v>
      </c>
    </row>
    <row r="157" customFormat="false" ht="15" hidden="false" customHeight="false" outlineLevel="0" collapsed="false">
      <c r="A157" s="7" t="n">
        <v>154</v>
      </c>
      <c r="B157" s="0" t="s">
        <v>174</v>
      </c>
      <c r="C157" s="8" t="n">
        <v>45312</v>
      </c>
      <c r="D157" s="6" t="n">
        <v>0</v>
      </c>
      <c r="E157" s="0" t="s">
        <v>16</v>
      </c>
      <c r="F157" s="0" t="s">
        <v>17</v>
      </c>
      <c r="G157" s="9" t="str">
        <f aca="false">IF(OR(N157="ERRO",Q157="ERRO",T157="ERRO",W157="ERRO",Z157="ERRO",AC157="ERRO",AF157="ERRO",AI157="ERRO",AL157="ERRO",AO157="ERRO",AR157="ERRO",AU157="ERRO",AX157="ERRO"),"ERRO","OK")</f>
        <v>OK</v>
      </c>
      <c r="H157" s="9" t="n">
        <f aca="false">COUNTIF(L157:AX157,"ERRO")</f>
        <v>0</v>
      </c>
      <c r="I157" s="9" t="s">
        <v>18</v>
      </c>
      <c r="J157" s="10" t="n">
        <v>1899</v>
      </c>
      <c r="K157" s="10" t="n">
        <v>1959</v>
      </c>
      <c r="L157" s="6" t="n">
        <f aca="false">(10-(LEN(M157)))+1</f>
        <v>6</v>
      </c>
      <c r="M157" s="6" t="n">
        <v>10952</v>
      </c>
      <c r="N157" s="6" t="str">
        <f aca="false">IF($J157="NA","NA",IF(AND($J157&gt;2019,M157&gt;0),"ERRO","OK"))</f>
        <v>OK</v>
      </c>
      <c r="O157" s="6" t="n">
        <f aca="false">(10-(LEN(P157)))+1</f>
        <v>7</v>
      </c>
      <c r="P157" s="6" t="n">
        <v>6586</v>
      </c>
      <c r="Q157" s="6" t="str">
        <f aca="false">IF($J157="NA","NA",IF(AND($J157&gt;2009,P157&gt;0),"ERRO","OK"))</f>
        <v>OK</v>
      </c>
      <c r="R157" s="6" t="n">
        <f aca="false">(10-(LEN(S157)))+1</f>
        <v>7</v>
      </c>
      <c r="S157" s="6" t="n">
        <v>1723</v>
      </c>
      <c r="T157" s="6" t="str">
        <f aca="false">IF($J157="NA","NA",IF(AND($J157&gt;1999,S157&gt;0),"ERRO","OK"))</f>
        <v>OK</v>
      </c>
      <c r="U157" s="6" t="n">
        <f aca="false">(10-(LEN(V157)))+1</f>
        <v>8</v>
      </c>
      <c r="V157" s="6" t="n">
        <v>828</v>
      </c>
      <c r="W157" s="6" t="str">
        <f aca="false">IF($J157="NA","NA",IF(AND($J157&gt;1989,V157&gt;0),"ERRO","OK"))</f>
        <v>OK</v>
      </c>
      <c r="X157" s="6" t="n">
        <f aca="false">(10-(LEN(Y157)))+1</f>
        <v>7</v>
      </c>
      <c r="Y157" s="6" t="n">
        <v>3264</v>
      </c>
      <c r="Z157" s="6" t="str">
        <f aca="false">IF($J157="NA","NA",IF(AND($J157&gt;1979,Y157&gt;0),"ERRO","OK"))</f>
        <v>OK</v>
      </c>
      <c r="AA157" s="6" t="n">
        <f aca="false">(10-(LEN(AB157)))+1</f>
        <v>7</v>
      </c>
      <c r="AB157" s="6" t="n">
        <v>2344</v>
      </c>
      <c r="AC157" s="6" t="str">
        <f aca="false">IF($J157="NA","NA",IF(AND($J157&gt;1969,AB157&gt;0),"ERRO","OK"))</f>
        <v>OK</v>
      </c>
      <c r="AD157" s="6" t="n">
        <f aca="false">(10-(LEN(AE157)))+1</f>
        <v>8</v>
      </c>
      <c r="AE157" s="6" t="n">
        <v>269</v>
      </c>
      <c r="AF157" s="6" t="str">
        <f aca="false">IF($J157="NA","NA",IF(AND($J157&gt;1959,AE157&gt;0),"ERRO","OK"))</f>
        <v>OK</v>
      </c>
      <c r="AG157" s="6" t="n">
        <f aca="false">(10-(LEN(AH157)))+1</f>
        <v>8</v>
      </c>
      <c r="AH157" s="6" t="n">
        <v>220</v>
      </c>
      <c r="AI157" s="6" t="str">
        <f aca="false">IF($J157="NA","NA",IF(AND($J157&gt;1949,AH157&gt;0),"ERRO","OK"))</f>
        <v>OK</v>
      </c>
      <c r="AJ157" s="6" t="n">
        <f aca="false">(10-(LEN(AK157)))+1</f>
        <v>8</v>
      </c>
      <c r="AK157" s="6" t="n">
        <v>557</v>
      </c>
      <c r="AL157" s="6" t="str">
        <f aca="false">IF($J157="NA","NA",IF(AND($J157&gt;1939,AK157&gt;0),"ERRO","OK"))</f>
        <v>OK</v>
      </c>
      <c r="AM157" s="6" t="n">
        <f aca="false">(10-(LEN(AN157)))+1</f>
        <v>8</v>
      </c>
      <c r="AN157" s="6" t="n">
        <v>152</v>
      </c>
      <c r="AO157" s="6" t="str">
        <f aca="false">IF($J157="NA","NA",IF(AND($J157&gt;1929,AN157&gt;0),"ERRO","OK"))</f>
        <v>OK</v>
      </c>
      <c r="AP157" s="6" t="n">
        <f aca="false">(10-(LEN(AQ157)))+1</f>
        <v>10</v>
      </c>
      <c r="AQ157" s="6" t="n">
        <v>0</v>
      </c>
      <c r="AR157" s="6" t="str">
        <f aca="false">IF($J157="NA","NA",IF(AND($J157&gt;1919,AQ157&gt;0),"ERRO","OK"))</f>
        <v>OK</v>
      </c>
      <c r="AS157" s="6" t="n">
        <f aca="false">(10-(LEN(AT157)))+1</f>
        <v>10</v>
      </c>
      <c r="AT157" s="6" t="n">
        <v>0</v>
      </c>
      <c r="AU157" s="6" t="str">
        <f aca="false">IF($J157="NA","NA",IF(AND($J157&gt;1909,AT157&gt;0),"ERRO","OK"))</f>
        <v>OK</v>
      </c>
      <c r="AV157" s="6" t="n">
        <f aca="false">(10-(LEN(AW157)))+1</f>
        <v>10</v>
      </c>
      <c r="AW157" s="6" t="n">
        <v>0</v>
      </c>
      <c r="AX157" s="6" t="str">
        <f aca="false">IF($J157="NA","NA",IF(AND($J157&gt;1899,AW157&gt;0),"ERRO","OK"))</f>
        <v>OK</v>
      </c>
    </row>
    <row r="158" customFormat="false" ht="15" hidden="false" customHeight="false" outlineLevel="0" collapsed="false">
      <c r="A158" s="7" t="n">
        <v>155</v>
      </c>
      <c r="B158" s="0" t="s">
        <v>175</v>
      </c>
      <c r="C158" s="8" t="n">
        <v>45312</v>
      </c>
      <c r="D158" s="6" t="n">
        <v>0</v>
      </c>
      <c r="E158" s="0" t="s">
        <v>16</v>
      </c>
      <c r="F158" s="0" t="s">
        <v>17</v>
      </c>
      <c r="G158" s="9" t="str">
        <f aca="false">IF(OR(N158="ERRO",Q158="ERRO",T158="ERRO",W158="ERRO",Z158="ERRO",AC158="ERRO",AF158="ERRO",AI158="ERRO",AL158="ERRO",AO158="ERRO",AR158="ERRO",AU158="ERRO",AX158="ERRO"),"ERRO","OK")</f>
        <v>OK</v>
      </c>
      <c r="H158" s="9" t="n">
        <f aca="false">COUNTIF(L158:AX158,"ERRO")</f>
        <v>0</v>
      </c>
      <c r="I158" s="9" t="s">
        <v>18</v>
      </c>
      <c r="J158" s="10" t="n">
        <v>1920</v>
      </c>
      <c r="K158" s="10" t="n">
        <v>1984</v>
      </c>
      <c r="L158" s="6" t="n">
        <f aca="false">(10-(LEN(M158)))+1</f>
        <v>8</v>
      </c>
      <c r="M158" s="6" t="n">
        <v>541</v>
      </c>
      <c r="N158" s="6" t="str">
        <f aca="false">IF($J158="NA","NA",IF(AND($J158&gt;2019,M158&gt;0),"ERRO","OK"))</f>
        <v>OK</v>
      </c>
      <c r="O158" s="6" t="n">
        <f aca="false">(10-(LEN(P158)))+1</f>
        <v>7</v>
      </c>
      <c r="P158" s="6" t="n">
        <v>2504</v>
      </c>
      <c r="Q158" s="6" t="str">
        <f aca="false">IF($J158="NA","NA",IF(AND($J158&gt;2009,P158&gt;0),"ERRO","OK"))</f>
        <v>OK</v>
      </c>
      <c r="R158" s="6" t="n">
        <f aca="false">(10-(LEN(S158)))+1</f>
        <v>7</v>
      </c>
      <c r="S158" s="6" t="n">
        <v>2815</v>
      </c>
      <c r="T158" s="6" t="str">
        <f aca="false">IF($J158="NA","NA",IF(AND($J158&gt;1999,S158&gt;0),"ERRO","OK"))</f>
        <v>OK</v>
      </c>
      <c r="U158" s="6" t="n">
        <f aca="false">(10-(LEN(V158)))+1</f>
        <v>7</v>
      </c>
      <c r="V158" s="6" t="n">
        <v>2806</v>
      </c>
      <c r="W158" s="6" t="str">
        <f aca="false">IF($J158="NA","NA",IF(AND($J158&gt;1989,V158&gt;0),"ERRO","OK"))</f>
        <v>OK</v>
      </c>
      <c r="X158" s="6" t="n">
        <f aca="false">(10-(LEN(Y158)))+1</f>
        <v>7</v>
      </c>
      <c r="Y158" s="6" t="n">
        <v>3211</v>
      </c>
      <c r="Z158" s="6" t="str">
        <f aca="false">IF($J158="NA","NA",IF(AND($J158&gt;1979,Y158&gt;0),"ERRO","OK"))</f>
        <v>OK</v>
      </c>
      <c r="AA158" s="6" t="n">
        <f aca="false">(10-(LEN(AB158)))+1</f>
        <v>7</v>
      </c>
      <c r="AB158" s="6" t="n">
        <v>2813</v>
      </c>
      <c r="AC158" s="6" t="str">
        <f aca="false">IF($J158="NA","NA",IF(AND($J158&gt;1969,AB158&gt;0),"ERRO","OK"))</f>
        <v>OK</v>
      </c>
      <c r="AD158" s="6" t="n">
        <f aca="false">(10-(LEN(AE158)))+1</f>
        <v>7</v>
      </c>
      <c r="AE158" s="6" t="n">
        <v>4306</v>
      </c>
      <c r="AF158" s="6" t="str">
        <f aca="false">IF($J158="NA","NA",IF(AND($J158&gt;1959,AE158&gt;0),"ERRO","OK"))</f>
        <v>OK</v>
      </c>
      <c r="AG158" s="6" t="n">
        <f aca="false">(10-(LEN(AH158)))+1</f>
        <v>7</v>
      </c>
      <c r="AH158" s="6" t="n">
        <v>5066</v>
      </c>
      <c r="AI158" s="6" t="str">
        <f aca="false">IF($J158="NA","NA",IF(AND($J158&gt;1949,AH158&gt;0),"ERRO","OK"))</f>
        <v>OK</v>
      </c>
      <c r="AJ158" s="6" t="n">
        <f aca="false">(10-(LEN(AK158)))+1</f>
        <v>7</v>
      </c>
      <c r="AK158" s="6" t="n">
        <v>2228</v>
      </c>
      <c r="AL158" s="6" t="str">
        <f aca="false">IF($J158="NA","NA",IF(AND($J158&gt;1939,AK158&gt;0),"ERRO","OK"))</f>
        <v>OK</v>
      </c>
      <c r="AM158" s="6" t="n">
        <f aca="false">(10-(LEN(AN158)))+1</f>
        <v>10</v>
      </c>
      <c r="AN158" s="6" t="n">
        <v>0</v>
      </c>
      <c r="AO158" s="6" t="str">
        <f aca="false">IF($J158="NA","NA",IF(AND($J158&gt;1929,AN158&gt;0),"ERRO","OK"))</f>
        <v>OK</v>
      </c>
      <c r="AP158" s="6" t="n">
        <f aca="false">(10-(LEN(AQ158)))+1</f>
        <v>10</v>
      </c>
      <c r="AQ158" s="6" t="n">
        <v>0</v>
      </c>
      <c r="AR158" s="6" t="str">
        <f aca="false">IF($J158="NA","NA",IF(AND($J158&gt;1919,AQ158&gt;0),"ERRO","OK"))</f>
        <v>OK</v>
      </c>
      <c r="AS158" s="6" t="n">
        <f aca="false">(10-(LEN(AT158)))+1</f>
        <v>10</v>
      </c>
      <c r="AT158" s="6" t="n">
        <v>0</v>
      </c>
      <c r="AU158" s="6" t="str">
        <f aca="false">IF($J158="NA","NA",IF(AND($J158&gt;1909,AT158&gt;0),"ERRO","OK"))</f>
        <v>OK</v>
      </c>
      <c r="AV158" s="6" t="n">
        <f aca="false">(10-(LEN(AW158)))+1</f>
        <v>10</v>
      </c>
      <c r="AW158" s="6" t="n">
        <v>0</v>
      </c>
      <c r="AX158" s="6" t="str">
        <f aca="false">IF($J158="NA","NA",IF(AND($J158&gt;1899,AW158&gt;0),"ERRO","OK"))</f>
        <v>OK</v>
      </c>
    </row>
    <row r="159" customFormat="false" ht="15" hidden="false" customHeight="false" outlineLevel="0" collapsed="false">
      <c r="A159" s="7" t="n">
        <v>156</v>
      </c>
      <c r="B159" s="0" t="s">
        <v>176</v>
      </c>
      <c r="C159" s="8" t="n">
        <v>45312</v>
      </c>
      <c r="D159" s="6" t="n">
        <v>0</v>
      </c>
      <c r="E159" s="0" t="s">
        <v>16</v>
      </c>
      <c r="F159" s="0" t="s">
        <v>17</v>
      </c>
      <c r="G159" s="9" t="str">
        <f aca="false">IF(OR(N159="ERRO",Q159="ERRO",T159="ERRO",W159="ERRO",Z159="ERRO",AC159="ERRO",AF159="ERRO",AI159="ERRO",AL159="ERRO",AO159="ERRO",AR159="ERRO",AU159="ERRO",AX159="ERRO"),"ERRO","OK")</f>
        <v>OK</v>
      </c>
      <c r="H159" s="9" t="n">
        <f aca="false">COUNTIF(L159:AX159,"ERRO")</f>
        <v>0</v>
      </c>
      <c r="I159" s="9" t="s">
        <v>18</v>
      </c>
      <c r="J159" s="10" t="n">
        <v>1881</v>
      </c>
      <c r="K159" s="10" t="n">
        <v>1973</v>
      </c>
      <c r="L159" s="6" t="n">
        <f aca="false">(10-(LEN(M159)))+1</f>
        <v>5</v>
      </c>
      <c r="M159" s="6" t="n">
        <v>180985</v>
      </c>
      <c r="N159" s="6" t="str">
        <f aca="false">IF($J159="NA","NA",IF(AND($J159&gt;2019,M159&gt;0),"ERRO","OK"))</f>
        <v>OK</v>
      </c>
      <c r="O159" s="6" t="n">
        <f aca="false">(10-(LEN(P159)))+1</f>
        <v>5</v>
      </c>
      <c r="P159" s="6" t="n">
        <v>202736</v>
      </c>
      <c r="Q159" s="6" t="str">
        <f aca="false">IF($J159="NA","NA",IF(AND($J159&gt;2009,P159&gt;0),"ERRO","OK"))</f>
        <v>OK</v>
      </c>
      <c r="R159" s="6" t="n">
        <f aca="false">(10-(LEN(S159)))+1</f>
        <v>5</v>
      </c>
      <c r="S159" s="6" t="n">
        <v>217978</v>
      </c>
      <c r="T159" s="6" t="str">
        <f aca="false">IF($J159="NA","NA",IF(AND($J159&gt;1999,S159&gt;0),"ERRO","OK"))</f>
        <v>OK</v>
      </c>
      <c r="U159" s="6" t="n">
        <f aca="false">(10-(LEN(V159)))+1</f>
        <v>5</v>
      </c>
      <c r="V159" s="6" t="n">
        <v>179599</v>
      </c>
      <c r="W159" s="6" t="str">
        <f aca="false">IF($J159="NA","NA",IF(AND($J159&gt;1989,V159&gt;0),"ERRO","OK"))</f>
        <v>OK</v>
      </c>
      <c r="X159" s="6" t="n">
        <f aca="false">(10-(LEN(Y159)))+1</f>
        <v>5</v>
      </c>
      <c r="Y159" s="6" t="n">
        <v>115580</v>
      </c>
      <c r="Z159" s="6" t="str">
        <f aca="false">IF($J159="NA","NA",IF(AND($J159&gt;1979,Y159&gt;0),"ERRO","OK"))</f>
        <v>OK</v>
      </c>
      <c r="AA159" s="6" t="n">
        <f aca="false">(10-(LEN(AB159)))+1</f>
        <v>6</v>
      </c>
      <c r="AB159" s="6" t="n">
        <v>91940</v>
      </c>
      <c r="AC159" s="6" t="str">
        <f aca="false">IF($J159="NA","NA",IF(AND($J159&gt;1969,AB159&gt;0),"ERRO","OK"))</f>
        <v>OK</v>
      </c>
      <c r="AD159" s="6" t="n">
        <f aca="false">(10-(LEN(AE159)))+1</f>
        <v>6</v>
      </c>
      <c r="AE159" s="6" t="n">
        <v>83515</v>
      </c>
      <c r="AF159" s="6" t="str">
        <f aca="false">IF($J159="NA","NA",IF(AND($J159&gt;1959,AE159&gt;0),"ERRO","OK"))</f>
        <v>OK</v>
      </c>
      <c r="AG159" s="6" t="n">
        <f aca="false">(10-(LEN(AH159)))+1</f>
        <v>6</v>
      </c>
      <c r="AH159" s="6" t="n">
        <v>62338</v>
      </c>
      <c r="AI159" s="6" t="str">
        <f aca="false">IF($J159="NA","NA",IF(AND($J159&gt;1949,AH159&gt;0),"ERRO","OK"))</f>
        <v>OK</v>
      </c>
      <c r="AJ159" s="6" t="n">
        <f aca="false">(10-(LEN(AK159)))+1</f>
        <v>5</v>
      </c>
      <c r="AK159" s="6" t="n">
        <v>107089</v>
      </c>
      <c r="AL159" s="6" t="str">
        <f aca="false">IF($J159="NA","NA",IF(AND($J159&gt;1939,AK159&gt;0),"ERRO","OK"))</f>
        <v>OK</v>
      </c>
      <c r="AM159" s="6" t="n">
        <f aca="false">(10-(LEN(AN159)))+1</f>
        <v>6</v>
      </c>
      <c r="AN159" s="6" t="n">
        <v>26962</v>
      </c>
      <c r="AO159" s="6" t="str">
        <f aca="false">IF($J159="NA","NA",IF(AND($J159&gt;1929,AN159&gt;0),"ERRO","OK"))</f>
        <v>OK</v>
      </c>
      <c r="AP159" s="6" t="n">
        <f aca="false">(10-(LEN(AQ159)))+1</f>
        <v>7</v>
      </c>
      <c r="AQ159" s="6" t="n">
        <v>5507</v>
      </c>
      <c r="AR159" s="6" t="str">
        <f aca="false">IF($J159="NA","NA",IF(AND($J159&gt;1919,AQ159&gt;0),"ERRO","OK"))</f>
        <v>OK</v>
      </c>
      <c r="AS159" s="6" t="n">
        <f aca="false">(10-(LEN(AT159)))+1</f>
        <v>10</v>
      </c>
      <c r="AT159" s="6" t="n">
        <v>0</v>
      </c>
      <c r="AU159" s="6" t="str">
        <f aca="false">IF($J159="NA","NA",IF(AND($J159&gt;1909,AT159&gt;0),"ERRO","OK"))</f>
        <v>OK</v>
      </c>
      <c r="AV159" s="6" t="n">
        <f aca="false">(10-(LEN(AW159)))+1</f>
        <v>10</v>
      </c>
      <c r="AW159" s="6" t="n">
        <v>0</v>
      </c>
      <c r="AX159" s="6" t="str">
        <f aca="false">IF($J159="NA","NA",IF(AND($J159&gt;1899,AW159&gt;0),"ERRO","OK"))</f>
        <v>OK</v>
      </c>
    </row>
    <row r="160" customFormat="false" ht="15" hidden="false" customHeight="false" outlineLevel="0" collapsed="false">
      <c r="A160" s="7" t="n">
        <v>157</v>
      </c>
      <c r="B160" s="0" t="s">
        <v>177</v>
      </c>
      <c r="C160" s="8" t="n">
        <v>45312</v>
      </c>
      <c r="D160" s="6" t="n">
        <v>0</v>
      </c>
      <c r="E160" s="0" t="s">
        <v>16</v>
      </c>
      <c r="F160" s="0" t="s">
        <v>17</v>
      </c>
      <c r="G160" s="9" t="str">
        <f aca="false">IF(OR(N160="ERRO",Q160="ERRO",T160="ERRO",W160="ERRO",Z160="ERRO",AC160="ERRO",AF160="ERRO",AI160="ERRO",AL160="ERRO",AO160="ERRO",AR160="ERRO",AU160="ERRO",AX160="ERRO"),"ERRO","OK")</f>
        <v>OK</v>
      </c>
      <c r="H160" s="9" t="n">
        <f aca="false">COUNTIF(L160:AX160,"ERRO")</f>
        <v>0</v>
      </c>
      <c r="I160" s="9" t="s">
        <v>18</v>
      </c>
      <c r="J160" s="10" t="n">
        <v>1896</v>
      </c>
      <c r="K160" s="10" t="n">
        <v>1989</v>
      </c>
      <c r="L160" s="6" t="n">
        <f aca="false">(10-(LEN(M160)))+1</f>
        <v>6</v>
      </c>
      <c r="M160" s="6" t="n">
        <v>29942</v>
      </c>
      <c r="N160" s="6" t="str">
        <f aca="false">IF($J160="NA","NA",IF(AND($J160&gt;2019,M160&gt;0),"ERRO","OK"))</f>
        <v>OK</v>
      </c>
      <c r="O160" s="6" t="n">
        <f aca="false">(10-(LEN(P160)))+1</f>
        <v>6</v>
      </c>
      <c r="P160" s="6" t="n">
        <v>41885</v>
      </c>
      <c r="Q160" s="6" t="str">
        <f aca="false">IF($J160="NA","NA",IF(AND($J160&gt;2009,P160&gt;0),"ERRO","OK"))</f>
        <v>OK</v>
      </c>
      <c r="R160" s="6" t="n">
        <f aca="false">(10-(LEN(S160)))+1</f>
        <v>6</v>
      </c>
      <c r="S160" s="6" t="n">
        <v>56259</v>
      </c>
      <c r="T160" s="6" t="str">
        <f aca="false">IF($J160="NA","NA",IF(AND($J160&gt;1999,S160&gt;0),"ERRO","OK"))</f>
        <v>OK</v>
      </c>
      <c r="U160" s="6" t="n">
        <f aca="false">(10-(LEN(V160)))+1</f>
        <v>6</v>
      </c>
      <c r="V160" s="6" t="n">
        <v>70230</v>
      </c>
      <c r="W160" s="6" t="str">
        <f aca="false">IF($J160="NA","NA",IF(AND($J160&gt;1989,V160&gt;0),"ERRO","OK"))</f>
        <v>OK</v>
      </c>
      <c r="X160" s="6" t="n">
        <f aca="false">(10-(LEN(Y160)))+1</f>
        <v>6</v>
      </c>
      <c r="Y160" s="6" t="n">
        <v>57951</v>
      </c>
      <c r="Z160" s="6" t="str">
        <f aca="false">IF($J160="NA","NA",IF(AND($J160&gt;1979,Y160&gt;0),"ERRO","OK"))</f>
        <v>OK</v>
      </c>
      <c r="AA160" s="6" t="n">
        <f aca="false">(10-(LEN(AB160)))+1</f>
        <v>6</v>
      </c>
      <c r="AB160" s="6" t="n">
        <v>47581</v>
      </c>
      <c r="AC160" s="6" t="str">
        <f aca="false">IF($J160="NA","NA",IF(AND($J160&gt;1969,AB160&gt;0),"ERRO","OK"))</f>
        <v>OK</v>
      </c>
      <c r="AD160" s="6" t="n">
        <f aca="false">(10-(LEN(AE160)))+1</f>
        <v>6</v>
      </c>
      <c r="AE160" s="6" t="n">
        <v>77953</v>
      </c>
      <c r="AF160" s="6" t="str">
        <f aca="false">IF($J160="NA","NA",IF(AND($J160&gt;1959,AE160&gt;0),"ERRO","OK"))</f>
        <v>OK</v>
      </c>
      <c r="AG160" s="6" t="n">
        <f aca="false">(10-(LEN(AH160)))+1</f>
        <v>6</v>
      </c>
      <c r="AH160" s="6" t="n">
        <v>90423</v>
      </c>
      <c r="AI160" s="6" t="str">
        <f aca="false">IF($J160="NA","NA",IF(AND($J160&gt;1949,AH160&gt;0),"ERRO","OK"))</f>
        <v>OK</v>
      </c>
      <c r="AJ160" s="6" t="n">
        <f aca="false">(10-(LEN(AK160)))+1</f>
        <v>6</v>
      </c>
      <c r="AK160" s="6" t="n">
        <v>32308</v>
      </c>
      <c r="AL160" s="6" t="str">
        <f aca="false">IF($J160="NA","NA",IF(AND($J160&gt;1939,AK160&gt;0),"ERRO","OK"))</f>
        <v>OK</v>
      </c>
      <c r="AM160" s="6" t="n">
        <f aca="false">(10-(LEN(AN160)))+1</f>
        <v>7</v>
      </c>
      <c r="AN160" s="6" t="n">
        <v>7007</v>
      </c>
      <c r="AO160" s="6" t="str">
        <f aca="false">IF($J160="NA","NA",IF(AND($J160&gt;1929,AN160&gt;0),"ERRO","OK"))</f>
        <v>OK</v>
      </c>
      <c r="AP160" s="6" t="n">
        <f aca="false">(10-(LEN(AQ160)))+1</f>
        <v>8</v>
      </c>
      <c r="AQ160" s="6" t="n">
        <v>100</v>
      </c>
      <c r="AR160" s="6" t="str">
        <f aca="false">IF($J160="NA","NA",IF(AND($J160&gt;1919,AQ160&gt;0),"ERRO","OK"))</f>
        <v>OK</v>
      </c>
      <c r="AS160" s="6" t="n">
        <f aca="false">(10-(LEN(AT160)))+1</f>
        <v>8</v>
      </c>
      <c r="AT160" s="6" t="n">
        <v>103</v>
      </c>
      <c r="AU160" s="6" t="str">
        <f aca="false">IF($J160="NA","NA",IF(AND($J160&gt;1909,AT160&gt;0),"ERRO","OK"))</f>
        <v>OK</v>
      </c>
      <c r="AV160" s="6" t="n">
        <f aca="false">(10-(LEN(AW160)))+1</f>
        <v>8</v>
      </c>
      <c r="AW160" s="6" t="n">
        <v>129</v>
      </c>
      <c r="AX160" s="6" t="str">
        <f aca="false">IF($J160="NA","NA",IF(AND($J160&gt;1899,AW160&gt;0),"ERRO","OK"))</f>
        <v>OK</v>
      </c>
    </row>
    <row r="161" customFormat="false" ht="15" hidden="false" customHeight="false" outlineLevel="0" collapsed="false">
      <c r="A161" s="7" t="n">
        <v>158</v>
      </c>
      <c r="B161" s="0" t="s">
        <v>178</v>
      </c>
      <c r="C161" s="8" t="n">
        <v>45312</v>
      </c>
      <c r="D161" s="6" t="n">
        <v>0</v>
      </c>
      <c r="E161" s="0" t="s">
        <v>16</v>
      </c>
      <c r="F161" s="0" t="s">
        <v>17</v>
      </c>
      <c r="G161" s="9" t="str">
        <f aca="false">IF(OR(N161="ERRO",Q161="ERRO",T161="ERRO",W161="ERRO",Z161="ERRO",AC161="ERRO",AF161="ERRO",AI161="ERRO",AL161="ERRO",AO161="ERRO",AR161="ERRO",AU161="ERRO",AX161="ERRO"),"ERRO","OK")</f>
        <v>OK</v>
      </c>
      <c r="H161" s="9" t="n">
        <f aca="false">COUNTIF(L161:AX161,"ERRO")</f>
        <v>0</v>
      </c>
      <c r="I161" s="9" t="s">
        <v>18</v>
      </c>
      <c r="J161" s="10" t="n">
        <v>1901</v>
      </c>
      <c r="K161" s="10" t="n">
        <v>1954</v>
      </c>
      <c r="L161" s="6" t="n">
        <f aca="false">(10-(LEN(M161)))+1</f>
        <v>8</v>
      </c>
      <c r="M161" s="6" t="n">
        <v>125</v>
      </c>
      <c r="N161" s="6" t="str">
        <f aca="false">IF($J161="NA","NA",IF(AND($J161&gt;2019,M161&gt;0),"ERRO","OK"))</f>
        <v>OK</v>
      </c>
      <c r="O161" s="6" t="n">
        <f aca="false">(10-(LEN(P161)))+1</f>
        <v>10</v>
      </c>
      <c r="P161" s="6" t="n">
        <v>0</v>
      </c>
      <c r="Q161" s="6" t="str">
        <f aca="false">IF($J161="NA","NA",IF(AND($J161&gt;2009,P161&gt;0),"ERRO","OK"))</f>
        <v>OK</v>
      </c>
      <c r="R161" s="6" t="n">
        <f aca="false">(10-(LEN(S161)))+1</f>
        <v>8</v>
      </c>
      <c r="S161" s="6" t="n">
        <v>126</v>
      </c>
      <c r="T161" s="6" t="str">
        <f aca="false">IF($J161="NA","NA",IF(AND($J161&gt;1999,S161&gt;0),"ERRO","OK"))</f>
        <v>OK</v>
      </c>
      <c r="U161" s="6" t="n">
        <f aca="false">(10-(LEN(V161)))+1</f>
        <v>10</v>
      </c>
      <c r="V161" s="6" t="n">
        <v>0</v>
      </c>
      <c r="W161" s="6" t="str">
        <f aca="false">IF($J161="NA","NA",IF(AND($J161&gt;1989,V161&gt;0),"ERRO","OK"))</f>
        <v>OK</v>
      </c>
      <c r="X161" s="6" t="n">
        <f aca="false">(10-(LEN(Y161)))+1</f>
        <v>8</v>
      </c>
      <c r="Y161" s="6" t="n">
        <v>161</v>
      </c>
      <c r="Z161" s="6" t="str">
        <f aca="false">IF($J161="NA","NA",IF(AND($J161&gt;1979,Y161&gt;0),"ERRO","OK"))</f>
        <v>OK</v>
      </c>
      <c r="AA161" s="6" t="n">
        <f aca="false">(10-(LEN(AB161)))+1</f>
        <v>10</v>
      </c>
      <c r="AB161" s="6" t="n">
        <v>0</v>
      </c>
      <c r="AC161" s="6" t="str">
        <f aca="false">IF($J161="NA","NA",IF(AND($J161&gt;1969,AB161&gt;0),"ERRO","OK"))</f>
        <v>OK</v>
      </c>
      <c r="AD161" s="6" t="n">
        <f aca="false">(10-(LEN(AE161)))+1</f>
        <v>8</v>
      </c>
      <c r="AE161" s="6" t="n">
        <v>159</v>
      </c>
      <c r="AF161" s="6" t="str">
        <f aca="false">IF($J161="NA","NA",IF(AND($J161&gt;1959,AE161&gt;0),"ERRO","OK"))</f>
        <v>OK</v>
      </c>
      <c r="AG161" s="6" t="n">
        <f aca="false">(10-(LEN(AH161)))+1</f>
        <v>7</v>
      </c>
      <c r="AH161" s="6" t="n">
        <v>1322</v>
      </c>
      <c r="AI161" s="6" t="str">
        <f aca="false">IF($J161="NA","NA",IF(AND($J161&gt;1949,AH161&gt;0),"ERRO","OK"))</f>
        <v>OK</v>
      </c>
      <c r="AJ161" s="6" t="n">
        <f aca="false">(10-(LEN(AK161)))+1</f>
        <v>10</v>
      </c>
      <c r="AK161" s="6" t="n">
        <v>0</v>
      </c>
      <c r="AL161" s="6" t="str">
        <f aca="false">IF($J161="NA","NA",IF(AND($J161&gt;1939,AK161&gt;0),"ERRO","OK"))</f>
        <v>OK</v>
      </c>
      <c r="AM161" s="6" t="n">
        <f aca="false">(10-(LEN(AN161)))+1</f>
        <v>10</v>
      </c>
      <c r="AN161" s="6" t="n">
        <v>0</v>
      </c>
      <c r="AO161" s="6" t="str">
        <f aca="false">IF($J161="NA","NA",IF(AND($J161&gt;1929,AN161&gt;0),"ERRO","OK"))</f>
        <v>OK</v>
      </c>
      <c r="AP161" s="6" t="n">
        <f aca="false">(10-(LEN(AQ161)))+1</f>
        <v>10</v>
      </c>
      <c r="AQ161" s="6" t="n">
        <v>0</v>
      </c>
      <c r="AR161" s="6" t="str">
        <f aca="false">IF($J161="NA","NA",IF(AND($J161&gt;1919,AQ161&gt;0),"ERRO","OK"))</f>
        <v>OK</v>
      </c>
      <c r="AS161" s="6" t="n">
        <f aca="false">(10-(LEN(AT161)))+1</f>
        <v>10</v>
      </c>
      <c r="AT161" s="6" t="n">
        <v>0</v>
      </c>
      <c r="AU161" s="6" t="str">
        <f aca="false">IF($J161="NA","NA",IF(AND($J161&gt;1909,AT161&gt;0),"ERRO","OK"))</f>
        <v>OK</v>
      </c>
      <c r="AV161" s="6" t="n">
        <f aca="false">(10-(LEN(AW161)))+1</f>
        <v>10</v>
      </c>
      <c r="AW161" s="6" t="n">
        <v>0</v>
      </c>
      <c r="AX161" s="6" t="str">
        <f aca="false">IF($J161="NA","NA",IF(AND($J161&gt;1899,AW161&gt;0),"ERRO","OK"))</f>
        <v>OK</v>
      </c>
    </row>
    <row r="162" customFormat="false" ht="15" hidden="false" customHeight="false" outlineLevel="0" collapsed="false">
      <c r="A162" s="7" t="n">
        <v>159</v>
      </c>
      <c r="B162" s="0" t="s">
        <v>179</v>
      </c>
      <c r="C162" s="8" t="n">
        <v>45312</v>
      </c>
      <c r="D162" s="6" t="n">
        <v>0</v>
      </c>
      <c r="E162" s="0" t="s">
        <v>16</v>
      </c>
      <c r="F162" s="0" t="s">
        <v>17</v>
      </c>
      <c r="G162" s="9" t="str">
        <f aca="false">IF(OR(N162="ERRO",Q162="ERRO",T162="ERRO",W162="ERRO",Z162="ERRO",AC162="ERRO",AF162="ERRO",AI162="ERRO",AL162="ERRO",AO162="ERRO",AR162="ERRO",AU162="ERRO",AX162="ERRO"),"ERRO","OK")</f>
        <v>OK</v>
      </c>
      <c r="H162" s="9" t="n">
        <f aca="false">COUNTIF(L162:AX162,"ERRO")</f>
        <v>0</v>
      </c>
      <c r="I162" s="9" t="s">
        <v>18</v>
      </c>
      <c r="J162" s="10" t="n">
        <v>1903</v>
      </c>
      <c r="K162" s="10" t="n">
        <v>2000</v>
      </c>
      <c r="L162" s="6" t="n">
        <f aca="false">(10-(LEN(M162)))+1</f>
        <v>9</v>
      </c>
      <c r="M162" s="6" t="n">
        <v>42</v>
      </c>
      <c r="N162" s="6" t="str">
        <f aca="false">IF($J162="NA","NA",IF(AND($J162&gt;2019,M162&gt;0),"ERRO","OK"))</f>
        <v>OK</v>
      </c>
      <c r="O162" s="6" t="n">
        <f aca="false">(10-(LEN(P162)))+1</f>
        <v>8</v>
      </c>
      <c r="P162" s="6" t="n">
        <v>720</v>
      </c>
      <c r="Q162" s="6" t="str">
        <f aca="false">IF($J162="NA","NA",IF(AND($J162&gt;2009,P162&gt;0),"ERRO","OK"))</f>
        <v>OK</v>
      </c>
      <c r="R162" s="6" t="n">
        <f aca="false">(10-(LEN(S162)))+1</f>
        <v>7</v>
      </c>
      <c r="S162" s="6" t="n">
        <v>1050</v>
      </c>
      <c r="T162" s="6" t="str">
        <f aca="false">IF($J162="NA","NA",IF(AND($J162&gt;1999,S162&gt;0),"ERRO","OK"))</f>
        <v>OK</v>
      </c>
      <c r="U162" s="6" t="n">
        <f aca="false">(10-(LEN(V162)))+1</f>
        <v>7</v>
      </c>
      <c r="V162" s="6" t="n">
        <v>3909</v>
      </c>
      <c r="W162" s="6" t="str">
        <f aca="false">IF($J162="NA","NA",IF(AND($J162&gt;1989,V162&gt;0),"ERRO","OK"))</f>
        <v>OK</v>
      </c>
      <c r="X162" s="6" t="n">
        <f aca="false">(10-(LEN(Y162)))+1</f>
        <v>7</v>
      </c>
      <c r="Y162" s="6" t="n">
        <v>2354</v>
      </c>
      <c r="Z162" s="6" t="str">
        <f aca="false">IF($J162="NA","NA",IF(AND($J162&gt;1979,Y162&gt;0),"ERRO","OK"))</f>
        <v>OK</v>
      </c>
      <c r="AA162" s="6" t="n">
        <f aca="false">(10-(LEN(AB162)))+1</f>
        <v>7</v>
      </c>
      <c r="AB162" s="6" t="n">
        <v>4278</v>
      </c>
      <c r="AC162" s="6" t="str">
        <f aca="false">IF($J162="NA","NA",IF(AND($J162&gt;1969,AB162&gt;0),"ERRO","OK"))</f>
        <v>OK</v>
      </c>
      <c r="AD162" s="6" t="n">
        <f aca="false">(10-(LEN(AE162)))+1</f>
        <v>7</v>
      </c>
      <c r="AE162" s="6" t="n">
        <v>1346</v>
      </c>
      <c r="AF162" s="6" t="str">
        <f aca="false">IF($J162="NA","NA",IF(AND($J162&gt;1959,AE162&gt;0),"ERRO","OK"))</f>
        <v>OK</v>
      </c>
      <c r="AG162" s="6" t="n">
        <f aca="false">(10-(LEN(AH162)))+1</f>
        <v>8</v>
      </c>
      <c r="AH162" s="6" t="n">
        <v>991</v>
      </c>
      <c r="AI162" s="6" t="str">
        <f aca="false">IF($J162="NA","NA",IF(AND($J162&gt;1949,AH162&gt;0),"ERRO","OK"))</f>
        <v>OK</v>
      </c>
      <c r="AJ162" s="6" t="n">
        <f aca="false">(10-(LEN(AK162)))+1</f>
        <v>8</v>
      </c>
      <c r="AK162" s="6" t="n">
        <v>279</v>
      </c>
      <c r="AL162" s="6" t="str">
        <f aca="false">IF($J162="NA","NA",IF(AND($J162&gt;1939,AK162&gt;0),"ERRO","OK"))</f>
        <v>OK</v>
      </c>
      <c r="AM162" s="6" t="n">
        <f aca="false">(10-(LEN(AN162)))+1</f>
        <v>10</v>
      </c>
      <c r="AN162" s="6" t="n">
        <v>0</v>
      </c>
      <c r="AO162" s="6" t="str">
        <f aca="false">IF($J162="NA","NA",IF(AND($J162&gt;1929,AN162&gt;0),"ERRO","OK"))</f>
        <v>OK</v>
      </c>
      <c r="AP162" s="6" t="n">
        <f aca="false">(10-(LEN(AQ162)))+1</f>
        <v>10</v>
      </c>
      <c r="AQ162" s="6" t="n">
        <v>0</v>
      </c>
      <c r="AR162" s="6" t="str">
        <f aca="false">IF($J162="NA","NA",IF(AND($J162&gt;1919,AQ162&gt;0),"ERRO","OK"))</f>
        <v>OK</v>
      </c>
      <c r="AS162" s="6" t="n">
        <f aca="false">(10-(LEN(AT162)))+1</f>
        <v>10</v>
      </c>
      <c r="AT162" s="6" t="n">
        <v>0</v>
      </c>
      <c r="AU162" s="6" t="str">
        <f aca="false">IF($J162="NA","NA",IF(AND($J162&gt;1909,AT162&gt;0),"ERRO","OK"))</f>
        <v>OK</v>
      </c>
      <c r="AV162" s="6" t="n">
        <f aca="false">(10-(LEN(AW162)))+1</f>
        <v>10</v>
      </c>
      <c r="AW162" s="6" t="n">
        <v>0</v>
      </c>
      <c r="AX162" s="6" t="str">
        <f aca="false">IF($J162="NA","NA",IF(AND($J162&gt;1899,AW162&gt;0),"ERRO","OK"))</f>
        <v>OK</v>
      </c>
    </row>
    <row r="163" customFormat="false" ht="15" hidden="false" customHeight="false" outlineLevel="0" collapsed="false">
      <c r="A163" s="7" t="n">
        <v>160</v>
      </c>
      <c r="B163" s="0" t="s">
        <v>180</v>
      </c>
      <c r="C163" s="8" t="n">
        <v>45312</v>
      </c>
      <c r="D163" s="6" t="n">
        <v>0</v>
      </c>
      <c r="E163" s="0" t="s">
        <v>16</v>
      </c>
      <c r="F163" s="0" t="s">
        <v>17</v>
      </c>
      <c r="G163" s="9" t="str">
        <f aca="false">IF(OR(N163="ERRO",Q163="ERRO",T163="ERRO",W163="ERRO",Z163="ERRO",AC163="ERRO",AF163="ERRO",AI163="ERRO",AL163="ERRO",AO163="ERRO",AR163="ERRO",AU163="ERRO",AX163="ERRO"),"ERRO","OK")</f>
        <v>OK</v>
      </c>
      <c r="H163" s="9" t="n">
        <f aca="false">COUNTIF(L163:AX163,"ERRO")</f>
        <v>0</v>
      </c>
      <c r="I163" s="9" t="s">
        <v>18</v>
      </c>
      <c r="J163" s="10" t="n">
        <v>1903</v>
      </c>
      <c r="K163" s="10" t="n">
        <v>1971</v>
      </c>
      <c r="L163" s="6" t="n">
        <f aca="false">(10-(LEN(M163)))+1</f>
        <v>7</v>
      </c>
      <c r="M163" s="6" t="n">
        <v>1895</v>
      </c>
      <c r="N163" s="6" t="str">
        <f aca="false">IF($J163="NA","NA",IF(AND($J163&gt;2019,M163&gt;0),"ERRO","OK"))</f>
        <v>OK</v>
      </c>
      <c r="O163" s="6" t="n">
        <f aca="false">(10-(LEN(P163)))+1</f>
        <v>8</v>
      </c>
      <c r="P163" s="6" t="n">
        <v>948</v>
      </c>
      <c r="Q163" s="6" t="str">
        <f aca="false">IF($J163="NA","NA",IF(AND($J163&gt;2009,P163&gt;0),"ERRO","OK"))</f>
        <v>OK</v>
      </c>
      <c r="R163" s="6" t="n">
        <f aca="false">(10-(LEN(S163)))+1</f>
        <v>8</v>
      </c>
      <c r="S163" s="6" t="n">
        <v>511</v>
      </c>
      <c r="T163" s="6" t="str">
        <f aca="false">IF($J163="NA","NA",IF(AND($J163&gt;1999,S163&gt;0),"ERRO","OK"))</f>
        <v>OK</v>
      </c>
      <c r="U163" s="6" t="n">
        <f aca="false">(10-(LEN(V163)))+1</f>
        <v>7</v>
      </c>
      <c r="V163" s="6" t="n">
        <v>1122</v>
      </c>
      <c r="W163" s="6" t="str">
        <f aca="false">IF($J163="NA","NA",IF(AND($J163&gt;1989,V163&gt;0),"ERRO","OK"))</f>
        <v>OK</v>
      </c>
      <c r="X163" s="6" t="n">
        <f aca="false">(10-(LEN(Y163)))+1</f>
        <v>7</v>
      </c>
      <c r="Y163" s="6" t="n">
        <v>1067</v>
      </c>
      <c r="Z163" s="6" t="str">
        <f aca="false">IF($J163="NA","NA",IF(AND($J163&gt;1979,Y163&gt;0),"ERRO","OK"))</f>
        <v>OK</v>
      </c>
      <c r="AA163" s="6" t="n">
        <f aca="false">(10-(LEN(AB163)))+1</f>
        <v>7</v>
      </c>
      <c r="AB163" s="6" t="n">
        <v>2722</v>
      </c>
      <c r="AC163" s="6" t="str">
        <f aca="false">IF($J163="NA","NA",IF(AND($J163&gt;1969,AB163&gt;0),"ERRO","OK"))</f>
        <v>OK</v>
      </c>
      <c r="AD163" s="6" t="n">
        <f aca="false">(10-(LEN(AE163)))+1</f>
        <v>8</v>
      </c>
      <c r="AE163" s="6" t="n">
        <v>993</v>
      </c>
      <c r="AF163" s="6" t="str">
        <f aca="false">IF($J163="NA","NA",IF(AND($J163&gt;1959,AE163&gt;0),"ERRO","OK"))</f>
        <v>OK</v>
      </c>
      <c r="AG163" s="6" t="n">
        <f aca="false">(10-(LEN(AH163)))+1</f>
        <v>8</v>
      </c>
      <c r="AH163" s="6" t="n">
        <v>733</v>
      </c>
      <c r="AI163" s="6" t="str">
        <f aca="false">IF($J163="NA","NA",IF(AND($J163&gt;1949,AH163&gt;0),"ERRO","OK"))</f>
        <v>OK</v>
      </c>
      <c r="AJ163" s="6" t="n">
        <f aca="false">(10-(LEN(AK163)))+1</f>
        <v>7</v>
      </c>
      <c r="AK163" s="6" t="n">
        <v>4331</v>
      </c>
      <c r="AL163" s="6" t="str">
        <f aca="false">IF($J163="NA","NA",IF(AND($J163&gt;1939,AK163&gt;0),"ERRO","OK"))</f>
        <v>OK</v>
      </c>
      <c r="AM163" s="6" t="n">
        <f aca="false">(10-(LEN(AN163)))+1</f>
        <v>10</v>
      </c>
      <c r="AN163" s="6" t="n">
        <v>0</v>
      </c>
      <c r="AO163" s="6" t="str">
        <f aca="false">IF($J163="NA","NA",IF(AND($J163&gt;1929,AN163&gt;0),"ERRO","OK"))</f>
        <v>OK</v>
      </c>
      <c r="AP163" s="6" t="n">
        <f aca="false">(10-(LEN(AQ163)))+1</f>
        <v>10</v>
      </c>
      <c r="AQ163" s="6" t="n">
        <v>0</v>
      </c>
      <c r="AR163" s="6" t="str">
        <f aca="false">IF($J163="NA","NA",IF(AND($J163&gt;1919,AQ163&gt;0),"ERRO","OK"))</f>
        <v>OK</v>
      </c>
      <c r="AS163" s="6" t="n">
        <f aca="false">(10-(LEN(AT163)))+1</f>
        <v>10</v>
      </c>
      <c r="AT163" s="6" t="n">
        <v>0</v>
      </c>
      <c r="AU163" s="6" t="str">
        <f aca="false">IF($J163="NA","NA",IF(AND($J163&gt;1909,AT163&gt;0),"ERRO","OK"))</f>
        <v>OK</v>
      </c>
      <c r="AV163" s="6" t="n">
        <f aca="false">(10-(LEN(AW163)))+1</f>
        <v>10</v>
      </c>
      <c r="AW163" s="6" t="n">
        <v>0</v>
      </c>
      <c r="AX163" s="6" t="str">
        <f aca="false">IF($J163="NA","NA",IF(AND($J163&gt;1899,AW163&gt;0),"ERRO","OK"))</f>
        <v>OK</v>
      </c>
    </row>
    <row r="164" customFormat="false" ht="15" hidden="false" customHeight="false" outlineLevel="0" collapsed="false">
      <c r="A164" s="7" t="n">
        <v>161</v>
      </c>
      <c r="B164" s="0" t="s">
        <v>181</v>
      </c>
      <c r="C164" s="8" t="n">
        <v>45312</v>
      </c>
      <c r="D164" s="6" t="n">
        <v>0</v>
      </c>
      <c r="E164" s="0" t="s">
        <v>16</v>
      </c>
      <c r="F164" s="0" t="s">
        <v>17</v>
      </c>
      <c r="G164" s="9" t="str">
        <f aca="false">IF(OR(N164="ERRO",Q164="ERRO",T164="ERRO",W164="ERRO",Z164="ERRO",AC164="ERRO",AF164="ERRO",AI164="ERRO",AL164="ERRO",AO164="ERRO",AR164="ERRO",AU164="ERRO",AX164="ERRO"),"ERRO","OK")</f>
        <v>OK</v>
      </c>
      <c r="H164" s="9" t="n">
        <f aca="false">COUNTIF(L164:AX164,"ERRO")</f>
        <v>0</v>
      </c>
      <c r="I164" s="9" t="s">
        <v>18</v>
      </c>
      <c r="J164" s="10" t="n">
        <v>1873</v>
      </c>
      <c r="K164" s="10" t="n">
        <v>1958</v>
      </c>
      <c r="L164" s="6" t="n">
        <f aca="false">(10-(LEN(M164)))+1</f>
        <v>10</v>
      </c>
      <c r="M164" s="6" t="n">
        <v>0</v>
      </c>
      <c r="N164" s="6" t="str">
        <f aca="false">IF($J164="NA","NA",IF(AND($J164&gt;2019,M164&gt;0),"ERRO","OK"))</f>
        <v>OK</v>
      </c>
      <c r="O164" s="6" t="n">
        <f aca="false">(10-(LEN(P164)))+1</f>
        <v>10</v>
      </c>
      <c r="P164" s="6" t="n">
        <v>0</v>
      </c>
      <c r="Q164" s="6" t="str">
        <f aca="false">IF($J164="NA","NA",IF(AND($J164&gt;2009,P164&gt;0),"ERRO","OK"))</f>
        <v>OK</v>
      </c>
      <c r="R164" s="6" t="n">
        <f aca="false">(10-(LEN(S164)))+1</f>
        <v>10</v>
      </c>
      <c r="S164" s="6" t="n">
        <v>0</v>
      </c>
      <c r="T164" s="6" t="str">
        <f aca="false">IF($J164="NA","NA",IF(AND($J164&gt;1999,S164&gt;0),"ERRO","OK"))</f>
        <v>OK</v>
      </c>
      <c r="U164" s="6" t="n">
        <f aca="false">(10-(LEN(V164)))+1</f>
        <v>10</v>
      </c>
      <c r="V164" s="6" t="n">
        <v>0</v>
      </c>
      <c r="W164" s="6" t="str">
        <f aca="false">IF($J164="NA","NA",IF(AND($J164&gt;1989,V164&gt;0),"ERRO","OK"))</f>
        <v>OK</v>
      </c>
      <c r="X164" s="6" t="n">
        <f aca="false">(10-(LEN(Y164)))+1</f>
        <v>10</v>
      </c>
      <c r="Y164" s="6" t="n">
        <v>0</v>
      </c>
      <c r="Z164" s="6" t="str">
        <f aca="false">IF($J164="NA","NA",IF(AND($J164&gt;1979,Y164&gt;0),"ERRO","OK"))</f>
        <v>OK</v>
      </c>
      <c r="AA164" s="6" t="n">
        <f aca="false">(10-(LEN(AB164)))+1</f>
        <v>10</v>
      </c>
      <c r="AB164" s="6" t="n">
        <v>0</v>
      </c>
      <c r="AC164" s="6" t="str">
        <f aca="false">IF($J164="NA","NA",IF(AND($J164&gt;1969,AB164&gt;0),"ERRO","OK"))</f>
        <v>OK</v>
      </c>
      <c r="AD164" s="6" t="n">
        <f aca="false">(10-(LEN(AE164)))+1</f>
        <v>8</v>
      </c>
      <c r="AE164" s="6" t="n">
        <v>179</v>
      </c>
      <c r="AF164" s="6" t="str">
        <f aca="false">IF($J164="NA","NA",IF(AND($J164&gt;1959,AE164&gt;0),"ERRO","OK"))</f>
        <v>OK</v>
      </c>
      <c r="AG164" s="6" t="n">
        <f aca="false">(10-(LEN(AH164)))+1</f>
        <v>8</v>
      </c>
      <c r="AH164" s="6" t="n">
        <v>110</v>
      </c>
      <c r="AI164" s="6" t="str">
        <f aca="false">IF($J164="NA","NA",IF(AND($J164&gt;1949,AH164&gt;0),"ERRO","OK"))</f>
        <v>OK</v>
      </c>
      <c r="AJ164" s="6" t="n">
        <f aca="false">(10-(LEN(AK164)))+1</f>
        <v>7</v>
      </c>
      <c r="AK164" s="6" t="n">
        <v>1393</v>
      </c>
      <c r="AL164" s="6" t="str">
        <f aca="false">IF($J164="NA","NA",IF(AND($J164&gt;1939,AK164&gt;0),"ERRO","OK"))</f>
        <v>OK</v>
      </c>
      <c r="AM164" s="6" t="n">
        <f aca="false">(10-(LEN(AN164)))+1</f>
        <v>10</v>
      </c>
      <c r="AN164" s="6" t="n">
        <v>0</v>
      </c>
      <c r="AO164" s="6" t="str">
        <f aca="false">IF($J164="NA","NA",IF(AND($J164&gt;1929,AN164&gt;0),"ERRO","OK"))</f>
        <v>OK</v>
      </c>
      <c r="AP164" s="6" t="n">
        <f aca="false">(10-(LEN(AQ164)))+1</f>
        <v>8</v>
      </c>
      <c r="AQ164" s="6" t="n">
        <v>501</v>
      </c>
      <c r="AR164" s="6" t="str">
        <f aca="false">IF($J164="NA","NA",IF(AND($J164&gt;1919,AQ164&gt;0),"ERRO","OK"))</f>
        <v>OK</v>
      </c>
      <c r="AS164" s="6" t="n">
        <f aca="false">(10-(LEN(AT164)))+1</f>
        <v>10</v>
      </c>
      <c r="AT164" s="6" t="n">
        <v>0</v>
      </c>
      <c r="AU164" s="6" t="str">
        <f aca="false">IF($J164="NA","NA",IF(AND($J164&gt;1909,AT164&gt;0),"ERRO","OK"))</f>
        <v>OK</v>
      </c>
      <c r="AV164" s="6" t="n">
        <f aca="false">(10-(LEN(AW164)))+1</f>
        <v>10</v>
      </c>
      <c r="AW164" s="6" t="n">
        <v>0</v>
      </c>
      <c r="AX164" s="6" t="str">
        <f aca="false">IF($J164="NA","NA",IF(AND($J164&gt;1899,AW164&gt;0),"ERRO","OK"))</f>
        <v>OK</v>
      </c>
    </row>
    <row r="165" customFormat="false" ht="15" hidden="false" customHeight="false" outlineLevel="0" collapsed="false">
      <c r="A165" s="7" t="n">
        <v>162</v>
      </c>
      <c r="B165" s="0" t="s">
        <v>182</v>
      </c>
      <c r="C165" s="8" t="n">
        <v>45312</v>
      </c>
      <c r="D165" s="6" t="n">
        <v>0</v>
      </c>
      <c r="E165" s="0" t="s">
        <v>16</v>
      </c>
      <c r="F165" s="0" t="s">
        <v>17</v>
      </c>
      <c r="G165" s="9" t="str">
        <f aca="false">IF(OR(N165="ERRO",Q165="ERRO",T165="ERRO",W165="ERRO",Z165="ERRO",AC165="ERRO",AF165="ERRO",AI165="ERRO",AL165="ERRO",AO165="ERRO",AR165="ERRO",AU165="ERRO",AX165="ERRO"),"ERRO","OK")</f>
        <v>OK</v>
      </c>
      <c r="H165" s="9" t="n">
        <f aca="false">COUNTIF(L165:AX165,"ERRO")</f>
        <v>0</v>
      </c>
      <c r="I165" s="9" t="s">
        <v>18</v>
      </c>
      <c r="J165" s="10" t="n">
        <v>1914</v>
      </c>
      <c r="K165" s="10" t="n">
        <v>2008</v>
      </c>
      <c r="L165" s="6" t="n">
        <f aca="false">(10-(LEN(M165)))+1</f>
        <v>10</v>
      </c>
      <c r="M165" s="6" t="n">
        <v>0</v>
      </c>
      <c r="N165" s="6" t="str">
        <f aca="false">IF($J165="NA","NA",IF(AND($J165&gt;2019,M165&gt;0),"ERRO","OK"))</f>
        <v>OK</v>
      </c>
      <c r="O165" s="6" t="n">
        <f aca="false">(10-(LEN(P165)))+1</f>
        <v>10</v>
      </c>
      <c r="P165" s="6" t="n">
        <v>0</v>
      </c>
      <c r="Q165" s="6" t="str">
        <f aca="false">IF($J165="NA","NA",IF(AND($J165&gt;2009,P165&gt;0),"ERRO","OK"))</f>
        <v>OK</v>
      </c>
      <c r="R165" s="6" t="n">
        <f aca="false">(10-(LEN(S165)))+1</f>
        <v>10</v>
      </c>
      <c r="S165" s="6" t="n">
        <v>0</v>
      </c>
      <c r="T165" s="6" t="str">
        <f aca="false">IF($J165="NA","NA",IF(AND($J165&gt;1999,S165&gt;0),"ERRO","OK"))</f>
        <v>OK</v>
      </c>
      <c r="U165" s="6" t="n">
        <f aca="false">(10-(LEN(V165)))+1</f>
        <v>10</v>
      </c>
      <c r="V165" s="6" t="n">
        <v>0</v>
      </c>
      <c r="W165" s="6" t="str">
        <f aca="false">IF($J165="NA","NA",IF(AND($J165&gt;1989,V165&gt;0),"ERRO","OK"))</f>
        <v>OK</v>
      </c>
      <c r="X165" s="6" t="n">
        <f aca="false">(10-(LEN(Y165)))+1</f>
        <v>10</v>
      </c>
      <c r="Y165" s="6" t="n">
        <v>0</v>
      </c>
      <c r="Z165" s="6" t="str">
        <f aca="false">IF($J165="NA","NA",IF(AND($J165&gt;1979,Y165&gt;0),"ERRO","OK"))</f>
        <v>OK</v>
      </c>
      <c r="AA165" s="6" t="n">
        <f aca="false">(10-(LEN(AB165)))+1</f>
        <v>10</v>
      </c>
      <c r="AB165" s="6" t="n">
        <v>0</v>
      </c>
      <c r="AC165" s="6" t="str">
        <f aca="false">IF($J165="NA","NA",IF(AND($J165&gt;1969,AB165&gt;0),"ERRO","OK"))</f>
        <v>OK</v>
      </c>
      <c r="AD165" s="6" t="n">
        <f aca="false">(10-(LEN(AE165)))+1</f>
        <v>10</v>
      </c>
      <c r="AE165" s="6" t="n">
        <v>0</v>
      </c>
      <c r="AF165" s="6" t="str">
        <f aca="false">IF($J165="NA","NA",IF(AND($J165&gt;1959,AE165&gt;0),"ERRO","OK"))</f>
        <v>OK</v>
      </c>
      <c r="AG165" s="6" t="n">
        <f aca="false">(10-(LEN(AH165)))+1</f>
        <v>10</v>
      </c>
      <c r="AH165" s="6" t="n">
        <v>0</v>
      </c>
      <c r="AI165" s="6" t="str">
        <f aca="false">IF($J165="NA","NA",IF(AND($J165&gt;1949,AH165&gt;0),"ERRO","OK"))</f>
        <v>OK</v>
      </c>
      <c r="AJ165" s="6" t="n">
        <f aca="false">(10-(LEN(AK165)))+1</f>
        <v>10</v>
      </c>
      <c r="AK165" s="6" t="n">
        <v>0</v>
      </c>
      <c r="AL165" s="6" t="str">
        <f aca="false">IF($J165="NA","NA",IF(AND($J165&gt;1939,AK165&gt;0),"ERRO","OK"))</f>
        <v>OK</v>
      </c>
      <c r="AM165" s="6" t="n">
        <f aca="false">(10-(LEN(AN165)))+1</f>
        <v>10</v>
      </c>
      <c r="AN165" s="6" t="n">
        <v>0</v>
      </c>
      <c r="AO165" s="6" t="str">
        <f aca="false">IF($J165="NA","NA",IF(AND($J165&gt;1929,AN165&gt;0),"ERRO","OK"))</f>
        <v>OK</v>
      </c>
      <c r="AP165" s="6" t="n">
        <f aca="false">(10-(LEN(AQ165)))+1</f>
        <v>10</v>
      </c>
      <c r="AQ165" s="6" t="n">
        <v>0</v>
      </c>
      <c r="AR165" s="6" t="str">
        <f aca="false">IF($J165="NA","NA",IF(AND($J165&gt;1919,AQ165&gt;0),"ERRO","OK"))</f>
        <v>OK</v>
      </c>
      <c r="AS165" s="6" t="n">
        <f aca="false">(10-(LEN(AT165)))+1</f>
        <v>10</v>
      </c>
      <c r="AT165" s="6" t="n">
        <v>0</v>
      </c>
      <c r="AU165" s="6" t="str">
        <f aca="false">IF($J165="NA","NA",IF(AND($J165&gt;1909,AT165&gt;0),"ERRO","OK"))</f>
        <v>OK</v>
      </c>
      <c r="AV165" s="6" t="n">
        <f aca="false">(10-(LEN(AW165)))+1</f>
        <v>10</v>
      </c>
      <c r="AW165" s="6" t="n">
        <v>0</v>
      </c>
      <c r="AX165" s="6" t="str">
        <f aca="false">IF($J165="NA","NA",IF(AND($J165&gt;1899,AW165&gt;0),"ERRO","OK"))</f>
        <v>OK</v>
      </c>
    </row>
    <row r="166" customFormat="false" ht="15" hidden="false" customHeight="false" outlineLevel="0" collapsed="false">
      <c r="A166" s="7" t="n">
        <v>163</v>
      </c>
      <c r="B166" s="0" t="s">
        <v>183</v>
      </c>
      <c r="C166" s="8" t="n">
        <v>45312</v>
      </c>
      <c r="D166" s="6" t="n">
        <v>0</v>
      </c>
      <c r="E166" s="0" t="s">
        <v>16</v>
      </c>
      <c r="F166" s="0" t="s">
        <v>17</v>
      </c>
      <c r="G166" s="9" t="str">
        <f aca="false">IF(OR(N166="ERRO",Q166="ERRO",T166="ERRO",W166="ERRO",Z166="ERRO",AC166="ERRO",AF166="ERRO",AI166="ERRO",AL166="ERRO",AO166="ERRO",AR166="ERRO",AU166="ERRO",AX166="ERRO"),"ERRO","OK")</f>
        <v>OK</v>
      </c>
      <c r="H166" s="9" t="n">
        <f aca="false">COUNTIF(L166:AX166,"ERRO")</f>
        <v>0</v>
      </c>
      <c r="I166" s="9" t="s">
        <v>18</v>
      </c>
      <c r="J166" s="10" t="n">
        <v>1888</v>
      </c>
      <c r="K166" s="10" t="n">
        <v>1970</v>
      </c>
      <c r="L166" s="6" t="n">
        <f aca="false">(10-(LEN(M166)))+1</f>
        <v>8</v>
      </c>
      <c r="M166" s="6" t="n">
        <v>394</v>
      </c>
      <c r="N166" s="6" t="str">
        <f aca="false">IF($J166="NA","NA",IF(AND($J166&gt;2019,M166&gt;0),"ERRO","OK"))</f>
        <v>OK</v>
      </c>
      <c r="O166" s="6" t="n">
        <f aca="false">(10-(LEN(P166)))+1</f>
        <v>8</v>
      </c>
      <c r="P166" s="6" t="n">
        <v>432</v>
      </c>
      <c r="Q166" s="6" t="str">
        <f aca="false">IF($J166="NA","NA",IF(AND($J166&gt;2009,P166&gt;0),"ERRO","OK"))</f>
        <v>OK</v>
      </c>
      <c r="R166" s="6" t="n">
        <f aca="false">(10-(LEN(S166)))+1</f>
        <v>8</v>
      </c>
      <c r="S166" s="6" t="n">
        <v>618</v>
      </c>
      <c r="T166" s="6" t="str">
        <f aca="false">IF($J166="NA","NA",IF(AND($J166&gt;1999,S166&gt;0),"ERRO","OK"))</f>
        <v>OK</v>
      </c>
      <c r="U166" s="6" t="n">
        <f aca="false">(10-(LEN(V166)))+1</f>
        <v>8</v>
      </c>
      <c r="V166" s="6" t="n">
        <v>725</v>
      </c>
      <c r="W166" s="6" t="str">
        <f aca="false">IF($J166="NA","NA",IF(AND($J166&gt;1989,V166&gt;0),"ERRO","OK"))</f>
        <v>OK</v>
      </c>
      <c r="X166" s="6" t="n">
        <f aca="false">(10-(LEN(Y166)))+1</f>
        <v>7</v>
      </c>
      <c r="Y166" s="6" t="n">
        <v>1688</v>
      </c>
      <c r="Z166" s="6" t="str">
        <f aca="false">IF($J166="NA","NA",IF(AND($J166&gt;1979,Y166&gt;0),"ERRO","OK"))</f>
        <v>OK</v>
      </c>
      <c r="AA166" s="6" t="n">
        <f aca="false">(10-(LEN(AB166)))+1</f>
        <v>7</v>
      </c>
      <c r="AB166" s="6" t="n">
        <v>2708</v>
      </c>
      <c r="AC166" s="6" t="str">
        <f aca="false">IF($J166="NA","NA",IF(AND($J166&gt;1969,AB166&gt;0),"ERRO","OK"))</f>
        <v>OK</v>
      </c>
      <c r="AD166" s="6" t="n">
        <f aca="false">(10-(LEN(AE166)))+1</f>
        <v>7</v>
      </c>
      <c r="AE166" s="6" t="n">
        <v>3865</v>
      </c>
      <c r="AF166" s="6" t="str">
        <f aca="false">IF($J166="NA","NA",IF(AND($J166&gt;1959,AE166&gt;0),"ERRO","OK"))</f>
        <v>OK</v>
      </c>
      <c r="AG166" s="6" t="n">
        <f aca="false">(10-(LEN(AH166)))+1</f>
        <v>7</v>
      </c>
      <c r="AH166" s="6" t="n">
        <v>2201</v>
      </c>
      <c r="AI166" s="6" t="str">
        <f aca="false">IF($J166="NA","NA",IF(AND($J166&gt;1949,AH166&gt;0),"ERRO","OK"))</f>
        <v>OK</v>
      </c>
      <c r="AJ166" s="6" t="n">
        <f aca="false">(10-(LEN(AK166)))+1</f>
        <v>8</v>
      </c>
      <c r="AK166" s="6" t="n">
        <v>147</v>
      </c>
      <c r="AL166" s="6" t="str">
        <f aca="false">IF($J166="NA","NA",IF(AND($J166&gt;1939,AK166&gt;0),"ERRO","OK"))</f>
        <v>OK</v>
      </c>
      <c r="AM166" s="6" t="n">
        <f aca="false">(10-(LEN(AN166)))+1</f>
        <v>8</v>
      </c>
      <c r="AN166" s="6" t="n">
        <v>642</v>
      </c>
      <c r="AO166" s="6" t="str">
        <f aca="false">IF($J166="NA","NA",IF(AND($J166&gt;1929,AN166&gt;0),"ERRO","OK"))</f>
        <v>OK</v>
      </c>
      <c r="AP166" s="6" t="n">
        <f aca="false">(10-(LEN(AQ166)))+1</f>
        <v>7</v>
      </c>
      <c r="AQ166" s="6" t="n">
        <v>1159</v>
      </c>
      <c r="AR166" s="6" t="str">
        <f aca="false">IF($J166="NA","NA",IF(AND($J166&gt;1919,AQ166&gt;0),"ERRO","OK"))</f>
        <v>OK</v>
      </c>
      <c r="AS166" s="6" t="n">
        <f aca="false">(10-(LEN(AT166)))+1</f>
        <v>8</v>
      </c>
      <c r="AT166" s="6" t="n">
        <v>543</v>
      </c>
      <c r="AU166" s="6" t="str">
        <f aca="false">IF($J166="NA","NA",IF(AND($J166&gt;1909,AT166&gt;0),"ERRO","OK"))</f>
        <v>OK</v>
      </c>
      <c r="AV166" s="6" t="n">
        <f aca="false">(10-(LEN(AW166)))+1</f>
        <v>8</v>
      </c>
      <c r="AW166" s="6" t="n">
        <v>136</v>
      </c>
      <c r="AX166" s="6" t="str">
        <f aca="false">IF($J166="NA","NA",IF(AND($J166&gt;1899,AW166&gt;0),"ERRO","OK"))</f>
        <v>OK</v>
      </c>
    </row>
    <row r="167" customFormat="false" ht="15" hidden="false" customHeight="false" outlineLevel="0" collapsed="false">
      <c r="A167" s="7" t="n">
        <v>164</v>
      </c>
      <c r="B167" s="0" t="s">
        <v>184</v>
      </c>
      <c r="C167" s="8" t="n">
        <v>45312</v>
      </c>
      <c r="D167" s="6" t="n">
        <v>0</v>
      </c>
      <c r="E167" s="0" t="s">
        <v>16</v>
      </c>
      <c r="F167" s="0" t="s">
        <v>17</v>
      </c>
      <c r="G167" s="9" t="str">
        <f aca="false">IF(OR(N167="ERRO",Q167="ERRO",T167="ERRO",W167="ERRO",Z167="ERRO",AC167="ERRO",AF167="ERRO",AI167="ERRO",AL167="ERRO",AO167="ERRO",AR167="ERRO",AU167="ERRO",AX167="ERRO"),"ERRO","OK")</f>
        <v>OK</v>
      </c>
      <c r="H167" s="9" t="n">
        <f aca="false">COUNTIF(L167:AX167,"ERRO")</f>
        <v>0</v>
      </c>
      <c r="I167" s="9" t="s">
        <v>18</v>
      </c>
      <c r="J167" s="10" t="n">
        <v>1900</v>
      </c>
      <c r="K167" s="10" t="n">
        <v>1955</v>
      </c>
      <c r="L167" s="6" t="n">
        <f aca="false">(10-(LEN(M167)))+1</f>
        <v>7</v>
      </c>
      <c r="M167" s="6" t="n">
        <v>9287</v>
      </c>
      <c r="N167" s="6" t="str">
        <f aca="false">IF($J167="NA","NA",IF(AND($J167&gt;2019,M167&gt;0),"ERRO","OK"))</f>
        <v>OK</v>
      </c>
      <c r="O167" s="6" t="n">
        <f aca="false">(10-(LEN(P167)))+1</f>
        <v>6</v>
      </c>
      <c r="P167" s="6" t="n">
        <v>11114</v>
      </c>
      <c r="Q167" s="6" t="str">
        <f aca="false">IF($J167="NA","NA",IF(AND($J167&gt;2009,P167&gt;0),"ERRO","OK"))</f>
        <v>OK</v>
      </c>
      <c r="R167" s="6" t="n">
        <f aca="false">(10-(LEN(S167)))+1</f>
        <v>6</v>
      </c>
      <c r="S167" s="6" t="n">
        <v>13865</v>
      </c>
      <c r="T167" s="6" t="str">
        <f aca="false">IF($J167="NA","NA",IF(AND($J167&gt;1999,S167&gt;0),"ERRO","OK"))</f>
        <v>OK</v>
      </c>
      <c r="U167" s="6" t="n">
        <f aca="false">(10-(LEN(V167)))+1</f>
        <v>6</v>
      </c>
      <c r="V167" s="6" t="n">
        <v>20696</v>
      </c>
      <c r="W167" s="6" t="str">
        <f aca="false">IF($J167="NA","NA",IF(AND($J167&gt;1989,V167&gt;0),"ERRO","OK"))</f>
        <v>OK</v>
      </c>
      <c r="X167" s="6" t="n">
        <f aca="false">(10-(LEN(Y167)))+1</f>
        <v>6</v>
      </c>
      <c r="Y167" s="6" t="n">
        <v>17123</v>
      </c>
      <c r="Z167" s="6" t="str">
        <f aca="false">IF($J167="NA","NA",IF(AND($J167&gt;1979,Y167&gt;0),"ERRO","OK"))</f>
        <v>OK</v>
      </c>
      <c r="AA167" s="6" t="n">
        <f aca="false">(10-(LEN(AB167)))+1</f>
        <v>6</v>
      </c>
      <c r="AB167" s="6" t="n">
        <v>12247</v>
      </c>
      <c r="AC167" s="6" t="str">
        <f aca="false">IF($J167="NA","NA",IF(AND($J167&gt;1969,AB167&gt;0),"ERRO","OK"))</f>
        <v>OK</v>
      </c>
      <c r="AD167" s="6" t="n">
        <f aca="false">(10-(LEN(AE167)))+1</f>
        <v>6</v>
      </c>
      <c r="AE167" s="6" t="n">
        <v>10316</v>
      </c>
      <c r="AF167" s="6" t="str">
        <f aca="false">IF($J167="NA","NA",IF(AND($J167&gt;1959,AE167&gt;0),"ERRO","OK"))</f>
        <v>OK</v>
      </c>
      <c r="AG167" s="6" t="n">
        <f aca="false">(10-(LEN(AH167)))+1</f>
        <v>7</v>
      </c>
      <c r="AH167" s="6" t="n">
        <v>8921</v>
      </c>
      <c r="AI167" s="6" t="str">
        <f aca="false">IF($J167="NA","NA",IF(AND($J167&gt;1949,AH167&gt;0),"ERRO","OK"))</f>
        <v>OK</v>
      </c>
      <c r="AJ167" s="6" t="n">
        <f aca="false">(10-(LEN(AK167)))+1</f>
        <v>6</v>
      </c>
      <c r="AK167" s="6" t="n">
        <v>10444</v>
      </c>
      <c r="AL167" s="6" t="str">
        <f aca="false">IF($J167="NA","NA",IF(AND($J167&gt;1939,AK167&gt;0),"ERRO","OK"))</f>
        <v>OK</v>
      </c>
      <c r="AM167" s="6" t="n">
        <f aca="false">(10-(LEN(AN167)))+1</f>
        <v>8</v>
      </c>
      <c r="AN167" s="6" t="n">
        <v>762</v>
      </c>
      <c r="AO167" s="6" t="str">
        <f aca="false">IF($J167="NA","NA",IF(AND($J167&gt;1929,AN167&gt;0),"ERRO","OK"))</f>
        <v>OK</v>
      </c>
      <c r="AP167" s="6" t="n">
        <f aca="false">(10-(LEN(AQ167)))+1</f>
        <v>8</v>
      </c>
      <c r="AQ167" s="6" t="n">
        <v>100</v>
      </c>
      <c r="AR167" s="6" t="str">
        <f aca="false">IF($J167="NA","NA",IF(AND($J167&gt;1919,AQ167&gt;0),"ERRO","OK"))</f>
        <v>OK</v>
      </c>
      <c r="AS167" s="6" t="n">
        <f aca="false">(10-(LEN(AT167)))+1</f>
        <v>10</v>
      </c>
      <c r="AT167" s="6" t="n">
        <v>0</v>
      </c>
      <c r="AU167" s="6" t="str">
        <f aca="false">IF($J167="NA","NA",IF(AND($J167&gt;1909,AT167&gt;0),"ERRO","OK"))</f>
        <v>OK</v>
      </c>
      <c r="AV167" s="6" t="n">
        <f aca="false">(10-(LEN(AW167)))+1</f>
        <v>10</v>
      </c>
      <c r="AW167" s="6" t="n">
        <v>0</v>
      </c>
      <c r="AX167" s="6" t="str">
        <f aca="false">IF($J167="NA","NA",IF(AND($J167&gt;1899,AW167&gt;0),"ERRO","OK"))</f>
        <v>OK</v>
      </c>
    </row>
    <row r="168" customFormat="false" ht="15" hidden="false" customHeight="false" outlineLevel="0" collapsed="false">
      <c r="A168" s="7" t="n">
        <v>165</v>
      </c>
      <c r="B168" s="0" t="s">
        <v>185</v>
      </c>
      <c r="C168" s="8" t="n">
        <v>45312</v>
      </c>
      <c r="D168" s="6" t="n">
        <v>0</v>
      </c>
      <c r="E168" s="0" t="s">
        <v>16</v>
      </c>
      <c r="F168" s="0" t="s">
        <v>17</v>
      </c>
      <c r="G168" s="9" t="str">
        <f aca="false">IF(OR(N168="ERRO",Q168="ERRO",T168="ERRO",W168="ERRO",Z168="ERRO",AC168="ERRO",AF168="ERRO",AI168="ERRO",AL168="ERRO",AO168="ERRO",AR168="ERRO",AU168="ERRO",AX168="ERRO"),"ERRO","OK")</f>
        <v>OK</v>
      </c>
      <c r="H168" s="9" t="n">
        <f aca="false">COUNTIF(L168:AX168,"ERRO")</f>
        <v>0</v>
      </c>
      <c r="I168" s="9" t="s">
        <v>18</v>
      </c>
      <c r="J168" s="10" t="n">
        <v>1881</v>
      </c>
      <c r="K168" s="10" t="n">
        <v>1955</v>
      </c>
      <c r="L168" s="6" t="n">
        <f aca="false">(10-(LEN(M168)))+1</f>
        <v>6</v>
      </c>
      <c r="M168" s="6" t="n">
        <v>28443</v>
      </c>
      <c r="N168" s="6" t="str">
        <f aca="false">IF($J168="NA","NA",IF(AND($J168&gt;2019,M168&gt;0),"ERRO","OK"))</f>
        <v>OK</v>
      </c>
      <c r="O168" s="6" t="n">
        <f aca="false">(10-(LEN(P168)))+1</f>
        <v>6</v>
      </c>
      <c r="P168" s="6" t="n">
        <v>18215</v>
      </c>
      <c r="Q168" s="6" t="str">
        <f aca="false">IF($J168="NA","NA",IF(AND($J168&gt;2009,P168&gt;0),"ERRO","OK"))</f>
        <v>OK</v>
      </c>
      <c r="R168" s="6" t="n">
        <f aca="false">(10-(LEN(S168)))+1</f>
        <v>6</v>
      </c>
      <c r="S168" s="6" t="n">
        <v>10966</v>
      </c>
      <c r="T168" s="6" t="str">
        <f aca="false">IF($J168="NA","NA",IF(AND($J168&gt;1999,S168&gt;0),"ERRO","OK"))</f>
        <v>OK</v>
      </c>
      <c r="U168" s="6" t="n">
        <f aca="false">(10-(LEN(V168)))+1</f>
        <v>7</v>
      </c>
      <c r="V168" s="6" t="n">
        <v>6669</v>
      </c>
      <c r="W168" s="6" t="str">
        <f aca="false">IF($J168="NA","NA",IF(AND($J168&gt;1989,V168&gt;0),"ERRO","OK"))</f>
        <v>OK</v>
      </c>
      <c r="X168" s="6" t="n">
        <f aca="false">(10-(LEN(Y168)))+1</f>
        <v>7</v>
      </c>
      <c r="Y168" s="6" t="n">
        <v>6314</v>
      </c>
      <c r="Z168" s="6" t="str">
        <f aca="false">IF($J168="NA","NA",IF(AND($J168&gt;1979,Y168&gt;0),"ERRO","OK"))</f>
        <v>OK</v>
      </c>
      <c r="AA168" s="6" t="n">
        <f aca="false">(10-(LEN(AB168)))+1</f>
        <v>7</v>
      </c>
      <c r="AB168" s="6" t="n">
        <v>7090</v>
      </c>
      <c r="AC168" s="6" t="str">
        <f aca="false">IF($J168="NA","NA",IF(AND($J168&gt;1969,AB168&gt;0),"ERRO","OK"))</f>
        <v>OK</v>
      </c>
      <c r="AD168" s="6" t="n">
        <f aca="false">(10-(LEN(AE168)))+1</f>
        <v>6</v>
      </c>
      <c r="AE168" s="6" t="n">
        <v>10854</v>
      </c>
      <c r="AF168" s="6" t="str">
        <f aca="false">IF($J168="NA","NA",IF(AND($J168&gt;1959,AE168&gt;0),"ERRO","OK"))</f>
        <v>OK</v>
      </c>
      <c r="AG168" s="6" t="n">
        <f aca="false">(10-(LEN(AH168)))+1</f>
        <v>7</v>
      </c>
      <c r="AH168" s="6" t="n">
        <v>5727</v>
      </c>
      <c r="AI168" s="6" t="str">
        <f aca="false">IF($J168="NA","NA",IF(AND($J168&gt;1949,AH168&gt;0),"ERRO","OK"))</f>
        <v>OK</v>
      </c>
      <c r="AJ168" s="6" t="n">
        <f aca="false">(10-(LEN(AK168)))+1</f>
        <v>7</v>
      </c>
      <c r="AK168" s="6" t="n">
        <v>4874</v>
      </c>
      <c r="AL168" s="6" t="str">
        <f aca="false">IF($J168="NA","NA",IF(AND($J168&gt;1939,AK168&gt;0),"ERRO","OK"))</f>
        <v>OK</v>
      </c>
      <c r="AM168" s="6" t="n">
        <f aca="false">(10-(LEN(AN168)))+1</f>
        <v>7</v>
      </c>
      <c r="AN168" s="6" t="n">
        <v>1219</v>
      </c>
      <c r="AO168" s="6" t="str">
        <f aca="false">IF($J168="NA","NA",IF(AND($J168&gt;1929,AN168&gt;0),"ERRO","OK"))</f>
        <v>OK</v>
      </c>
      <c r="AP168" s="6" t="n">
        <f aca="false">(10-(LEN(AQ168)))+1</f>
        <v>10</v>
      </c>
      <c r="AQ168" s="6" t="n">
        <v>0</v>
      </c>
      <c r="AR168" s="6" t="str">
        <f aca="false">IF($J168="NA","NA",IF(AND($J168&gt;1919,AQ168&gt;0),"ERRO","OK"))</f>
        <v>OK</v>
      </c>
      <c r="AS168" s="6" t="n">
        <f aca="false">(10-(LEN(AT168)))+1</f>
        <v>10</v>
      </c>
      <c r="AT168" s="6" t="n">
        <v>0</v>
      </c>
      <c r="AU168" s="6" t="str">
        <f aca="false">IF($J168="NA","NA",IF(AND($J168&gt;1909,AT168&gt;0),"ERRO","OK"))</f>
        <v>OK</v>
      </c>
      <c r="AV168" s="6" t="n">
        <f aca="false">(10-(LEN(AW168)))+1</f>
        <v>10</v>
      </c>
      <c r="AW168" s="6" t="n">
        <v>0</v>
      </c>
      <c r="AX168" s="6" t="str">
        <f aca="false">IF($J168="NA","NA",IF(AND($J168&gt;1899,AW168&gt;0),"ERRO","OK"))</f>
        <v>OK</v>
      </c>
    </row>
    <row r="169" customFormat="false" ht="15" hidden="false" customHeight="false" outlineLevel="0" collapsed="false">
      <c r="A169" s="7" t="n">
        <v>166</v>
      </c>
      <c r="B169" s="0" t="s">
        <v>186</v>
      </c>
      <c r="C169" s="8" t="n">
        <v>45312</v>
      </c>
      <c r="D169" s="6" t="n">
        <v>0</v>
      </c>
      <c r="E169" s="0" t="s">
        <v>16</v>
      </c>
      <c r="F169" s="0" t="s">
        <v>17</v>
      </c>
      <c r="G169" s="9" t="str">
        <f aca="false">IF(OR(N169="ERRO",Q169="ERRO",T169="ERRO",W169="ERRO",Z169="ERRO",AC169="ERRO",AF169="ERRO",AI169="ERRO",AL169="ERRO",AO169="ERRO",AR169="ERRO",AU169="ERRO",AX169="ERRO"),"ERRO","OK")</f>
        <v>OK</v>
      </c>
      <c r="H169" s="9" t="n">
        <f aca="false">COUNTIF(L169:AX169,"ERRO")</f>
        <v>0</v>
      </c>
      <c r="I169" s="9" t="s">
        <v>18</v>
      </c>
      <c r="J169" s="10" t="n">
        <v>1900</v>
      </c>
      <c r="K169" s="10" t="n">
        <v>1962</v>
      </c>
      <c r="L169" s="6" t="n">
        <f aca="false">(10-(LEN(M169)))+1</f>
        <v>7</v>
      </c>
      <c r="M169" s="6" t="n">
        <v>4123</v>
      </c>
      <c r="N169" s="6" t="str">
        <f aca="false">IF($J169="NA","NA",IF(AND($J169&gt;2019,M169&gt;0),"ERRO","OK"))</f>
        <v>OK</v>
      </c>
      <c r="O169" s="6" t="n">
        <f aca="false">(10-(LEN(P169)))+1</f>
        <v>7</v>
      </c>
      <c r="P169" s="6" t="n">
        <v>2195</v>
      </c>
      <c r="Q169" s="6" t="str">
        <f aca="false">IF($J169="NA","NA",IF(AND($J169&gt;2009,P169&gt;0),"ERRO","OK"))</f>
        <v>OK</v>
      </c>
      <c r="R169" s="6" t="n">
        <f aca="false">(10-(LEN(S169)))+1</f>
        <v>7</v>
      </c>
      <c r="S169" s="6" t="n">
        <v>4370</v>
      </c>
      <c r="T169" s="6" t="str">
        <f aca="false">IF($J169="NA","NA",IF(AND($J169&gt;1999,S169&gt;0),"ERRO","OK"))</f>
        <v>OK</v>
      </c>
      <c r="U169" s="6" t="n">
        <f aca="false">(10-(LEN(V169)))+1</f>
        <v>7</v>
      </c>
      <c r="V169" s="6" t="n">
        <v>2760</v>
      </c>
      <c r="W169" s="6" t="str">
        <f aca="false">IF($J169="NA","NA",IF(AND($J169&gt;1989,V169&gt;0),"ERRO","OK"))</f>
        <v>OK</v>
      </c>
      <c r="X169" s="6" t="n">
        <f aca="false">(10-(LEN(Y169)))+1</f>
        <v>7</v>
      </c>
      <c r="Y169" s="6" t="n">
        <v>6368</v>
      </c>
      <c r="Z169" s="6" t="str">
        <f aca="false">IF($J169="NA","NA",IF(AND($J169&gt;1979,Y169&gt;0),"ERRO","OK"))</f>
        <v>OK</v>
      </c>
      <c r="AA169" s="6" t="n">
        <f aca="false">(10-(LEN(AB169)))+1</f>
        <v>7</v>
      </c>
      <c r="AB169" s="6" t="n">
        <v>3399</v>
      </c>
      <c r="AC169" s="6" t="str">
        <f aca="false">IF($J169="NA","NA",IF(AND($J169&gt;1969,AB169&gt;0),"ERRO","OK"))</f>
        <v>OK</v>
      </c>
      <c r="AD169" s="6" t="n">
        <f aca="false">(10-(LEN(AE169)))+1</f>
        <v>7</v>
      </c>
      <c r="AE169" s="6" t="n">
        <v>1973</v>
      </c>
      <c r="AF169" s="6" t="str">
        <f aca="false">IF($J169="NA","NA",IF(AND($J169&gt;1959,AE169&gt;0),"ERRO","OK"))</f>
        <v>OK</v>
      </c>
      <c r="AG169" s="6" t="n">
        <f aca="false">(10-(LEN(AH169)))+1</f>
        <v>7</v>
      </c>
      <c r="AH169" s="6" t="n">
        <v>6608</v>
      </c>
      <c r="AI169" s="6" t="str">
        <f aca="false">IF($J169="NA","NA",IF(AND($J169&gt;1949,AH169&gt;0),"ERRO","OK"))</f>
        <v>OK</v>
      </c>
      <c r="AJ169" s="6" t="n">
        <f aca="false">(10-(LEN(AK169)))+1</f>
        <v>7</v>
      </c>
      <c r="AK169" s="6" t="n">
        <v>4874</v>
      </c>
      <c r="AL169" s="6" t="str">
        <f aca="false">IF($J169="NA","NA",IF(AND($J169&gt;1939,AK169&gt;0),"ERRO","OK"))</f>
        <v>OK</v>
      </c>
      <c r="AM169" s="6" t="n">
        <f aca="false">(10-(LEN(AN169)))+1</f>
        <v>10</v>
      </c>
      <c r="AN169" s="6" t="n">
        <v>0</v>
      </c>
      <c r="AO169" s="6" t="str">
        <f aca="false">IF($J169="NA","NA",IF(AND($J169&gt;1929,AN169&gt;0),"ERRO","OK"))</f>
        <v>OK</v>
      </c>
      <c r="AP169" s="6" t="n">
        <f aca="false">(10-(LEN(AQ169)))+1</f>
        <v>10</v>
      </c>
      <c r="AQ169" s="6" t="n">
        <v>0</v>
      </c>
      <c r="AR169" s="6" t="str">
        <f aca="false">IF($J169="NA","NA",IF(AND($J169&gt;1919,AQ169&gt;0),"ERRO","OK"))</f>
        <v>OK</v>
      </c>
      <c r="AS169" s="6" t="n">
        <f aca="false">(10-(LEN(AT169)))+1</f>
        <v>10</v>
      </c>
      <c r="AT169" s="6" t="n">
        <v>0</v>
      </c>
      <c r="AU169" s="6" t="str">
        <f aca="false">IF($J169="NA","NA",IF(AND($J169&gt;1909,AT169&gt;0),"ERRO","OK"))</f>
        <v>OK</v>
      </c>
      <c r="AV169" s="6" t="n">
        <f aca="false">(10-(LEN(AW169)))+1</f>
        <v>10</v>
      </c>
      <c r="AW169" s="6" t="n">
        <v>0</v>
      </c>
      <c r="AX169" s="6" t="str">
        <f aca="false">IF($J169="NA","NA",IF(AND($J169&gt;1899,AW169&gt;0),"ERRO","OK"))</f>
        <v>OK</v>
      </c>
    </row>
    <row r="170" customFormat="false" ht="15" hidden="false" customHeight="false" outlineLevel="0" collapsed="false">
      <c r="A170" s="7" t="n">
        <v>167</v>
      </c>
      <c r="B170" s="0" t="s">
        <v>187</v>
      </c>
      <c r="C170" s="8" t="n">
        <v>45312</v>
      </c>
      <c r="D170" s="6" t="n">
        <v>0</v>
      </c>
      <c r="E170" s="0" t="s">
        <v>16</v>
      </c>
      <c r="F170" s="0" t="s">
        <v>17</v>
      </c>
      <c r="G170" s="9" t="str">
        <f aca="false">IF(OR(N170="ERRO",Q170="ERRO",T170="ERRO",W170="ERRO",Z170="ERRO",AC170="ERRO",AF170="ERRO",AI170="ERRO",AL170="ERRO",AO170="ERRO",AR170="ERRO",AU170="ERRO",AX170="ERRO"),"ERRO","OK")</f>
        <v>ERRO</v>
      </c>
      <c r="H170" s="9" t="n">
        <f aca="false">COUNTIF(L170:AX170,"ERRO")</f>
        <v>2</v>
      </c>
      <c r="I170" s="9" t="s">
        <v>104</v>
      </c>
      <c r="J170" s="10" t="n">
        <v>1913</v>
      </c>
      <c r="K170" s="10" t="n">
        <v>1951</v>
      </c>
      <c r="L170" s="6" t="n">
        <f aca="false">(10-(LEN(M170)))+1</f>
        <v>7</v>
      </c>
      <c r="M170" s="6" t="n">
        <v>6834</v>
      </c>
      <c r="N170" s="6" t="str">
        <f aca="false">IF($J170="NA","NA",IF(AND($J170&gt;2019,M170&gt;0),"ERRO","OK"))</f>
        <v>OK</v>
      </c>
      <c r="O170" s="6" t="n">
        <f aca="false">(10-(LEN(P170)))+1</f>
        <v>6</v>
      </c>
      <c r="P170" s="6" t="n">
        <v>15527</v>
      </c>
      <c r="Q170" s="6" t="str">
        <f aca="false">IF($J170="NA","NA",IF(AND($J170&gt;2009,P170&gt;0),"ERRO","OK"))</f>
        <v>OK</v>
      </c>
      <c r="R170" s="6" t="n">
        <f aca="false">(10-(LEN(S170)))+1</f>
        <v>6</v>
      </c>
      <c r="S170" s="6" t="n">
        <v>44732</v>
      </c>
      <c r="T170" s="6" t="str">
        <f aca="false">IF($J170="NA","NA",IF(AND($J170&gt;1999,S170&gt;0),"ERRO","OK"))</f>
        <v>OK</v>
      </c>
      <c r="U170" s="6" t="n">
        <f aca="false">(10-(LEN(V170)))+1</f>
        <v>6</v>
      </c>
      <c r="V170" s="6" t="n">
        <v>97107</v>
      </c>
      <c r="W170" s="6" t="str">
        <f aca="false">IF($J170="NA","NA",IF(AND($J170&gt;1989,V170&gt;0),"ERRO","OK"))</f>
        <v>OK</v>
      </c>
      <c r="X170" s="6" t="n">
        <f aca="false">(10-(LEN(Y170)))+1</f>
        <v>5</v>
      </c>
      <c r="Y170" s="6" t="n">
        <v>130230</v>
      </c>
      <c r="Z170" s="6" t="str">
        <f aca="false">IF($J170="NA","NA",IF(AND($J170&gt;1979,Y170&gt;0),"ERRO","OK"))</f>
        <v>OK</v>
      </c>
      <c r="AA170" s="6" t="n">
        <f aca="false">(10-(LEN(AB170)))+1</f>
        <v>5</v>
      </c>
      <c r="AB170" s="6" t="n">
        <v>179961</v>
      </c>
      <c r="AC170" s="6" t="str">
        <f aca="false">IF($J170="NA","NA",IF(AND($J170&gt;1969,AB170&gt;0),"ERRO","OK"))</f>
        <v>OK</v>
      </c>
      <c r="AD170" s="6" t="n">
        <f aca="false">(10-(LEN(AE170)))+1</f>
        <v>5</v>
      </c>
      <c r="AE170" s="6" t="n">
        <v>194303</v>
      </c>
      <c r="AF170" s="6" t="str">
        <f aca="false">IF($J170="NA","NA",IF(AND($J170&gt;1959,AE170&gt;0),"ERRO","OK"))</f>
        <v>OK</v>
      </c>
      <c r="AG170" s="6" t="n">
        <f aca="false">(10-(LEN(AH170)))+1</f>
        <v>5</v>
      </c>
      <c r="AH170" s="6" t="n">
        <v>144912</v>
      </c>
      <c r="AI170" s="6" t="str">
        <f aca="false">IF($J170="NA","NA",IF(AND($J170&gt;1949,AH170&gt;0),"ERRO","OK"))</f>
        <v>OK</v>
      </c>
      <c r="AJ170" s="6" t="n">
        <f aca="false">(10-(LEN(AK170)))+1</f>
        <v>6</v>
      </c>
      <c r="AK170" s="6" t="n">
        <v>24664</v>
      </c>
      <c r="AL170" s="6" t="str">
        <f aca="false">IF($J170="NA","NA",IF(AND($J170&gt;1939,AK170&gt;0),"ERRO","OK"))</f>
        <v>OK</v>
      </c>
      <c r="AM170" s="6" t="n">
        <f aca="false">(10-(LEN(AN170)))+1</f>
        <v>5</v>
      </c>
      <c r="AN170" s="6" t="n">
        <v>173779</v>
      </c>
      <c r="AO170" s="6" t="str">
        <f aca="false">IF($J170="NA","NA",IF(AND($J170&gt;1929,AN170&gt;0),"ERRO","OK"))</f>
        <v>OK</v>
      </c>
      <c r="AP170" s="6" t="n">
        <f aca="false">(10-(LEN(AQ170)))+1</f>
        <v>5</v>
      </c>
      <c r="AQ170" s="6" t="n">
        <v>206512</v>
      </c>
      <c r="AR170" s="6" t="str">
        <f aca="false">IF($J170="NA","NA",IF(AND($J170&gt;1919,AQ170&gt;0),"ERRO","OK"))</f>
        <v>OK</v>
      </c>
      <c r="AS170" s="6" t="n">
        <f aca="false">(10-(LEN(AT170)))+1</f>
        <v>5</v>
      </c>
      <c r="AT170" s="6" t="n">
        <v>286283</v>
      </c>
      <c r="AU170" s="6" t="str">
        <f aca="false">IF($J170="NA","NA",IF(AND($J170&gt;1909,AT170&gt;0),"ERRO","OK"))</f>
        <v>ERRO</v>
      </c>
      <c r="AV170" s="6" t="n">
        <f aca="false">(10-(LEN(AW170)))+1</f>
        <v>5</v>
      </c>
      <c r="AW170" s="6" t="n">
        <v>454742</v>
      </c>
      <c r="AX170" s="6" t="str">
        <f aca="false">IF($J170="NA","NA",IF(AND($J170&gt;1899,AW170&gt;0),"ERRO","OK"))</f>
        <v>ERRO</v>
      </c>
    </row>
    <row r="171" customFormat="false" ht="15" hidden="false" customHeight="false" outlineLevel="0" collapsed="false">
      <c r="A171" s="7" t="n">
        <v>169</v>
      </c>
      <c r="B171" s="0" t="s">
        <v>188</v>
      </c>
      <c r="C171" s="8" t="n">
        <v>45312</v>
      </c>
      <c r="D171" s="6" t="n">
        <v>0</v>
      </c>
      <c r="E171" s="0" t="s">
        <v>16</v>
      </c>
      <c r="F171" s="0" t="s">
        <v>17</v>
      </c>
      <c r="G171" s="9" t="str">
        <f aca="false">IF(OR(N171="ERRO",Q171="ERRO",T171="ERRO",W171="ERRO",Z171="ERRO",AC171="ERRO",AF171="ERRO",AI171="ERRO",AL171="ERRO",AO171="ERRO",AR171="ERRO",AU171="ERRO",AX171="ERRO"),"ERRO","OK")</f>
        <v>OK</v>
      </c>
      <c r="H171" s="9" t="n">
        <f aca="false">COUNTIF(L171:AX171,"ERRO")</f>
        <v>0</v>
      </c>
      <c r="I171" s="9" t="s">
        <v>18</v>
      </c>
      <c r="J171" s="10" t="n">
        <v>1906</v>
      </c>
      <c r="K171" s="10" t="n">
        <v>1979</v>
      </c>
      <c r="L171" s="6" t="n">
        <f aca="false">(10-(LEN(M171)))+1</f>
        <v>7</v>
      </c>
      <c r="M171" s="6" t="n">
        <v>2585</v>
      </c>
      <c r="N171" s="6" t="str">
        <f aca="false">IF($J171="NA","NA",IF(AND($J171&gt;2019,M171&gt;0),"ERRO","OK"))</f>
        <v>OK</v>
      </c>
      <c r="O171" s="6" t="n">
        <f aca="false">(10-(LEN(P171)))+1</f>
        <v>7</v>
      </c>
      <c r="P171" s="6" t="n">
        <v>7962</v>
      </c>
      <c r="Q171" s="6" t="str">
        <f aca="false">IF($J171="NA","NA",IF(AND($J171&gt;2009,P171&gt;0),"ERRO","OK"))</f>
        <v>OK</v>
      </c>
      <c r="R171" s="6" t="n">
        <f aca="false">(10-(LEN(S171)))+1</f>
        <v>7</v>
      </c>
      <c r="S171" s="6" t="n">
        <v>7191</v>
      </c>
      <c r="T171" s="6" t="str">
        <f aca="false">IF($J171="NA","NA",IF(AND($J171&gt;1999,S171&gt;0),"ERRO","OK"))</f>
        <v>OK</v>
      </c>
      <c r="U171" s="6" t="n">
        <f aca="false">(10-(LEN(V171)))+1</f>
        <v>6</v>
      </c>
      <c r="V171" s="6" t="n">
        <v>13106</v>
      </c>
      <c r="W171" s="6" t="str">
        <f aca="false">IF($J171="NA","NA",IF(AND($J171&gt;1989,V171&gt;0),"ERRO","OK"))</f>
        <v>OK</v>
      </c>
      <c r="X171" s="6" t="n">
        <f aca="false">(10-(LEN(Y171)))+1</f>
        <v>6</v>
      </c>
      <c r="Y171" s="6" t="n">
        <v>10070</v>
      </c>
      <c r="Z171" s="6" t="str">
        <f aca="false">IF($J171="NA","NA",IF(AND($J171&gt;1979,Y171&gt;0),"ERRO","OK"))</f>
        <v>OK</v>
      </c>
      <c r="AA171" s="6" t="n">
        <f aca="false">(10-(LEN(AB171)))+1</f>
        <v>6</v>
      </c>
      <c r="AB171" s="6" t="n">
        <v>12187</v>
      </c>
      <c r="AC171" s="6" t="str">
        <f aca="false">IF($J171="NA","NA",IF(AND($J171&gt;1969,AB171&gt;0),"ERRO","OK"))</f>
        <v>OK</v>
      </c>
      <c r="AD171" s="6" t="n">
        <f aca="false">(10-(LEN(AE171)))+1</f>
        <v>6</v>
      </c>
      <c r="AE171" s="6" t="n">
        <v>33476</v>
      </c>
      <c r="AF171" s="6" t="str">
        <f aca="false">IF($J171="NA","NA",IF(AND($J171&gt;1959,AE171&gt;0),"ERRO","OK"))</f>
        <v>OK</v>
      </c>
      <c r="AG171" s="6" t="n">
        <f aca="false">(10-(LEN(AH171)))+1</f>
        <v>6</v>
      </c>
      <c r="AH171" s="6" t="n">
        <v>33940</v>
      </c>
      <c r="AI171" s="6" t="str">
        <f aca="false">IF($J171="NA","NA",IF(AND($J171&gt;1949,AH171&gt;0),"ERRO","OK"))</f>
        <v>OK</v>
      </c>
      <c r="AJ171" s="6" t="n">
        <f aca="false">(10-(LEN(AK171)))+1</f>
        <v>6</v>
      </c>
      <c r="AK171" s="6" t="n">
        <v>10552</v>
      </c>
      <c r="AL171" s="6" t="str">
        <f aca="false">IF($J171="NA","NA",IF(AND($J171&gt;1939,AK171&gt;0),"ERRO","OK"))</f>
        <v>OK</v>
      </c>
      <c r="AM171" s="6" t="n">
        <f aca="false">(10-(LEN(AN171)))+1</f>
        <v>8</v>
      </c>
      <c r="AN171" s="6" t="n">
        <v>321</v>
      </c>
      <c r="AO171" s="6" t="str">
        <f aca="false">IF($J171="NA","NA",IF(AND($J171&gt;1929,AN171&gt;0),"ERRO","OK"))</f>
        <v>OK</v>
      </c>
      <c r="AP171" s="6" t="n">
        <f aca="false">(10-(LEN(AQ171)))+1</f>
        <v>10</v>
      </c>
      <c r="AQ171" s="6" t="n">
        <v>0</v>
      </c>
      <c r="AR171" s="6" t="str">
        <f aca="false">IF($J171="NA","NA",IF(AND($J171&gt;1919,AQ171&gt;0),"ERRO","OK"))</f>
        <v>OK</v>
      </c>
      <c r="AS171" s="6" t="n">
        <f aca="false">(10-(LEN(AT171)))+1</f>
        <v>10</v>
      </c>
      <c r="AT171" s="6" t="n">
        <v>0</v>
      </c>
      <c r="AU171" s="6" t="str">
        <f aca="false">IF($J171="NA","NA",IF(AND($J171&gt;1909,AT171&gt;0),"ERRO","OK"))</f>
        <v>OK</v>
      </c>
      <c r="AV171" s="6" t="n">
        <f aca="false">(10-(LEN(AW171)))+1</f>
        <v>10</v>
      </c>
      <c r="AW171" s="6" t="n">
        <v>0</v>
      </c>
      <c r="AX171" s="6" t="str">
        <f aca="false">IF($J171="NA","NA",IF(AND($J171&gt;1899,AW171&gt;0),"ERRO","OK"))</f>
        <v>OK</v>
      </c>
    </row>
    <row r="172" customFormat="false" ht="15" hidden="false" customHeight="false" outlineLevel="0" collapsed="false">
      <c r="A172" s="7" t="n">
        <v>170</v>
      </c>
      <c r="B172" s="0" t="s">
        <v>189</v>
      </c>
      <c r="C172" s="8" t="n">
        <v>45312</v>
      </c>
      <c r="D172" s="6" t="n">
        <v>0</v>
      </c>
      <c r="E172" s="0" t="s">
        <v>16</v>
      </c>
      <c r="F172" s="0" t="s">
        <v>17</v>
      </c>
      <c r="G172" s="9" t="str">
        <f aca="false">IF(OR(N172="ERRO",Q172="ERRO",T172="ERRO",W172="ERRO",Z172="ERRO",AC172="ERRO",AF172="ERRO",AI172="ERRO",AL172="ERRO",AO172="ERRO",AR172="ERRO",AU172="ERRO",AX172="ERRO"),"ERRO","OK")</f>
        <v>OK</v>
      </c>
      <c r="H172" s="9" t="n">
        <f aca="false">COUNTIF(L172:AX172,"ERRO")</f>
        <v>0</v>
      </c>
      <c r="I172" s="9" t="s">
        <v>18</v>
      </c>
      <c r="J172" s="10" t="n">
        <v>1907</v>
      </c>
      <c r="K172" s="10" t="n">
        <v>1988</v>
      </c>
      <c r="L172" s="6" t="n">
        <f aca="false">(10-(LEN(M172)))+1</f>
        <v>7</v>
      </c>
      <c r="M172" s="6" t="n">
        <v>2082</v>
      </c>
      <c r="N172" s="6" t="str">
        <f aca="false">IF($J172="NA","NA",IF(AND($J172&gt;2019,M172&gt;0),"ERRO","OK"))</f>
        <v>OK</v>
      </c>
      <c r="O172" s="6" t="n">
        <f aca="false">(10-(LEN(P172)))+1</f>
        <v>7</v>
      </c>
      <c r="P172" s="6" t="n">
        <v>2607</v>
      </c>
      <c r="Q172" s="6" t="str">
        <f aca="false">IF($J172="NA","NA",IF(AND($J172&gt;2009,P172&gt;0),"ERRO","OK"))</f>
        <v>OK</v>
      </c>
      <c r="R172" s="6" t="n">
        <f aca="false">(10-(LEN(S172)))+1</f>
        <v>7</v>
      </c>
      <c r="S172" s="6" t="n">
        <v>1849</v>
      </c>
      <c r="T172" s="6" t="str">
        <f aca="false">IF($J172="NA","NA",IF(AND($J172&gt;1999,S172&gt;0),"ERRO","OK"))</f>
        <v>OK</v>
      </c>
      <c r="U172" s="6" t="n">
        <f aca="false">(10-(LEN(V172)))+1</f>
        <v>7</v>
      </c>
      <c r="V172" s="6" t="n">
        <v>4415</v>
      </c>
      <c r="W172" s="6" t="str">
        <f aca="false">IF($J172="NA","NA",IF(AND($J172&gt;1989,V172&gt;0),"ERRO","OK"))</f>
        <v>OK</v>
      </c>
      <c r="X172" s="6" t="n">
        <f aca="false">(10-(LEN(Y172)))+1</f>
        <v>7</v>
      </c>
      <c r="Y172" s="6" t="n">
        <v>4013</v>
      </c>
      <c r="Z172" s="6" t="str">
        <f aca="false">IF($J172="NA","NA",IF(AND($J172&gt;1979,Y172&gt;0),"ERRO","OK"))</f>
        <v>OK</v>
      </c>
      <c r="AA172" s="6" t="n">
        <f aca="false">(10-(LEN(AB172)))+1</f>
        <v>7</v>
      </c>
      <c r="AB172" s="6" t="n">
        <v>7618</v>
      </c>
      <c r="AC172" s="6" t="str">
        <f aca="false">IF($J172="NA","NA",IF(AND($J172&gt;1969,AB172&gt;0),"ERRO","OK"))</f>
        <v>OK</v>
      </c>
      <c r="AD172" s="6" t="n">
        <f aca="false">(10-(LEN(AE172)))+1</f>
        <v>7</v>
      </c>
      <c r="AE172" s="6" t="n">
        <v>2871</v>
      </c>
      <c r="AF172" s="6" t="str">
        <f aca="false">IF($J172="NA","NA",IF(AND($J172&gt;1959,AE172&gt;0),"ERRO","OK"))</f>
        <v>OK</v>
      </c>
      <c r="AG172" s="6" t="n">
        <f aca="false">(10-(LEN(AH172)))+1</f>
        <v>7</v>
      </c>
      <c r="AH172" s="6" t="n">
        <v>2093</v>
      </c>
      <c r="AI172" s="6" t="str">
        <f aca="false">IF($J172="NA","NA",IF(AND($J172&gt;1949,AH172&gt;0),"ERRO","OK"))</f>
        <v>OK</v>
      </c>
      <c r="AJ172" s="6" t="n">
        <f aca="false">(10-(LEN(AK172)))+1</f>
        <v>7</v>
      </c>
      <c r="AK172" s="6" t="n">
        <v>6684</v>
      </c>
      <c r="AL172" s="6" t="str">
        <f aca="false">IF($J172="NA","NA",IF(AND($J172&gt;1939,AK172&gt;0),"ERRO","OK"))</f>
        <v>OK</v>
      </c>
      <c r="AM172" s="6" t="n">
        <f aca="false">(10-(LEN(AN172)))+1</f>
        <v>10</v>
      </c>
      <c r="AN172" s="6" t="n">
        <v>0</v>
      </c>
      <c r="AO172" s="6" t="str">
        <f aca="false">IF($J172="NA","NA",IF(AND($J172&gt;1929,AN172&gt;0),"ERRO","OK"))</f>
        <v>OK</v>
      </c>
      <c r="AP172" s="6" t="n">
        <f aca="false">(10-(LEN(AQ172)))+1</f>
        <v>10</v>
      </c>
      <c r="AQ172" s="6" t="n">
        <v>0</v>
      </c>
      <c r="AR172" s="6" t="str">
        <f aca="false">IF($J172="NA","NA",IF(AND($J172&gt;1919,AQ172&gt;0),"ERRO","OK"))</f>
        <v>OK</v>
      </c>
      <c r="AS172" s="6" t="n">
        <f aca="false">(10-(LEN(AT172)))+1</f>
        <v>10</v>
      </c>
      <c r="AT172" s="6" t="n">
        <v>0</v>
      </c>
      <c r="AU172" s="6" t="str">
        <f aca="false">IF($J172="NA","NA",IF(AND($J172&gt;1909,AT172&gt;0),"ERRO","OK"))</f>
        <v>OK</v>
      </c>
      <c r="AV172" s="6" t="n">
        <f aca="false">(10-(LEN(AW172)))+1</f>
        <v>10</v>
      </c>
      <c r="AW172" s="6" t="n">
        <v>0</v>
      </c>
      <c r="AX172" s="6" t="str">
        <f aca="false">IF($J172="NA","NA",IF(AND($J172&gt;1899,AW172&gt;0),"ERRO","OK"))</f>
        <v>OK</v>
      </c>
    </row>
    <row r="173" customFormat="false" ht="15" hidden="false" customHeight="false" outlineLevel="0" collapsed="false">
      <c r="A173" s="7" t="n">
        <v>171</v>
      </c>
      <c r="B173" s="0" t="s">
        <v>190</v>
      </c>
      <c r="C173" s="8" t="n">
        <v>45312</v>
      </c>
      <c r="D173" s="6" t="n">
        <v>0</v>
      </c>
      <c r="E173" s="0" t="s">
        <v>16</v>
      </c>
      <c r="F173" s="0" t="s">
        <v>17</v>
      </c>
      <c r="G173" s="9" t="str">
        <f aca="false">IF(OR(N173="ERRO",Q173="ERRO",T173="ERRO",W173="ERRO",Z173="ERRO",AC173="ERRO",AF173="ERRO",AI173="ERRO",AL173="ERRO",AO173="ERRO",AR173="ERRO",AU173="ERRO",AX173="ERRO"),"ERRO","OK")</f>
        <v>OK</v>
      </c>
      <c r="H173" s="9" t="n">
        <f aca="false">COUNTIF(L173:AX173,"ERRO")</f>
        <v>0</v>
      </c>
      <c r="I173" s="9" t="s">
        <v>18</v>
      </c>
      <c r="J173" s="10" t="n">
        <v>1906</v>
      </c>
      <c r="K173" s="10" t="n">
        <v>2000</v>
      </c>
      <c r="L173" s="6" t="n">
        <f aca="false">(10-(LEN(M173)))+1</f>
        <v>8</v>
      </c>
      <c r="M173" s="6" t="n">
        <v>791</v>
      </c>
      <c r="N173" s="6" t="str">
        <f aca="false">IF($J173="NA","NA",IF(AND($J173&gt;2019,M173&gt;0),"ERRO","OK"))</f>
        <v>OK</v>
      </c>
      <c r="O173" s="6" t="n">
        <f aca="false">(10-(LEN(P173)))+1</f>
        <v>8</v>
      </c>
      <c r="P173" s="6" t="n">
        <v>206</v>
      </c>
      <c r="Q173" s="6" t="str">
        <f aca="false">IF($J173="NA","NA",IF(AND($J173&gt;2009,P173&gt;0),"ERRO","OK"))</f>
        <v>OK</v>
      </c>
      <c r="R173" s="6" t="n">
        <f aca="false">(10-(LEN(S173)))+1</f>
        <v>8</v>
      </c>
      <c r="S173" s="6" t="n">
        <v>336</v>
      </c>
      <c r="T173" s="6" t="str">
        <f aca="false">IF($J173="NA","NA",IF(AND($J173&gt;1999,S173&gt;0),"ERRO","OK"))</f>
        <v>OK</v>
      </c>
      <c r="U173" s="6" t="n">
        <f aca="false">(10-(LEN(V173)))+1</f>
        <v>9</v>
      </c>
      <c r="V173" s="6" t="n">
        <v>46</v>
      </c>
      <c r="W173" s="6" t="str">
        <f aca="false">IF($J173="NA","NA",IF(AND($J173&gt;1989,V173&gt;0),"ERRO","OK"))</f>
        <v>OK</v>
      </c>
      <c r="X173" s="6" t="n">
        <f aca="false">(10-(LEN(Y173)))+1</f>
        <v>10</v>
      </c>
      <c r="Y173" s="6" t="n">
        <v>0</v>
      </c>
      <c r="Z173" s="6" t="str">
        <f aca="false">IF($J173="NA","NA",IF(AND($J173&gt;1979,Y173&gt;0),"ERRO","OK"))</f>
        <v>OK</v>
      </c>
      <c r="AA173" s="6" t="n">
        <f aca="false">(10-(LEN(AB173)))+1</f>
        <v>9</v>
      </c>
      <c r="AB173" s="6" t="n">
        <v>59</v>
      </c>
      <c r="AC173" s="6" t="str">
        <f aca="false">IF($J173="NA","NA",IF(AND($J173&gt;1969,AB173&gt;0),"ERRO","OK"))</f>
        <v>OK</v>
      </c>
      <c r="AD173" s="6" t="n">
        <f aca="false">(10-(LEN(AE173)))+1</f>
        <v>10</v>
      </c>
      <c r="AE173" s="6" t="n">
        <v>0</v>
      </c>
      <c r="AF173" s="6" t="str">
        <f aca="false">IF($J173="NA","NA",IF(AND($J173&gt;1959,AE173&gt;0),"ERRO","OK"))</f>
        <v>OK</v>
      </c>
      <c r="AG173" s="6" t="n">
        <f aca="false">(10-(LEN(AH173)))+1</f>
        <v>10</v>
      </c>
      <c r="AH173" s="6" t="n">
        <v>0</v>
      </c>
      <c r="AI173" s="6" t="str">
        <f aca="false">IF($J173="NA","NA",IF(AND($J173&gt;1949,AH173&gt;0),"ERRO","OK"))</f>
        <v>OK</v>
      </c>
      <c r="AJ173" s="6" t="n">
        <f aca="false">(10-(LEN(AK173)))+1</f>
        <v>10</v>
      </c>
      <c r="AK173" s="6" t="n">
        <v>0</v>
      </c>
      <c r="AL173" s="6" t="str">
        <f aca="false">IF($J173="NA","NA",IF(AND($J173&gt;1939,AK173&gt;0),"ERRO","OK"))</f>
        <v>OK</v>
      </c>
      <c r="AM173" s="6" t="n">
        <f aca="false">(10-(LEN(AN173)))+1</f>
        <v>10</v>
      </c>
      <c r="AN173" s="6" t="n">
        <v>0</v>
      </c>
      <c r="AO173" s="6" t="str">
        <f aca="false">IF($J173="NA","NA",IF(AND($J173&gt;1929,AN173&gt;0),"ERRO","OK"))</f>
        <v>OK</v>
      </c>
      <c r="AP173" s="6" t="n">
        <f aca="false">(10-(LEN(AQ173)))+1</f>
        <v>10</v>
      </c>
      <c r="AQ173" s="6" t="n">
        <v>0</v>
      </c>
      <c r="AR173" s="6" t="str">
        <f aca="false">IF($J173="NA","NA",IF(AND($J173&gt;1919,AQ173&gt;0),"ERRO","OK"))</f>
        <v>OK</v>
      </c>
      <c r="AS173" s="6" t="n">
        <f aca="false">(10-(LEN(AT173)))+1</f>
        <v>10</v>
      </c>
      <c r="AT173" s="6" t="n">
        <v>0</v>
      </c>
      <c r="AU173" s="6" t="str">
        <f aca="false">IF($J173="NA","NA",IF(AND($J173&gt;1909,AT173&gt;0),"ERRO","OK"))</f>
        <v>OK</v>
      </c>
      <c r="AV173" s="6" t="n">
        <f aca="false">(10-(LEN(AW173)))+1</f>
        <v>10</v>
      </c>
      <c r="AW173" s="6" t="n">
        <v>0</v>
      </c>
      <c r="AX173" s="6" t="str">
        <f aca="false">IF($J173="NA","NA",IF(AND($J173&gt;1899,AW173&gt;0),"ERRO","OK"))</f>
        <v>OK</v>
      </c>
    </row>
    <row r="174" customFormat="false" ht="15" hidden="false" customHeight="false" outlineLevel="0" collapsed="false">
      <c r="A174" s="7" t="n">
        <v>172</v>
      </c>
      <c r="B174" s="0" t="s">
        <v>191</v>
      </c>
      <c r="C174" s="8" t="n">
        <v>45312</v>
      </c>
      <c r="D174" s="6" t="n">
        <v>0</v>
      </c>
      <c r="E174" s="0" t="s">
        <v>16</v>
      </c>
      <c r="F174" s="0" t="s">
        <v>17</v>
      </c>
      <c r="G174" s="9" t="str">
        <f aca="false">IF(OR(N174="ERRO",Q174="ERRO",T174="ERRO",W174="ERRO",Z174="ERRO",AC174="ERRO",AF174="ERRO",AI174="ERRO",AL174="ERRO",AO174="ERRO",AR174="ERRO",AU174="ERRO",AX174="ERRO"),"ERRO","OK")</f>
        <v>OK</v>
      </c>
      <c r="H174" s="9" t="n">
        <f aca="false">COUNTIF(L174:AX174,"ERRO")</f>
        <v>0</v>
      </c>
      <c r="I174" s="9" t="s">
        <v>18</v>
      </c>
      <c r="J174" s="10" t="s">
        <v>22</v>
      </c>
      <c r="K174" s="10" t="s">
        <v>22</v>
      </c>
      <c r="L174" s="6" t="n">
        <f aca="false">(10-(LEN(M174)))+1</f>
        <v>8</v>
      </c>
      <c r="M174" s="6" t="n">
        <v>167</v>
      </c>
      <c r="N174" s="6" t="str">
        <f aca="false">IF($J174="NA","NA",IF(AND($J174&gt;2019,M174&gt;0),"ERRO","OK"))</f>
        <v>NA</v>
      </c>
      <c r="O174" s="6" t="n">
        <f aca="false">(10-(LEN(P174)))+1</f>
        <v>9</v>
      </c>
      <c r="P174" s="6" t="n">
        <v>34</v>
      </c>
      <c r="Q174" s="6" t="str">
        <f aca="false">IF($J174="NA","NA",IF(AND($J174&gt;2009,P174&gt;0),"ERRO","OK"))</f>
        <v>NA</v>
      </c>
      <c r="R174" s="6" t="n">
        <f aca="false">(10-(LEN(S174)))+1</f>
        <v>10</v>
      </c>
      <c r="S174" s="6" t="n">
        <v>0</v>
      </c>
      <c r="T174" s="6" t="str">
        <f aca="false">IF($J174="NA","NA",IF(AND($J174&gt;1999,S174&gt;0),"ERRO","OK"))</f>
        <v>NA</v>
      </c>
      <c r="U174" s="6" t="n">
        <f aca="false">(10-(LEN(V174)))+1</f>
        <v>10</v>
      </c>
      <c r="V174" s="6" t="n">
        <v>0</v>
      </c>
      <c r="W174" s="6" t="str">
        <f aca="false">IF($J174="NA","NA",IF(AND($J174&gt;1989,V174&gt;0),"ERRO","OK"))</f>
        <v>NA</v>
      </c>
      <c r="X174" s="6" t="n">
        <f aca="false">(10-(LEN(Y174)))+1</f>
        <v>9</v>
      </c>
      <c r="Y174" s="6" t="n">
        <v>54</v>
      </c>
      <c r="Z174" s="6" t="str">
        <f aca="false">IF($J174="NA","NA",IF(AND($J174&gt;1979,Y174&gt;0),"ERRO","OK"))</f>
        <v>NA</v>
      </c>
      <c r="AA174" s="6" t="n">
        <f aca="false">(10-(LEN(AB174)))+1</f>
        <v>9</v>
      </c>
      <c r="AB174" s="6" t="n">
        <v>59</v>
      </c>
      <c r="AC174" s="6" t="str">
        <f aca="false">IF($J174="NA","NA",IF(AND($J174&gt;1969,AB174&gt;0),"ERRO","OK"))</f>
        <v>NA</v>
      </c>
      <c r="AD174" s="6" t="n">
        <f aca="false">(10-(LEN(AE174)))+1</f>
        <v>8</v>
      </c>
      <c r="AE174" s="6" t="n">
        <v>269</v>
      </c>
      <c r="AF174" s="6" t="str">
        <f aca="false">IF($J174="NA","NA",IF(AND($J174&gt;1959,AE174&gt;0),"ERRO","OK"))</f>
        <v>NA</v>
      </c>
      <c r="AG174" s="6" t="n">
        <f aca="false">(10-(LEN(AH174)))+1</f>
        <v>8</v>
      </c>
      <c r="AH174" s="6" t="n">
        <v>991</v>
      </c>
      <c r="AI174" s="6" t="str">
        <f aca="false">IF($J174="NA","NA",IF(AND($J174&gt;1949,AH174&gt;0),"ERRO","OK"))</f>
        <v>NA</v>
      </c>
      <c r="AJ174" s="6" t="n">
        <f aca="false">(10-(LEN(AK174)))+1</f>
        <v>10</v>
      </c>
      <c r="AK174" s="6" t="n">
        <v>0</v>
      </c>
      <c r="AL174" s="6" t="str">
        <f aca="false">IF($J174="NA","NA",IF(AND($J174&gt;1939,AK174&gt;0),"ERRO","OK"))</f>
        <v>NA</v>
      </c>
      <c r="AM174" s="6" t="n">
        <f aca="false">(10-(LEN(AN174)))+1</f>
        <v>10</v>
      </c>
      <c r="AN174" s="6" t="n">
        <v>0</v>
      </c>
      <c r="AO174" s="6" t="str">
        <f aca="false">IF($J174="NA","NA",IF(AND($J174&gt;1929,AN174&gt;0),"ERRO","OK"))</f>
        <v>NA</v>
      </c>
      <c r="AP174" s="6" t="n">
        <f aca="false">(10-(LEN(AQ174)))+1</f>
        <v>10</v>
      </c>
      <c r="AQ174" s="6" t="n">
        <v>0</v>
      </c>
      <c r="AR174" s="6" t="str">
        <f aca="false">IF($J174="NA","NA",IF(AND($J174&gt;1919,AQ174&gt;0),"ERRO","OK"))</f>
        <v>NA</v>
      </c>
      <c r="AS174" s="6" t="n">
        <f aca="false">(10-(LEN(AT174)))+1</f>
        <v>10</v>
      </c>
      <c r="AT174" s="6" t="n">
        <v>0</v>
      </c>
      <c r="AU174" s="6" t="str">
        <f aca="false">IF($J174="NA","NA",IF(AND($J174&gt;1909,AT174&gt;0),"ERRO","OK"))</f>
        <v>NA</v>
      </c>
      <c r="AV174" s="6" t="n">
        <f aca="false">(10-(LEN(AW174)))+1</f>
        <v>10</v>
      </c>
      <c r="AW174" s="6" t="n">
        <v>0</v>
      </c>
      <c r="AX174" s="6" t="str">
        <f aca="false">IF($J174="NA","NA",IF(AND($J174&gt;1899,AW174&gt;0),"ERRO","OK"))</f>
        <v>NA</v>
      </c>
    </row>
    <row r="175" customFormat="false" ht="15" hidden="false" customHeight="false" outlineLevel="0" collapsed="false">
      <c r="A175" s="7" t="n">
        <v>173</v>
      </c>
      <c r="B175" s="0" t="s">
        <v>192</v>
      </c>
      <c r="C175" s="8" t="n">
        <v>45312</v>
      </c>
      <c r="D175" s="6" t="n">
        <v>0</v>
      </c>
      <c r="E175" s="0" t="s">
        <v>16</v>
      </c>
      <c r="F175" s="0" t="s">
        <v>17</v>
      </c>
      <c r="G175" s="9" t="str">
        <f aca="false">IF(OR(N175="ERRO",Q175="ERRO",T175="ERRO",W175="ERRO",Z175="ERRO",AC175="ERRO",AF175="ERRO",AI175="ERRO",AL175="ERRO",AO175="ERRO",AR175="ERRO",AU175="ERRO",AX175="ERRO"),"ERRO","OK")</f>
        <v>OK</v>
      </c>
      <c r="H175" s="9" t="n">
        <f aca="false">COUNTIF(L175:AX175,"ERRO")</f>
        <v>0</v>
      </c>
      <c r="I175" s="9" t="s">
        <v>18</v>
      </c>
      <c r="J175" s="10" t="n">
        <v>1900</v>
      </c>
      <c r="K175" s="10" t="n">
        <v>1986</v>
      </c>
      <c r="L175" s="6" t="n">
        <f aca="false">(10-(LEN(M175)))+1</f>
        <v>7</v>
      </c>
      <c r="M175" s="6" t="n">
        <v>4775</v>
      </c>
      <c r="N175" s="6" t="str">
        <f aca="false">IF($J175="NA","NA",IF(AND($J175&gt;2019,M175&gt;0),"ERRO","OK"))</f>
        <v>OK</v>
      </c>
      <c r="O175" s="6" t="n">
        <f aca="false">(10-(LEN(P175)))+1</f>
        <v>7</v>
      </c>
      <c r="P175" s="6" t="n">
        <v>8862</v>
      </c>
      <c r="Q175" s="6" t="str">
        <f aca="false">IF($J175="NA","NA",IF(AND($J175&gt;2009,P175&gt;0),"ERRO","OK"))</f>
        <v>OK</v>
      </c>
      <c r="R175" s="6" t="n">
        <f aca="false">(10-(LEN(S175)))+1</f>
        <v>7</v>
      </c>
      <c r="S175" s="6" t="n">
        <v>7632</v>
      </c>
      <c r="T175" s="6" t="str">
        <f aca="false">IF($J175="NA","NA",IF(AND($J175&gt;1999,S175&gt;0),"ERRO","OK"))</f>
        <v>OK</v>
      </c>
      <c r="U175" s="6" t="n">
        <f aca="false">(10-(LEN(V175)))+1</f>
        <v>6</v>
      </c>
      <c r="V175" s="6" t="n">
        <v>14073</v>
      </c>
      <c r="W175" s="6" t="str">
        <f aca="false">IF($J175="NA","NA",IF(AND($J175&gt;1989,V175&gt;0),"ERRO","OK"))</f>
        <v>OK</v>
      </c>
      <c r="X175" s="6" t="n">
        <f aca="false">(10-(LEN(Y175)))+1</f>
        <v>6</v>
      </c>
      <c r="Y175" s="6" t="n">
        <v>11701</v>
      </c>
      <c r="Z175" s="6" t="str">
        <f aca="false">IF($J175="NA","NA",IF(AND($J175&gt;1979,Y175&gt;0),"ERRO","OK"))</f>
        <v>OK</v>
      </c>
      <c r="AA175" s="6" t="n">
        <f aca="false">(10-(LEN(AB175)))+1</f>
        <v>6</v>
      </c>
      <c r="AB175" s="6" t="n">
        <v>13849</v>
      </c>
      <c r="AC175" s="6" t="str">
        <f aca="false">IF($J175="NA","NA",IF(AND($J175&gt;1969,AB175&gt;0),"ERRO","OK"))</f>
        <v>OK</v>
      </c>
      <c r="AD175" s="6" t="n">
        <f aca="false">(10-(LEN(AE175)))+1</f>
        <v>6</v>
      </c>
      <c r="AE175" s="6" t="n">
        <v>27717</v>
      </c>
      <c r="AF175" s="6" t="str">
        <f aca="false">IF($J175="NA","NA",IF(AND($J175&gt;1959,AE175&gt;0),"ERRO","OK"))</f>
        <v>OK</v>
      </c>
      <c r="AG175" s="6" t="n">
        <f aca="false">(10-(LEN(AH175)))+1</f>
        <v>6</v>
      </c>
      <c r="AH175" s="6" t="n">
        <v>20503</v>
      </c>
      <c r="AI175" s="6" t="str">
        <f aca="false">IF($J175="NA","NA",IF(AND($J175&gt;1949,AH175&gt;0),"ERRO","OK"))</f>
        <v>OK</v>
      </c>
      <c r="AJ175" s="6" t="n">
        <f aca="false">(10-(LEN(AK175)))+1</f>
        <v>6</v>
      </c>
      <c r="AK175" s="6" t="n">
        <v>13630</v>
      </c>
      <c r="AL175" s="6" t="str">
        <f aca="false">IF($J175="NA","NA",IF(AND($J175&gt;1939,AK175&gt;0),"ERRO","OK"))</f>
        <v>OK</v>
      </c>
      <c r="AM175" s="6" t="n">
        <f aca="false">(10-(LEN(AN175)))+1</f>
        <v>8</v>
      </c>
      <c r="AN175" s="6" t="n">
        <v>160</v>
      </c>
      <c r="AO175" s="6" t="str">
        <f aca="false">IF($J175="NA","NA",IF(AND($J175&gt;1929,AN175&gt;0),"ERRO","OK"))</f>
        <v>OK</v>
      </c>
      <c r="AP175" s="6" t="n">
        <f aca="false">(10-(LEN(AQ175)))+1</f>
        <v>8</v>
      </c>
      <c r="AQ175" s="6" t="n">
        <v>105</v>
      </c>
      <c r="AR175" s="6" t="str">
        <f aca="false">IF($J175="NA","NA",IF(AND($J175&gt;1919,AQ175&gt;0),"ERRO","OK"))</f>
        <v>OK</v>
      </c>
      <c r="AS175" s="6" t="n">
        <f aca="false">(10-(LEN(AT175)))+1</f>
        <v>10</v>
      </c>
      <c r="AT175" s="6" t="n">
        <v>0</v>
      </c>
      <c r="AU175" s="6" t="str">
        <f aca="false">IF($J175="NA","NA",IF(AND($J175&gt;1909,AT175&gt;0),"ERRO","OK"))</f>
        <v>OK</v>
      </c>
      <c r="AV175" s="6" t="n">
        <f aca="false">(10-(LEN(AW175)))+1</f>
        <v>10</v>
      </c>
      <c r="AW175" s="6" t="n">
        <v>0</v>
      </c>
      <c r="AX175" s="6" t="str">
        <f aca="false">IF($J175="NA","NA",IF(AND($J175&gt;1899,AW175&gt;0),"ERRO","OK"))</f>
        <v>OK</v>
      </c>
    </row>
    <row r="176" customFormat="false" ht="15" hidden="false" customHeight="false" outlineLevel="0" collapsed="false">
      <c r="A176" s="7" t="n">
        <v>174</v>
      </c>
      <c r="B176" s="0" t="s">
        <v>193</v>
      </c>
      <c r="C176" s="8" t="n">
        <v>45312</v>
      </c>
      <c r="D176" s="6" t="n">
        <v>0</v>
      </c>
      <c r="E176" s="0" t="s">
        <v>16</v>
      </c>
      <c r="F176" s="0" t="s">
        <v>17</v>
      </c>
      <c r="G176" s="9" t="str">
        <f aca="false">IF(OR(N176="ERRO",Q176="ERRO",T176="ERRO",W176="ERRO",Z176="ERRO",AC176="ERRO",AF176="ERRO",AI176="ERRO",AL176="ERRO",AO176="ERRO",AR176="ERRO",AU176="ERRO",AX176="ERRO"),"ERRO","OK")</f>
        <v>OK</v>
      </c>
      <c r="H176" s="9" t="n">
        <f aca="false">COUNTIF(L176:AX176,"ERRO")</f>
        <v>0</v>
      </c>
      <c r="I176" s="9" t="s">
        <v>18</v>
      </c>
      <c r="J176" s="10" t="n">
        <v>1902</v>
      </c>
      <c r="K176" s="10" t="n">
        <v>1992</v>
      </c>
      <c r="L176" s="6" t="n">
        <f aca="false">(10-(LEN(M176)))+1</f>
        <v>7</v>
      </c>
      <c r="M176" s="6" t="n">
        <v>6455</v>
      </c>
      <c r="N176" s="6" t="str">
        <f aca="false">IF($J176="NA","NA",IF(AND($J176&gt;2019,M176&gt;0),"ERRO","OK"))</f>
        <v>OK</v>
      </c>
      <c r="O176" s="6" t="n">
        <f aca="false">(10-(LEN(P176)))+1</f>
        <v>6</v>
      </c>
      <c r="P176" s="6" t="n">
        <v>17426</v>
      </c>
      <c r="Q176" s="6" t="str">
        <f aca="false">IF($J176="NA","NA",IF(AND($J176&gt;2009,P176&gt;0),"ERRO","OK"))</f>
        <v>OK</v>
      </c>
      <c r="R176" s="6" t="n">
        <f aca="false">(10-(LEN(S176)))+1</f>
        <v>6</v>
      </c>
      <c r="S176" s="6" t="n">
        <v>13739</v>
      </c>
      <c r="T176" s="6" t="str">
        <f aca="false">IF($J176="NA","NA",IF(AND($J176&gt;1999,S176&gt;0),"ERRO","OK"))</f>
        <v>OK</v>
      </c>
      <c r="U176" s="6" t="n">
        <f aca="false">(10-(LEN(V176)))+1</f>
        <v>6</v>
      </c>
      <c r="V176" s="6" t="n">
        <v>31964</v>
      </c>
      <c r="W176" s="6" t="str">
        <f aca="false">IF($J176="NA","NA",IF(AND($J176&gt;1989,V176&gt;0),"ERRO","OK"))</f>
        <v>OK</v>
      </c>
      <c r="X176" s="6" t="n">
        <f aca="false">(10-(LEN(Y176)))+1</f>
        <v>6</v>
      </c>
      <c r="Y176" s="6" t="n">
        <v>15143</v>
      </c>
      <c r="Z176" s="6" t="str">
        <f aca="false">IF($J176="NA","NA",IF(AND($J176&gt;1979,Y176&gt;0),"ERRO","OK"))</f>
        <v>OK</v>
      </c>
      <c r="AA176" s="6" t="n">
        <f aca="false">(10-(LEN(AB176)))+1</f>
        <v>6</v>
      </c>
      <c r="AB176" s="6" t="n">
        <v>27131</v>
      </c>
      <c r="AC176" s="6" t="str">
        <f aca="false">IF($J176="NA","NA",IF(AND($J176&gt;1969,AB176&gt;0),"ERRO","OK"))</f>
        <v>OK</v>
      </c>
      <c r="AD176" s="6" t="n">
        <f aca="false">(10-(LEN(AE176)))+1</f>
        <v>6</v>
      </c>
      <c r="AE176" s="6" t="n">
        <v>23592</v>
      </c>
      <c r="AF176" s="6" t="str">
        <f aca="false">IF($J176="NA","NA",IF(AND($J176&gt;1959,AE176&gt;0),"ERRO","OK"))</f>
        <v>OK</v>
      </c>
      <c r="AG176" s="6" t="n">
        <f aca="false">(10-(LEN(AH176)))+1</f>
        <v>6</v>
      </c>
      <c r="AH176" s="6" t="n">
        <v>32821</v>
      </c>
      <c r="AI176" s="6" t="str">
        <f aca="false">IF($J176="NA","NA",IF(AND($J176&gt;1949,AH176&gt;0),"ERRO","OK"))</f>
        <v>OK</v>
      </c>
      <c r="AJ176" s="6" t="n">
        <f aca="false">(10-(LEN(AK176)))+1</f>
        <v>6</v>
      </c>
      <c r="AK176" s="6" t="n">
        <v>45677</v>
      </c>
      <c r="AL176" s="6" t="str">
        <f aca="false">IF($J176="NA","NA",IF(AND($J176&gt;1939,AK176&gt;0),"ERRO","OK"))</f>
        <v>OK</v>
      </c>
      <c r="AM176" s="6" t="n">
        <f aca="false">(10-(LEN(AN176)))+1</f>
        <v>6</v>
      </c>
      <c r="AN176" s="6" t="n">
        <v>17213</v>
      </c>
      <c r="AO176" s="6" t="str">
        <f aca="false">IF($J176="NA","NA",IF(AND($J176&gt;1929,AN176&gt;0),"ERRO","OK"))</f>
        <v>OK</v>
      </c>
      <c r="AP176" s="6" t="n">
        <f aca="false">(10-(LEN(AQ176)))+1</f>
        <v>7</v>
      </c>
      <c r="AQ176" s="6" t="n">
        <v>1001</v>
      </c>
      <c r="AR176" s="6" t="str">
        <f aca="false">IF($J176="NA","NA",IF(AND($J176&gt;1919,AQ176&gt;0),"ERRO","OK"))</f>
        <v>OK</v>
      </c>
      <c r="AS176" s="6" t="n">
        <f aca="false">(10-(LEN(AT176)))+1</f>
        <v>8</v>
      </c>
      <c r="AT176" s="6" t="n">
        <v>103</v>
      </c>
      <c r="AU176" s="6" t="str">
        <f aca="false">IF($J176="NA","NA",IF(AND($J176&gt;1909,AT176&gt;0),"ERRO","OK"))</f>
        <v>OK</v>
      </c>
      <c r="AV176" s="6" t="n">
        <f aca="false">(10-(LEN(AW176)))+1</f>
        <v>10</v>
      </c>
      <c r="AW176" s="6" t="n">
        <v>0</v>
      </c>
      <c r="AX176" s="6" t="str">
        <f aca="false">IF($J176="NA","NA",IF(AND($J176&gt;1899,AW176&gt;0),"ERRO","OK"))</f>
        <v>OK</v>
      </c>
    </row>
    <row r="177" customFormat="false" ht="15" hidden="false" customHeight="false" outlineLevel="0" collapsed="false">
      <c r="A177" s="7" t="n">
        <v>175</v>
      </c>
      <c r="B177" s="0" t="s">
        <v>194</v>
      </c>
      <c r="C177" s="8" t="n">
        <v>45312</v>
      </c>
      <c r="D177" s="6" t="n">
        <v>0</v>
      </c>
      <c r="E177" s="0" t="s">
        <v>16</v>
      </c>
      <c r="F177" s="0" t="s">
        <v>17</v>
      </c>
      <c r="G177" s="9" t="str">
        <f aca="false">IF(OR(N177="ERRO",Q177="ERRO",T177="ERRO",W177="ERRO",Z177="ERRO",AC177="ERRO",AF177="ERRO",AI177="ERRO",AL177="ERRO",AO177="ERRO",AR177="ERRO",AU177="ERRO",AX177="ERRO"),"ERRO","OK")</f>
        <v>ERRO</v>
      </c>
      <c r="H177" s="9" t="n">
        <f aca="false">COUNTIF(L177:AX177,"ERRO")</f>
        <v>1</v>
      </c>
      <c r="I177" s="9" t="s">
        <v>18</v>
      </c>
      <c r="J177" s="10" t="n">
        <v>1908</v>
      </c>
      <c r="K177" s="10" t="n">
        <v>1961</v>
      </c>
      <c r="L177" s="6" t="n">
        <f aca="false">(10-(LEN(M177)))+1</f>
        <v>8</v>
      </c>
      <c r="M177" s="6" t="n">
        <v>131</v>
      </c>
      <c r="N177" s="6" t="str">
        <f aca="false">IF($J177="NA","NA",IF(AND($J177&gt;2019,M177&gt;0),"ERRO","OK"))</f>
        <v>OK</v>
      </c>
      <c r="O177" s="6" t="n">
        <f aca="false">(10-(LEN(P177)))+1</f>
        <v>8</v>
      </c>
      <c r="P177" s="6" t="n">
        <v>793</v>
      </c>
      <c r="Q177" s="6" t="str">
        <f aca="false">IF($J177="NA","NA",IF(AND($J177&gt;2009,P177&gt;0),"ERRO","OK"))</f>
        <v>OK</v>
      </c>
      <c r="R177" s="6" t="n">
        <f aca="false">(10-(LEN(S177)))+1</f>
        <v>8</v>
      </c>
      <c r="S177" s="6" t="n">
        <v>706</v>
      </c>
      <c r="T177" s="6" t="str">
        <f aca="false">IF($J177="NA","NA",IF(AND($J177&gt;1999,S177&gt;0),"ERRO","OK"))</f>
        <v>OK</v>
      </c>
      <c r="U177" s="6" t="n">
        <f aca="false">(10-(LEN(V177)))+1</f>
        <v>7</v>
      </c>
      <c r="V177" s="6" t="n">
        <v>1934</v>
      </c>
      <c r="W177" s="6" t="str">
        <f aca="false">IF($J177="NA","NA",IF(AND($J177&gt;1989,V177&gt;0),"ERRO","OK"))</f>
        <v>OK</v>
      </c>
      <c r="X177" s="6" t="n">
        <f aca="false">(10-(LEN(Y177)))+1</f>
        <v>8</v>
      </c>
      <c r="Y177" s="6" t="n">
        <v>788</v>
      </c>
      <c r="Z177" s="6" t="str">
        <f aca="false">IF($J177="NA","NA",IF(AND($J177&gt;1979,Y177&gt;0),"ERRO","OK"))</f>
        <v>OK</v>
      </c>
      <c r="AA177" s="6" t="n">
        <f aca="false">(10-(LEN(AB177)))+1</f>
        <v>7</v>
      </c>
      <c r="AB177" s="6" t="n">
        <v>2031</v>
      </c>
      <c r="AC177" s="6" t="str">
        <f aca="false">IF($J177="NA","NA",IF(AND($J177&gt;1969,AB177&gt;0),"ERRO","OK"))</f>
        <v>OK</v>
      </c>
      <c r="AD177" s="6" t="n">
        <f aca="false">(10-(LEN(AE177)))+1</f>
        <v>8</v>
      </c>
      <c r="AE177" s="6" t="n">
        <v>754</v>
      </c>
      <c r="AF177" s="6" t="str">
        <f aca="false">IF($J177="NA","NA",IF(AND($J177&gt;1959,AE177&gt;0),"ERRO","OK"))</f>
        <v>OK</v>
      </c>
      <c r="AG177" s="6" t="n">
        <f aca="false">(10-(LEN(AH177)))+1</f>
        <v>8</v>
      </c>
      <c r="AH177" s="6" t="n">
        <v>348</v>
      </c>
      <c r="AI177" s="6" t="str">
        <f aca="false">IF($J177="NA","NA",IF(AND($J177&gt;1949,AH177&gt;0),"ERRO","OK"))</f>
        <v>OK</v>
      </c>
      <c r="AJ177" s="6" t="n">
        <f aca="false">(10-(LEN(AK177)))+1</f>
        <v>7</v>
      </c>
      <c r="AK177" s="6" t="n">
        <v>1026</v>
      </c>
      <c r="AL177" s="6" t="str">
        <f aca="false">IF($J177="NA","NA",IF(AND($J177&gt;1939,AK177&gt;0),"ERRO","OK"))</f>
        <v>OK</v>
      </c>
      <c r="AM177" s="6" t="n">
        <f aca="false">(10-(LEN(AN177)))+1</f>
        <v>7</v>
      </c>
      <c r="AN177" s="6" t="n">
        <v>4332</v>
      </c>
      <c r="AO177" s="6" t="str">
        <f aca="false">IF($J177="NA","NA",IF(AND($J177&gt;1929,AN177&gt;0),"ERRO","OK"))</f>
        <v>OK</v>
      </c>
      <c r="AP177" s="6" t="n">
        <f aca="false">(10-(LEN(AQ177)))+1</f>
        <v>8</v>
      </c>
      <c r="AQ177" s="6" t="n">
        <v>527</v>
      </c>
      <c r="AR177" s="6" t="str">
        <f aca="false">IF($J177="NA","NA",IF(AND($J177&gt;1919,AQ177&gt;0),"ERRO","OK"))</f>
        <v>OK</v>
      </c>
      <c r="AS177" s="6" t="n">
        <f aca="false">(10-(LEN(AT177)))+1</f>
        <v>8</v>
      </c>
      <c r="AT177" s="6" t="n">
        <v>652</v>
      </c>
      <c r="AU177" s="6" t="str">
        <f aca="false">IF($J177="NA","NA",IF(AND($J177&gt;1909,AT177&gt;0),"ERRO","OK"))</f>
        <v>OK</v>
      </c>
      <c r="AV177" s="6" t="n">
        <f aca="false">(10-(LEN(AW177)))+1</f>
        <v>8</v>
      </c>
      <c r="AW177" s="6" t="n">
        <v>950</v>
      </c>
      <c r="AX177" s="6" t="str">
        <f aca="false">IF($J177="NA","NA",IF(AND($J177&gt;1899,AW177&gt;0),"ERRO","OK"))</f>
        <v>ERRO</v>
      </c>
    </row>
    <row r="178" customFormat="false" ht="15" hidden="false" customHeight="false" outlineLevel="0" collapsed="false">
      <c r="A178" s="7" t="n">
        <v>176</v>
      </c>
      <c r="B178" s="0" t="s">
        <v>195</v>
      </c>
      <c r="C178" s="8" t="n">
        <v>45313</v>
      </c>
      <c r="D178" s="6" t="n">
        <v>0</v>
      </c>
      <c r="E178" s="0" t="s">
        <v>16</v>
      </c>
      <c r="F178" s="0" t="s">
        <v>17</v>
      </c>
      <c r="G178" s="9" t="str">
        <f aca="false">IF(OR(N178="ERRO",Q178="ERRO",T178="ERRO",W178="ERRO",Z178="ERRO",AC178="ERRO",AF178="ERRO",AI178="ERRO",AL178="ERRO",AO178="ERRO",AR178="ERRO",AU178="ERRO",AX178="ERRO"),"ERRO","OK")</f>
        <v>OK</v>
      </c>
      <c r="H178" s="9" t="n">
        <f aca="false">COUNTIF(L178:AX178,"ERRO")</f>
        <v>0</v>
      </c>
      <c r="I178" s="9" t="s">
        <v>18</v>
      </c>
      <c r="J178" s="10" t="n">
        <v>1898</v>
      </c>
      <c r="K178" s="10" t="n">
        <v>1981</v>
      </c>
      <c r="L178" s="6" t="n">
        <f aca="false">(10-(LEN(M178)))+1</f>
        <v>6</v>
      </c>
      <c r="M178" s="6" t="n">
        <v>13576</v>
      </c>
      <c r="N178" s="6" t="str">
        <f aca="false">IF($J178="NA","NA",IF(AND($J178&gt;2019,M178&gt;0),"ERRO","OK"))</f>
        <v>OK</v>
      </c>
      <c r="O178" s="6" t="n">
        <f aca="false">(10-(LEN(P178)))+1</f>
        <v>6</v>
      </c>
      <c r="P178" s="6" t="n">
        <v>16980</v>
      </c>
      <c r="Q178" s="6" t="str">
        <f aca="false">IF($J178="NA","NA",IF(AND($J178&gt;2009,P178&gt;0),"ERRO","OK"))</f>
        <v>OK</v>
      </c>
      <c r="R178" s="6" t="n">
        <f aca="false">(10-(LEN(S178)))+1</f>
        <v>7</v>
      </c>
      <c r="S178" s="6" t="n">
        <v>5840</v>
      </c>
      <c r="T178" s="6" t="str">
        <f aca="false">IF($J178="NA","NA",IF(AND($J178&gt;1999,S178&gt;0),"ERRO","OK"))</f>
        <v>OK</v>
      </c>
      <c r="U178" s="6" t="n">
        <f aca="false">(10-(LEN(V178)))+1</f>
        <v>7</v>
      </c>
      <c r="V178" s="6" t="n">
        <v>3265</v>
      </c>
      <c r="W178" s="6" t="str">
        <f aca="false">IF($J178="NA","NA",IF(AND($J178&gt;1989,V178&gt;0),"ERRO","OK"))</f>
        <v>OK</v>
      </c>
      <c r="X178" s="6" t="n">
        <f aca="false">(10-(LEN(Y178)))+1</f>
        <v>7</v>
      </c>
      <c r="Y178" s="6" t="n">
        <v>5458</v>
      </c>
      <c r="Z178" s="6" t="str">
        <f aca="false">IF($J178="NA","NA",IF(AND($J178&gt;1979,Y178&gt;0),"ERRO","OK"))</f>
        <v>OK</v>
      </c>
      <c r="AA178" s="6" t="n">
        <f aca="false">(10-(LEN(AB178)))+1</f>
        <v>7</v>
      </c>
      <c r="AB178" s="6" t="n">
        <v>6622</v>
      </c>
      <c r="AC178" s="6" t="str">
        <f aca="false">IF($J178="NA","NA",IF(AND($J178&gt;1969,AB178&gt;0),"ERRO","OK"))</f>
        <v>OK</v>
      </c>
      <c r="AD178" s="6" t="n">
        <f aca="false">(10-(LEN(AE178)))+1</f>
        <v>6</v>
      </c>
      <c r="AE178" s="6" t="n">
        <v>10495</v>
      </c>
      <c r="AF178" s="6" t="str">
        <f aca="false">IF($J178="NA","NA",IF(AND($J178&gt;1959,AE178&gt;0),"ERRO","OK"))</f>
        <v>OK</v>
      </c>
      <c r="AG178" s="6" t="n">
        <f aca="false">(10-(LEN(AH178)))+1</f>
        <v>7</v>
      </c>
      <c r="AH178" s="6" t="n">
        <v>9362</v>
      </c>
      <c r="AI178" s="6" t="str">
        <f aca="false">IF($J178="NA","NA",IF(AND($J178&gt;1949,AH178&gt;0),"ERRO","OK"))</f>
        <v>OK</v>
      </c>
      <c r="AJ178" s="6" t="n">
        <f aca="false">(10-(LEN(AK178)))+1</f>
        <v>7</v>
      </c>
      <c r="AK178" s="6" t="n">
        <v>8216</v>
      </c>
      <c r="AL178" s="6" t="str">
        <f aca="false">IF($J178="NA","NA",IF(AND($J178&gt;1939,AK178&gt;0),"ERRO","OK"))</f>
        <v>OK</v>
      </c>
      <c r="AM178" s="6" t="n">
        <f aca="false">(10-(LEN(AN178)))+1</f>
        <v>7</v>
      </c>
      <c r="AN178" s="6" t="n">
        <v>1523</v>
      </c>
      <c r="AO178" s="6" t="str">
        <f aca="false">IF($J178="NA","NA",IF(AND($J178&gt;1929,AN178&gt;0),"ERRO","OK"))</f>
        <v>OK</v>
      </c>
      <c r="AP178" s="6" t="n">
        <f aca="false">(10-(LEN(AQ178)))+1</f>
        <v>10</v>
      </c>
      <c r="AQ178" s="6" t="n">
        <v>0</v>
      </c>
      <c r="AR178" s="6" t="str">
        <f aca="false">IF($J178="NA","NA",IF(AND($J178&gt;1919,AQ178&gt;0),"ERRO","OK"))</f>
        <v>OK</v>
      </c>
      <c r="AS178" s="6" t="n">
        <f aca="false">(10-(LEN(AT178)))+1</f>
        <v>10</v>
      </c>
      <c r="AT178" s="6" t="n">
        <v>0</v>
      </c>
      <c r="AU178" s="6" t="str">
        <f aca="false">IF($J178="NA","NA",IF(AND($J178&gt;1909,AT178&gt;0),"ERRO","OK"))</f>
        <v>OK</v>
      </c>
      <c r="AV178" s="6" t="n">
        <f aca="false">(10-(LEN(AW178)))+1</f>
        <v>10</v>
      </c>
      <c r="AW178" s="6" t="n">
        <v>0</v>
      </c>
      <c r="AX178" s="6" t="str">
        <f aca="false">IF($J178="NA","NA",IF(AND($J178&gt;1899,AW178&gt;0),"ERRO","OK"))</f>
        <v>OK</v>
      </c>
    </row>
    <row r="179" customFormat="false" ht="15" hidden="false" customHeight="false" outlineLevel="0" collapsed="false">
      <c r="A179" s="7" t="n">
        <v>177</v>
      </c>
      <c r="B179" s="0" t="s">
        <v>196</v>
      </c>
      <c r="C179" s="8" t="n">
        <v>45313</v>
      </c>
      <c r="D179" s="6" t="n">
        <v>0</v>
      </c>
      <c r="E179" s="0" t="s">
        <v>16</v>
      </c>
      <c r="F179" s="0" t="s">
        <v>17</v>
      </c>
      <c r="G179" s="9" t="str">
        <f aca="false">IF(OR(N179="ERRO",Q179="ERRO",T179="ERRO",W179="ERRO",Z179="ERRO",AC179="ERRO",AF179="ERRO",AI179="ERRO",AL179="ERRO",AO179="ERRO",AR179="ERRO",AU179="ERRO",AX179="ERRO"),"ERRO","OK")</f>
        <v>OK</v>
      </c>
      <c r="H179" s="9" t="n">
        <f aca="false">COUNTIF(L179:AX179,"ERRO")</f>
        <v>0</v>
      </c>
      <c r="I179" s="9" t="s">
        <v>18</v>
      </c>
      <c r="J179" s="10" t="s">
        <v>22</v>
      </c>
      <c r="K179" s="10" t="s">
        <v>22</v>
      </c>
      <c r="L179" s="6" t="n">
        <f aca="false">(10-(LEN(M179)))+1</f>
        <v>10</v>
      </c>
      <c r="M179" s="6" t="n">
        <v>0</v>
      </c>
      <c r="N179" s="6" t="str">
        <f aca="false">IF($J179="NA","NA",IF(AND($J179&gt;2019,M179&gt;0),"ERRO","OK"))</f>
        <v>NA</v>
      </c>
      <c r="O179" s="6" t="n">
        <f aca="false">(10-(LEN(P179)))+1</f>
        <v>9</v>
      </c>
      <c r="P179" s="6" t="n">
        <v>39</v>
      </c>
      <c r="Q179" s="6" t="str">
        <f aca="false">IF($J179="NA","NA",IF(AND($J179&gt;2009,P179&gt;0),"ERRO","OK"))</f>
        <v>NA</v>
      </c>
      <c r="R179" s="6" t="n">
        <f aca="false">(10-(LEN(S179)))+1</f>
        <v>8</v>
      </c>
      <c r="S179" s="6" t="n">
        <v>294</v>
      </c>
      <c r="T179" s="6" t="str">
        <f aca="false">IF($J179="NA","NA",IF(AND($J179&gt;1999,S179&gt;0),"ERRO","OK"))</f>
        <v>NA</v>
      </c>
      <c r="U179" s="6" t="n">
        <f aca="false">(10-(LEN(V179)))+1</f>
        <v>8</v>
      </c>
      <c r="V179" s="6" t="n">
        <v>230</v>
      </c>
      <c r="W179" s="6" t="str">
        <f aca="false">IF($J179="NA","NA",IF(AND($J179&gt;1989,V179&gt;0),"ERRO","OK"))</f>
        <v>NA</v>
      </c>
      <c r="X179" s="6" t="n">
        <f aca="false">(10-(LEN(Y179)))+1</f>
        <v>8</v>
      </c>
      <c r="Y179" s="6" t="n">
        <v>107</v>
      </c>
      <c r="Z179" s="6" t="str">
        <f aca="false">IF($J179="NA","NA",IF(AND($J179&gt;1979,Y179&gt;0),"ERRO","OK"))</f>
        <v>NA</v>
      </c>
      <c r="AA179" s="6" t="n">
        <f aca="false">(10-(LEN(AB179)))+1</f>
        <v>10</v>
      </c>
      <c r="AB179" s="6" t="n">
        <v>0</v>
      </c>
      <c r="AC179" s="6" t="str">
        <f aca="false">IF($J179="NA","NA",IF(AND($J179&gt;1969,AB179&gt;0),"ERRO","OK"))</f>
        <v>NA</v>
      </c>
      <c r="AD179" s="6" t="n">
        <f aca="false">(10-(LEN(AE179)))+1</f>
        <v>10</v>
      </c>
      <c r="AE179" s="6" t="n">
        <v>0</v>
      </c>
      <c r="AF179" s="6" t="str">
        <f aca="false">IF($J179="NA","NA",IF(AND($J179&gt;1959,AE179&gt;0),"ERRO","OK"))</f>
        <v>NA</v>
      </c>
      <c r="AG179" s="6" t="n">
        <f aca="false">(10-(LEN(AH179)))+1</f>
        <v>8</v>
      </c>
      <c r="AH179" s="6" t="n">
        <v>110</v>
      </c>
      <c r="AI179" s="6" t="str">
        <f aca="false">IF($J179="NA","NA",IF(AND($J179&gt;1949,AH179&gt;0),"ERRO","OK"))</f>
        <v>NA</v>
      </c>
      <c r="AJ179" s="6" t="n">
        <f aca="false">(10-(LEN(AK179)))+1</f>
        <v>8</v>
      </c>
      <c r="AK179" s="6" t="n">
        <v>139</v>
      </c>
      <c r="AL179" s="6" t="str">
        <f aca="false">IF($J179="NA","NA",IF(AND($J179&gt;1939,AK179&gt;0),"ERRO","OK"))</f>
        <v>NA</v>
      </c>
      <c r="AM179" s="6" t="n">
        <f aca="false">(10-(LEN(AN179)))+1</f>
        <v>8</v>
      </c>
      <c r="AN179" s="6" t="n">
        <v>152</v>
      </c>
      <c r="AO179" s="6" t="str">
        <f aca="false">IF($J179="NA","NA",IF(AND($J179&gt;1929,AN179&gt;0),"ERRO","OK"))</f>
        <v>NA</v>
      </c>
      <c r="AP179" s="6" t="n">
        <f aca="false">(10-(LEN(AQ179)))+1</f>
        <v>10</v>
      </c>
      <c r="AQ179" s="6" t="n">
        <v>0</v>
      </c>
      <c r="AR179" s="6" t="str">
        <f aca="false">IF($J179="NA","NA",IF(AND($J179&gt;1919,AQ179&gt;0),"ERRO","OK"))</f>
        <v>NA</v>
      </c>
      <c r="AS179" s="6" t="n">
        <f aca="false">(10-(LEN(AT179)))+1</f>
        <v>10</v>
      </c>
      <c r="AT179" s="6" t="n">
        <v>0</v>
      </c>
      <c r="AU179" s="6" t="str">
        <f aca="false">IF($J179="NA","NA",IF(AND($J179&gt;1909,AT179&gt;0),"ERRO","OK"))</f>
        <v>NA</v>
      </c>
      <c r="AV179" s="6" t="n">
        <f aca="false">(10-(LEN(AW179)))+1</f>
        <v>8</v>
      </c>
      <c r="AW179" s="6" t="n">
        <v>129</v>
      </c>
      <c r="AX179" s="6" t="str">
        <f aca="false">IF($J179="NA","NA",IF(AND($J179&gt;1899,AW179&gt;0),"ERRO","OK"))</f>
        <v>NA</v>
      </c>
    </row>
    <row r="180" customFormat="false" ht="15" hidden="false" customHeight="false" outlineLevel="0" collapsed="false">
      <c r="A180" s="7" t="n">
        <v>178</v>
      </c>
      <c r="B180" s="0" t="s">
        <v>197</v>
      </c>
      <c r="C180" s="8" t="n">
        <v>45313</v>
      </c>
      <c r="D180" s="6" t="n">
        <v>0</v>
      </c>
      <c r="E180" s="0" t="s">
        <v>16</v>
      </c>
      <c r="F180" s="0" t="s">
        <v>17</v>
      </c>
      <c r="G180" s="9" t="str">
        <f aca="false">IF(OR(N180="ERRO",Q180="ERRO",T180="ERRO",W180="ERRO",Z180="ERRO",AC180="ERRO",AF180="ERRO",AI180="ERRO",AL180="ERRO",AO180="ERRO",AR180="ERRO",AU180="ERRO",AX180="ERRO"),"ERRO","OK")</f>
        <v>OK</v>
      </c>
      <c r="H180" s="9" t="n">
        <f aca="false">COUNTIF(L180:AX180,"ERRO")</f>
        <v>0</v>
      </c>
      <c r="I180" s="9" t="s">
        <v>18</v>
      </c>
      <c r="J180" s="10" t="n">
        <v>1893</v>
      </c>
      <c r="K180" s="10" t="n">
        <v>1987</v>
      </c>
      <c r="L180" s="6" t="n">
        <f aca="false">(10-(LEN(M180)))+1</f>
        <v>6</v>
      </c>
      <c r="M180" s="6" t="n">
        <v>18198</v>
      </c>
      <c r="N180" s="6" t="str">
        <f aca="false">IF($J180="NA","NA",IF(AND($J180&gt;2019,M180&gt;0),"ERRO","OK"))</f>
        <v>OK</v>
      </c>
      <c r="O180" s="6" t="n">
        <f aca="false">(10-(LEN(P180)))+1</f>
        <v>6</v>
      </c>
      <c r="P180" s="6" t="n">
        <v>12967</v>
      </c>
      <c r="Q180" s="6" t="str">
        <f aca="false">IF($J180="NA","NA",IF(AND($J180&gt;2009,P180&gt;0),"ERRO","OK"))</f>
        <v>OK</v>
      </c>
      <c r="R180" s="6" t="n">
        <f aca="false">(10-(LEN(S180)))+1</f>
        <v>7</v>
      </c>
      <c r="S180" s="6" t="n">
        <v>9748</v>
      </c>
      <c r="T180" s="6" t="str">
        <f aca="false">IF($J180="NA","NA",IF(AND($J180&gt;1999,S180&gt;0),"ERRO","OK"))</f>
        <v>OK</v>
      </c>
      <c r="U180" s="6" t="n">
        <f aca="false">(10-(LEN(V180)))+1</f>
        <v>6</v>
      </c>
      <c r="V180" s="6" t="n">
        <v>13982</v>
      </c>
      <c r="W180" s="6" t="str">
        <f aca="false">IF($J180="NA","NA",IF(AND($J180&gt;1989,V180&gt;0),"ERRO","OK"))</f>
        <v>OK</v>
      </c>
      <c r="X180" s="6" t="n">
        <f aca="false">(10-(LEN(Y180)))+1</f>
        <v>6</v>
      </c>
      <c r="Y180" s="6" t="n">
        <v>10916</v>
      </c>
      <c r="Z180" s="6" t="str">
        <f aca="false">IF($J180="NA","NA",IF(AND($J180&gt;1979,Y180&gt;0),"ERRO","OK"))</f>
        <v>OK</v>
      </c>
      <c r="AA180" s="6" t="n">
        <f aca="false">(10-(LEN(AB180)))+1</f>
        <v>7</v>
      </c>
      <c r="AB180" s="6" t="n">
        <v>6094</v>
      </c>
      <c r="AC180" s="6" t="str">
        <f aca="false">IF($J180="NA","NA",IF(AND($J180&gt;1969,AB180&gt;0),"ERRO","OK"))</f>
        <v>OK</v>
      </c>
      <c r="AD180" s="6" t="n">
        <f aca="false">(10-(LEN(AE180)))+1</f>
        <v>6</v>
      </c>
      <c r="AE180" s="6" t="n">
        <v>17134</v>
      </c>
      <c r="AF180" s="6" t="str">
        <f aca="false">IF($J180="NA","NA",IF(AND($J180&gt;1959,AE180&gt;0),"ERRO","OK"))</f>
        <v>OK</v>
      </c>
      <c r="AG180" s="6" t="n">
        <f aca="false">(10-(LEN(AH180)))+1</f>
        <v>7</v>
      </c>
      <c r="AH180" s="6" t="n">
        <v>3194</v>
      </c>
      <c r="AI180" s="6" t="str">
        <f aca="false">IF($J180="NA","NA",IF(AND($J180&gt;1949,AH180&gt;0),"ERRO","OK"))</f>
        <v>OK</v>
      </c>
      <c r="AJ180" s="6" t="n">
        <f aca="false">(10-(LEN(AK180)))+1</f>
        <v>8</v>
      </c>
      <c r="AK180" s="6" t="n">
        <v>696</v>
      </c>
      <c r="AL180" s="6" t="str">
        <f aca="false">IF($J180="NA","NA",IF(AND($J180&gt;1939,AK180&gt;0),"ERRO","OK"))</f>
        <v>OK</v>
      </c>
      <c r="AM180" s="6" t="n">
        <f aca="false">(10-(LEN(AN180)))+1</f>
        <v>7</v>
      </c>
      <c r="AN180" s="6" t="n">
        <v>1371</v>
      </c>
      <c r="AO180" s="6" t="str">
        <f aca="false">IF($J180="NA","NA",IF(AND($J180&gt;1929,AN180&gt;0),"ERRO","OK"))</f>
        <v>OK</v>
      </c>
      <c r="AP180" s="6" t="n">
        <f aca="false">(10-(LEN(AQ180)))+1</f>
        <v>10</v>
      </c>
      <c r="AQ180" s="6" t="n">
        <v>0</v>
      </c>
      <c r="AR180" s="6" t="str">
        <f aca="false">IF($J180="NA","NA",IF(AND($J180&gt;1919,AQ180&gt;0),"ERRO","OK"))</f>
        <v>OK</v>
      </c>
      <c r="AS180" s="6" t="n">
        <f aca="false">(10-(LEN(AT180)))+1</f>
        <v>10</v>
      </c>
      <c r="AT180" s="6" t="n">
        <v>0</v>
      </c>
      <c r="AU180" s="6" t="str">
        <f aca="false">IF($J180="NA","NA",IF(AND($J180&gt;1909,AT180&gt;0),"ERRO","OK"))</f>
        <v>OK</v>
      </c>
      <c r="AV180" s="6" t="n">
        <f aca="false">(10-(LEN(AW180)))+1</f>
        <v>10</v>
      </c>
      <c r="AW180" s="6" t="n">
        <v>0</v>
      </c>
      <c r="AX180" s="6" t="str">
        <f aca="false">IF($J180="NA","NA",IF(AND($J180&gt;1899,AW180&gt;0),"ERRO","OK"))</f>
        <v>OK</v>
      </c>
    </row>
    <row r="181" customFormat="false" ht="15" hidden="false" customHeight="false" outlineLevel="0" collapsed="false">
      <c r="A181" s="7" t="n">
        <v>179</v>
      </c>
      <c r="B181" s="0" t="s">
        <v>198</v>
      </c>
      <c r="C181" s="8" t="n">
        <v>45313</v>
      </c>
      <c r="D181" s="6" t="n">
        <v>0</v>
      </c>
      <c r="E181" s="0" t="s">
        <v>16</v>
      </c>
      <c r="F181" s="0" t="s">
        <v>17</v>
      </c>
      <c r="G181" s="9" t="str">
        <f aca="false">IF(OR(N181="ERRO",Q181="ERRO",T181="ERRO",W181="ERRO",Z181="ERRO",AC181="ERRO",AF181="ERRO",AI181="ERRO",AL181="ERRO",AO181="ERRO",AR181="ERRO",AU181="ERRO",AX181="ERRO"),"ERRO","OK")</f>
        <v>OK</v>
      </c>
      <c r="H181" s="9" t="n">
        <f aca="false">COUNTIF(L181:AX181,"ERRO")</f>
        <v>0</v>
      </c>
      <c r="I181" s="9" t="s">
        <v>18</v>
      </c>
      <c r="J181" s="10" t="n">
        <v>1896</v>
      </c>
      <c r="K181" s="10" t="n">
        <v>1987</v>
      </c>
      <c r="L181" s="6" t="n">
        <f aca="false">(10-(LEN(M181)))+1</f>
        <v>6</v>
      </c>
      <c r="M181" s="6" t="n">
        <v>14909</v>
      </c>
      <c r="N181" s="6" t="str">
        <f aca="false">IF($J181="NA","NA",IF(AND($J181&gt;2019,M181&gt;0),"ERRO","OK"))</f>
        <v>OK</v>
      </c>
      <c r="O181" s="6" t="n">
        <f aca="false">(10-(LEN(P181)))+1</f>
        <v>7</v>
      </c>
      <c r="P181" s="6" t="n">
        <v>9193</v>
      </c>
      <c r="Q181" s="6" t="str">
        <f aca="false">IF($J181="NA","NA",IF(AND($J181&gt;2009,P181&gt;0),"ERRO","OK"))</f>
        <v>OK</v>
      </c>
      <c r="R181" s="6" t="n">
        <f aca="false">(10-(LEN(S181)))+1</f>
        <v>7</v>
      </c>
      <c r="S181" s="6" t="n">
        <v>5042</v>
      </c>
      <c r="T181" s="6" t="str">
        <f aca="false">IF($J181="NA","NA",IF(AND($J181&gt;1999,S181&gt;0),"ERRO","OK"))</f>
        <v>OK</v>
      </c>
      <c r="U181" s="6" t="n">
        <f aca="false">(10-(LEN(V181)))+1</f>
        <v>7</v>
      </c>
      <c r="V181" s="6" t="n">
        <v>4093</v>
      </c>
      <c r="W181" s="6" t="str">
        <f aca="false">IF($J181="NA","NA",IF(AND($J181&gt;1989,V181&gt;0),"ERRO","OK"))</f>
        <v>OK</v>
      </c>
      <c r="X181" s="6" t="n">
        <f aca="false">(10-(LEN(Y181)))+1</f>
        <v>7</v>
      </c>
      <c r="Y181" s="6" t="n">
        <v>2461</v>
      </c>
      <c r="Z181" s="6" t="str">
        <f aca="false">IF($J181="NA","NA",IF(AND($J181&gt;1979,Y181&gt;0),"ERRO","OK"))</f>
        <v>OK</v>
      </c>
      <c r="AA181" s="6" t="n">
        <f aca="false">(10-(LEN(AB181)))+1</f>
        <v>7</v>
      </c>
      <c r="AB181" s="6" t="n">
        <v>1934</v>
      </c>
      <c r="AC181" s="6" t="str">
        <f aca="false">IF($J181="NA","NA",IF(AND($J181&gt;1969,AB181&gt;0),"ERRO","OK"))</f>
        <v>OK</v>
      </c>
      <c r="AD181" s="6" t="n">
        <f aca="false">(10-(LEN(AE181)))+1</f>
        <v>7</v>
      </c>
      <c r="AE181" s="6" t="n">
        <v>5472</v>
      </c>
      <c r="AF181" s="6" t="str">
        <f aca="false">IF($J181="NA","NA",IF(AND($J181&gt;1959,AE181&gt;0),"ERRO","OK"))</f>
        <v>OK</v>
      </c>
      <c r="AG181" s="6" t="n">
        <f aca="false">(10-(LEN(AH181)))+1</f>
        <v>7</v>
      </c>
      <c r="AH181" s="6" t="n">
        <v>4736</v>
      </c>
      <c r="AI181" s="6" t="str">
        <f aca="false">IF($J181="NA","NA",IF(AND($J181&gt;1949,AH181&gt;0),"ERRO","OK"))</f>
        <v>OK</v>
      </c>
      <c r="AJ181" s="6" t="n">
        <f aca="false">(10-(LEN(AK181)))+1</f>
        <v>7</v>
      </c>
      <c r="AK181" s="6" t="n">
        <v>1950</v>
      </c>
      <c r="AL181" s="6" t="str">
        <f aca="false">IF($J181="NA","NA",IF(AND($J181&gt;1939,AK181&gt;0),"ERRO","OK"))</f>
        <v>OK</v>
      </c>
      <c r="AM181" s="6" t="n">
        <f aca="false">(10-(LEN(AN181)))+1</f>
        <v>8</v>
      </c>
      <c r="AN181" s="6" t="n">
        <v>914</v>
      </c>
      <c r="AO181" s="6" t="str">
        <f aca="false">IF($J181="NA","NA",IF(AND($J181&gt;1929,AN181&gt;0),"ERRO","OK"))</f>
        <v>OK</v>
      </c>
      <c r="AP181" s="6" t="n">
        <f aca="false">(10-(LEN(AQ181)))+1</f>
        <v>8</v>
      </c>
      <c r="AQ181" s="6" t="n">
        <v>100</v>
      </c>
      <c r="AR181" s="6" t="str">
        <f aca="false">IF($J181="NA","NA",IF(AND($J181&gt;1919,AQ181&gt;0),"ERRO","OK"))</f>
        <v>OK</v>
      </c>
      <c r="AS181" s="6" t="n">
        <f aca="false">(10-(LEN(AT181)))+1</f>
        <v>8</v>
      </c>
      <c r="AT181" s="6" t="n">
        <v>103</v>
      </c>
      <c r="AU181" s="6" t="str">
        <f aca="false">IF($J181="NA","NA",IF(AND($J181&gt;1909,AT181&gt;0),"ERRO","OK"))</f>
        <v>OK</v>
      </c>
      <c r="AV181" s="6" t="n">
        <f aca="false">(10-(LEN(AW181)))+1</f>
        <v>10</v>
      </c>
      <c r="AW181" s="6" t="n">
        <v>0</v>
      </c>
      <c r="AX181" s="6" t="str">
        <f aca="false">IF($J181="NA","NA",IF(AND($J181&gt;1899,AW181&gt;0),"ERRO","OK"))</f>
        <v>OK</v>
      </c>
    </row>
    <row r="182" customFormat="false" ht="15" hidden="false" customHeight="false" outlineLevel="0" collapsed="false">
      <c r="A182" s="7" t="n">
        <v>180</v>
      </c>
      <c r="B182" s="0" t="s">
        <v>199</v>
      </c>
      <c r="C182" s="8" t="n">
        <v>45313</v>
      </c>
      <c r="D182" s="6" t="n">
        <v>0</v>
      </c>
      <c r="E182" s="0" t="s">
        <v>16</v>
      </c>
      <c r="F182" s="0" t="s">
        <v>17</v>
      </c>
      <c r="G182" s="9" t="str">
        <f aca="false">IF(OR(N182="ERRO",Q182="ERRO",T182="ERRO",W182="ERRO",Z182="ERRO",AC182="ERRO",AF182="ERRO",AI182="ERRO",AL182="ERRO",AO182="ERRO",AR182="ERRO",AU182="ERRO",AX182="ERRO"),"ERRO","OK")</f>
        <v>OK</v>
      </c>
      <c r="H182" s="9" t="n">
        <f aca="false">COUNTIF(L182:AX182,"ERRO")</f>
        <v>0</v>
      </c>
      <c r="I182" s="9" t="s">
        <v>18</v>
      </c>
      <c r="J182" s="10" t="n">
        <v>1899</v>
      </c>
      <c r="K182" s="10" t="n">
        <v>1988</v>
      </c>
      <c r="L182" s="6" t="n">
        <f aca="false">(10-(LEN(M182)))+1</f>
        <v>7</v>
      </c>
      <c r="M182" s="6" t="n">
        <v>2665</v>
      </c>
      <c r="N182" s="6" t="str">
        <f aca="false">IF($J182="NA","NA",IF(AND($J182&gt;2019,M182&gt;0),"ERRO","OK"))</f>
        <v>OK</v>
      </c>
      <c r="O182" s="6" t="n">
        <f aca="false">(10-(LEN(P182)))+1</f>
        <v>7</v>
      </c>
      <c r="P182" s="6" t="n">
        <v>4254</v>
      </c>
      <c r="Q182" s="6" t="str">
        <f aca="false">IF($J182="NA","NA",IF(AND($J182&gt;2009,P182&gt;0),"ERRO","OK"))</f>
        <v>OK</v>
      </c>
      <c r="R182" s="6" t="n">
        <f aca="false">(10-(LEN(S182)))+1</f>
        <v>7</v>
      </c>
      <c r="S182" s="6" t="n">
        <v>3529</v>
      </c>
      <c r="T182" s="6" t="str">
        <f aca="false">IF($J182="NA","NA",IF(AND($J182&gt;1999,S182&gt;0),"ERRO","OK"))</f>
        <v>OK</v>
      </c>
      <c r="U182" s="6" t="n">
        <f aca="false">(10-(LEN(V182)))+1</f>
        <v>7</v>
      </c>
      <c r="V182" s="6" t="n">
        <v>7037</v>
      </c>
      <c r="W182" s="6" t="str">
        <f aca="false">IF($J182="NA","NA",IF(AND($J182&gt;1989,V182&gt;0),"ERRO","OK"))</f>
        <v>OK</v>
      </c>
      <c r="X182" s="6" t="n">
        <f aca="false">(10-(LEN(Y182)))+1</f>
        <v>7</v>
      </c>
      <c r="Y182" s="6" t="n">
        <v>5137</v>
      </c>
      <c r="Z182" s="6" t="str">
        <f aca="false">IF($J182="NA","NA",IF(AND($J182&gt;1979,Y182&gt;0),"ERRO","OK"))</f>
        <v>OK</v>
      </c>
      <c r="AA182" s="6" t="n">
        <f aca="false">(10-(LEN(AB182)))+1</f>
        <v>6</v>
      </c>
      <c r="AB182" s="6" t="n">
        <v>11075</v>
      </c>
      <c r="AC182" s="6" t="str">
        <f aca="false">IF($J182="NA","NA",IF(AND($J182&gt;1969,AB182&gt;0),"ERRO","OK"))</f>
        <v>OK</v>
      </c>
      <c r="AD182" s="6" t="n">
        <f aca="false">(10-(LEN(AE182)))+1</f>
        <v>7</v>
      </c>
      <c r="AE182" s="6" t="n">
        <v>9957</v>
      </c>
      <c r="AF182" s="6" t="str">
        <f aca="false">IF($J182="NA","NA",IF(AND($J182&gt;1959,AE182&gt;0),"ERRO","OK"))</f>
        <v>OK</v>
      </c>
      <c r="AG182" s="6" t="n">
        <f aca="false">(10-(LEN(AH182)))+1</f>
        <v>6</v>
      </c>
      <c r="AH182" s="6" t="n">
        <v>15529</v>
      </c>
      <c r="AI182" s="6" t="str">
        <f aca="false">IF($J182="NA","NA",IF(AND($J182&gt;1949,AH182&gt;0),"ERRO","OK"))</f>
        <v>OK</v>
      </c>
      <c r="AJ182" s="6" t="n">
        <f aca="false">(10-(LEN(AK182)))+1</f>
        <v>6</v>
      </c>
      <c r="AK182" s="6" t="n">
        <v>19775</v>
      </c>
      <c r="AL182" s="6" t="str">
        <f aca="false">IF($J182="NA","NA",IF(AND($J182&gt;1939,AK182&gt;0),"ERRO","OK"))</f>
        <v>OK</v>
      </c>
      <c r="AM182" s="6" t="n">
        <f aca="false">(10-(LEN(AN182)))+1</f>
        <v>7</v>
      </c>
      <c r="AN182" s="6" t="n">
        <v>1219</v>
      </c>
      <c r="AO182" s="6" t="str">
        <f aca="false">IF($J182="NA","NA",IF(AND($J182&gt;1929,AN182&gt;0),"ERRO","OK"))</f>
        <v>OK</v>
      </c>
      <c r="AP182" s="6" t="n">
        <f aca="false">(10-(LEN(AQ182)))+1</f>
        <v>7</v>
      </c>
      <c r="AQ182" s="6" t="n">
        <v>1302</v>
      </c>
      <c r="AR182" s="6" t="str">
        <f aca="false">IF($J182="NA","NA",IF(AND($J182&gt;1919,AQ182&gt;0),"ERRO","OK"))</f>
        <v>OK</v>
      </c>
      <c r="AS182" s="6" t="n">
        <f aca="false">(10-(LEN(AT182)))+1</f>
        <v>7</v>
      </c>
      <c r="AT182" s="6" t="n">
        <v>9384</v>
      </c>
      <c r="AU182" s="6" t="str">
        <f aca="false">IF($J182="NA","NA",IF(AND($J182&gt;1909,AT182&gt;0),"ERRO","OK"))</f>
        <v>OK</v>
      </c>
      <c r="AV182" s="6" t="n">
        <f aca="false">(10-(LEN(AW182)))+1</f>
        <v>7</v>
      </c>
      <c r="AW182" s="6" t="n">
        <v>2451</v>
      </c>
      <c r="AX182" s="6" t="str">
        <f aca="false">IF($J182="NA","NA",IF(AND($J182&gt;1899,AW182&gt;0),"ERRO","OK"))</f>
        <v>OK</v>
      </c>
    </row>
    <row r="183" customFormat="false" ht="15" hidden="false" customHeight="false" outlineLevel="0" collapsed="false">
      <c r="A183" s="7" t="n">
        <v>181</v>
      </c>
      <c r="B183" s="0" t="s">
        <v>200</v>
      </c>
      <c r="C183" s="8" t="n">
        <v>45313</v>
      </c>
      <c r="D183" s="6" t="n">
        <v>0</v>
      </c>
      <c r="E183" s="0" t="s">
        <v>16</v>
      </c>
      <c r="F183" s="0" t="s">
        <v>17</v>
      </c>
      <c r="G183" s="9" t="str">
        <f aca="false">IF(OR(N183="ERRO",Q183="ERRO",T183="ERRO",W183="ERRO",Z183="ERRO",AC183="ERRO",AF183="ERRO",AI183="ERRO",AL183="ERRO",AO183="ERRO",AR183="ERRO",AU183="ERRO",AX183="ERRO"),"ERRO","OK")</f>
        <v>OK</v>
      </c>
      <c r="H183" s="9" t="n">
        <f aca="false">COUNTIF(L183:AX183,"ERRO")</f>
        <v>0</v>
      </c>
      <c r="I183" s="9" t="s">
        <v>18</v>
      </c>
      <c r="J183" s="10" t="n">
        <v>1911</v>
      </c>
      <c r="K183" s="10" t="n">
        <v>1991</v>
      </c>
      <c r="L183" s="6" t="n">
        <f aca="false">(10-(LEN(M183)))+1</f>
        <v>8</v>
      </c>
      <c r="M183" s="6" t="n">
        <v>250</v>
      </c>
      <c r="N183" s="6" t="str">
        <f aca="false">IF($J183="NA","NA",IF(AND($J183&gt;2019,M183&gt;0),"ERRO","OK"))</f>
        <v>OK</v>
      </c>
      <c r="O183" s="6" t="n">
        <f aca="false">(10-(LEN(P183)))+1</f>
        <v>8</v>
      </c>
      <c r="P183" s="6" t="n">
        <v>446</v>
      </c>
      <c r="Q183" s="6" t="str">
        <f aca="false">IF($J183="NA","NA",IF(AND($J183&gt;2009,P183&gt;0),"ERRO","OK"))</f>
        <v>OK</v>
      </c>
      <c r="R183" s="6" t="n">
        <f aca="false">(10-(LEN(S183)))+1</f>
        <v>8</v>
      </c>
      <c r="S183" s="6" t="n">
        <v>252</v>
      </c>
      <c r="T183" s="6" t="str">
        <f aca="false">IF($J183="NA","NA",IF(AND($J183&gt;1999,S183&gt;0),"ERRO","OK"))</f>
        <v>OK</v>
      </c>
      <c r="U183" s="6" t="n">
        <f aca="false">(10-(LEN(V183)))+1</f>
        <v>8</v>
      </c>
      <c r="V183" s="6" t="n">
        <v>552</v>
      </c>
      <c r="W183" s="6" t="str">
        <f aca="false">IF($J183="NA","NA",IF(AND($J183&gt;1989,V183&gt;0),"ERRO","OK"))</f>
        <v>OK</v>
      </c>
      <c r="X183" s="6" t="n">
        <f aca="false">(10-(LEN(Y183)))+1</f>
        <v>9</v>
      </c>
      <c r="Y183" s="6" t="n">
        <v>54</v>
      </c>
      <c r="Z183" s="6" t="str">
        <f aca="false">IF($J183="NA","NA",IF(AND($J183&gt;1979,Y183&gt;0),"ERRO","OK"))</f>
        <v>OK</v>
      </c>
      <c r="AA183" s="6" t="n">
        <f aca="false">(10-(LEN(AB183)))+1</f>
        <v>8</v>
      </c>
      <c r="AB183" s="6" t="n">
        <v>117</v>
      </c>
      <c r="AC183" s="6" t="str">
        <f aca="false">IF($J183="NA","NA",IF(AND($J183&gt;1969,AB183&gt;0),"ERRO","OK"))</f>
        <v>OK</v>
      </c>
      <c r="AD183" s="6" t="n">
        <f aca="false">(10-(LEN(AE183)))+1</f>
        <v>10</v>
      </c>
      <c r="AE183" s="6" t="n">
        <v>0</v>
      </c>
      <c r="AF183" s="6" t="str">
        <f aca="false">IF($J183="NA","NA",IF(AND($J183&gt;1959,AE183&gt;0),"ERRO","OK"))</f>
        <v>OK</v>
      </c>
      <c r="AG183" s="6" t="n">
        <f aca="false">(10-(LEN(AH183)))+1</f>
        <v>10</v>
      </c>
      <c r="AH183" s="6" t="n">
        <v>0</v>
      </c>
      <c r="AI183" s="6" t="str">
        <f aca="false">IF($J183="NA","NA",IF(AND($J183&gt;1949,AH183&gt;0),"ERRO","OK"))</f>
        <v>OK</v>
      </c>
      <c r="AJ183" s="6" t="n">
        <f aca="false">(10-(LEN(AK183)))+1</f>
        <v>10</v>
      </c>
      <c r="AK183" s="6" t="n">
        <v>0</v>
      </c>
      <c r="AL183" s="6" t="str">
        <f aca="false">IF($J183="NA","NA",IF(AND($J183&gt;1939,AK183&gt;0),"ERRO","OK"))</f>
        <v>OK</v>
      </c>
      <c r="AM183" s="6" t="n">
        <f aca="false">(10-(LEN(AN183)))+1</f>
        <v>10</v>
      </c>
      <c r="AN183" s="6" t="n">
        <v>0</v>
      </c>
      <c r="AO183" s="6" t="str">
        <f aca="false">IF($J183="NA","NA",IF(AND($J183&gt;1929,AN183&gt;0),"ERRO","OK"))</f>
        <v>OK</v>
      </c>
      <c r="AP183" s="6" t="n">
        <f aca="false">(10-(LEN(AQ183)))+1</f>
        <v>10</v>
      </c>
      <c r="AQ183" s="6" t="n">
        <v>0</v>
      </c>
      <c r="AR183" s="6" t="str">
        <f aca="false">IF($J183="NA","NA",IF(AND($J183&gt;1919,AQ183&gt;0),"ERRO","OK"))</f>
        <v>OK</v>
      </c>
      <c r="AS183" s="6" t="n">
        <f aca="false">(10-(LEN(AT183)))+1</f>
        <v>10</v>
      </c>
      <c r="AT183" s="6" t="n">
        <v>0</v>
      </c>
      <c r="AU183" s="6" t="str">
        <f aca="false">IF($J183="NA","NA",IF(AND($J183&gt;1909,AT183&gt;0),"ERRO","OK"))</f>
        <v>OK</v>
      </c>
      <c r="AV183" s="6" t="n">
        <f aca="false">(10-(LEN(AW183)))+1</f>
        <v>10</v>
      </c>
      <c r="AW183" s="6" t="n">
        <v>0</v>
      </c>
      <c r="AX183" s="6" t="str">
        <f aca="false">IF($J183="NA","NA",IF(AND($J183&gt;1899,AW183&gt;0),"ERRO","OK"))</f>
        <v>OK</v>
      </c>
    </row>
    <row r="184" customFormat="false" ht="15" hidden="false" customHeight="false" outlineLevel="0" collapsed="false">
      <c r="A184" s="7" t="n">
        <v>182</v>
      </c>
      <c r="B184" s="0" t="s">
        <v>201</v>
      </c>
      <c r="C184" s="8" t="n">
        <v>45313</v>
      </c>
      <c r="D184" s="6" t="n">
        <v>0</v>
      </c>
      <c r="E184" s="0" t="s">
        <v>16</v>
      </c>
      <c r="F184" s="0" t="s">
        <v>17</v>
      </c>
      <c r="G184" s="9" t="str">
        <f aca="false">IF(OR(N184="ERRO",Q184="ERRO",T184="ERRO",W184="ERRO",Z184="ERRO",AC184="ERRO",AF184="ERRO",AI184="ERRO",AL184="ERRO",AO184="ERRO",AR184="ERRO",AU184="ERRO",AX184="ERRO"),"ERRO","OK")</f>
        <v>OK</v>
      </c>
      <c r="H184" s="9" t="n">
        <f aca="false">COUNTIF(L184:AX184,"ERRO")</f>
        <v>0</v>
      </c>
      <c r="I184" s="9" t="s">
        <v>18</v>
      </c>
      <c r="J184" s="10" t="n">
        <v>1916</v>
      </c>
      <c r="K184" s="10" t="n">
        <v>1968</v>
      </c>
      <c r="L184" s="6" t="n">
        <f aca="false">(10-(LEN(M184)))+1</f>
        <v>9</v>
      </c>
      <c r="M184" s="6" t="n">
        <v>42</v>
      </c>
      <c r="N184" s="6" t="str">
        <f aca="false">IF($J184="NA","NA",IF(AND($J184&gt;2019,M184&gt;0),"ERRO","OK"))</f>
        <v>OK</v>
      </c>
      <c r="O184" s="6" t="n">
        <f aca="false">(10-(LEN(P184)))+1</f>
        <v>8</v>
      </c>
      <c r="P184" s="6" t="n">
        <v>274</v>
      </c>
      <c r="Q184" s="6" t="str">
        <f aca="false">IF($J184="NA","NA",IF(AND($J184&gt;2009,P184&gt;0),"ERRO","OK"))</f>
        <v>OK</v>
      </c>
      <c r="R184" s="6" t="n">
        <f aca="false">(10-(LEN(S184)))+1</f>
        <v>8</v>
      </c>
      <c r="S184" s="6" t="n">
        <v>126</v>
      </c>
      <c r="T184" s="6" t="str">
        <f aca="false">IF($J184="NA","NA",IF(AND($J184&gt;1999,S184&gt;0),"ERRO","OK"))</f>
        <v>OK</v>
      </c>
      <c r="U184" s="6" t="n">
        <f aca="false">(10-(LEN(V184)))+1</f>
        <v>8</v>
      </c>
      <c r="V184" s="6" t="n">
        <v>230</v>
      </c>
      <c r="W184" s="6" t="str">
        <f aca="false">IF($J184="NA","NA",IF(AND($J184&gt;1989,V184&gt;0),"ERRO","OK"))</f>
        <v>OK</v>
      </c>
      <c r="X184" s="6" t="n">
        <f aca="false">(10-(LEN(Y184)))+1</f>
        <v>8</v>
      </c>
      <c r="Y184" s="6" t="n">
        <v>375</v>
      </c>
      <c r="Z184" s="6" t="str">
        <f aca="false">IF($J184="NA","NA",IF(AND($J184&gt;1979,Y184&gt;0),"ERRO","OK"))</f>
        <v>OK</v>
      </c>
      <c r="AA184" s="6" t="n">
        <f aca="false">(10-(LEN(AB184)))+1</f>
        <v>10</v>
      </c>
      <c r="AB184" s="6" t="n">
        <v>0</v>
      </c>
      <c r="AC184" s="6" t="str">
        <f aca="false">IF($J184="NA","NA",IF(AND($J184&gt;1969,AB184&gt;0),"ERRO","OK"))</f>
        <v>OK</v>
      </c>
      <c r="AD184" s="6" t="n">
        <f aca="false">(10-(LEN(AE184)))+1</f>
        <v>10</v>
      </c>
      <c r="AE184" s="6" t="n">
        <v>0</v>
      </c>
      <c r="AF184" s="6" t="str">
        <f aca="false">IF($J184="NA","NA",IF(AND($J184&gt;1959,AE184&gt;0),"ERRO","OK"))</f>
        <v>OK</v>
      </c>
      <c r="AG184" s="6" t="n">
        <f aca="false">(10-(LEN(AH184)))+1</f>
        <v>8</v>
      </c>
      <c r="AH184" s="6" t="n">
        <v>881</v>
      </c>
      <c r="AI184" s="6" t="str">
        <f aca="false">IF($J184="NA","NA",IF(AND($J184&gt;1949,AH184&gt;0),"ERRO","OK"))</f>
        <v>OK</v>
      </c>
      <c r="AJ184" s="6" t="n">
        <f aca="false">(10-(LEN(AK184)))+1</f>
        <v>10</v>
      </c>
      <c r="AK184" s="6" t="n">
        <v>0</v>
      </c>
      <c r="AL184" s="6" t="str">
        <f aca="false">IF($J184="NA","NA",IF(AND($J184&gt;1939,AK184&gt;0),"ERRO","OK"))</f>
        <v>OK</v>
      </c>
      <c r="AM184" s="6" t="n">
        <f aca="false">(10-(LEN(AN184)))+1</f>
        <v>10</v>
      </c>
      <c r="AN184" s="6" t="n">
        <v>0</v>
      </c>
      <c r="AO184" s="6" t="str">
        <f aca="false">IF($J184="NA","NA",IF(AND($J184&gt;1929,AN184&gt;0),"ERRO","OK"))</f>
        <v>OK</v>
      </c>
      <c r="AP184" s="6" t="n">
        <f aca="false">(10-(LEN(AQ184)))+1</f>
        <v>10</v>
      </c>
      <c r="AQ184" s="6" t="n">
        <v>0</v>
      </c>
      <c r="AR184" s="6" t="str">
        <f aca="false">IF($J184="NA","NA",IF(AND($J184&gt;1919,AQ184&gt;0),"ERRO","OK"))</f>
        <v>OK</v>
      </c>
      <c r="AS184" s="6" t="n">
        <f aca="false">(10-(LEN(AT184)))+1</f>
        <v>10</v>
      </c>
      <c r="AT184" s="6" t="n">
        <v>0</v>
      </c>
      <c r="AU184" s="6" t="str">
        <f aca="false">IF($J184="NA","NA",IF(AND($J184&gt;1909,AT184&gt;0),"ERRO","OK"))</f>
        <v>OK</v>
      </c>
      <c r="AV184" s="6" t="n">
        <f aca="false">(10-(LEN(AW184)))+1</f>
        <v>10</v>
      </c>
      <c r="AW184" s="6" t="n">
        <v>0</v>
      </c>
      <c r="AX184" s="6" t="str">
        <f aca="false">IF($J184="NA","NA",IF(AND($J184&gt;1899,AW184&gt;0),"ERRO","OK"))</f>
        <v>OK</v>
      </c>
    </row>
    <row r="185" customFormat="false" ht="15" hidden="false" customHeight="false" outlineLevel="0" collapsed="false">
      <c r="A185" s="7" t="n">
        <v>183</v>
      </c>
      <c r="B185" s="0" t="s">
        <v>202</v>
      </c>
      <c r="C185" s="8" t="n">
        <v>45313</v>
      </c>
      <c r="D185" s="6" t="n">
        <v>0</v>
      </c>
      <c r="E185" s="0" t="s">
        <v>16</v>
      </c>
      <c r="F185" s="0" t="s">
        <v>17</v>
      </c>
      <c r="G185" s="9" t="str">
        <f aca="false">IF(OR(N185="ERRO",Q185="ERRO",T185="ERRO",W185="ERRO",Z185="ERRO",AC185="ERRO",AF185="ERRO",AI185="ERRO",AL185="ERRO",AO185="ERRO",AR185="ERRO",AU185="ERRO",AX185="ERRO"),"ERRO","OK")</f>
        <v>OK</v>
      </c>
      <c r="H185" s="9" t="n">
        <f aca="false">COUNTIF(L185:AX185,"ERRO")</f>
        <v>0</v>
      </c>
      <c r="I185" s="9" t="s">
        <v>18</v>
      </c>
      <c r="J185" s="10" t="n">
        <v>1909</v>
      </c>
      <c r="K185" s="10" t="n">
        <v>2008</v>
      </c>
      <c r="L185" s="6" t="n">
        <f aca="false">(10-(LEN(M185)))+1</f>
        <v>8</v>
      </c>
      <c r="M185" s="6" t="n">
        <v>791</v>
      </c>
      <c r="N185" s="6" t="str">
        <f aca="false">IF($J185="NA","NA",IF(AND($J185&gt;2019,M185&gt;0),"ERRO","OK"))</f>
        <v>OK</v>
      </c>
      <c r="O185" s="6" t="n">
        <f aca="false">(10-(LEN(P185)))+1</f>
        <v>7</v>
      </c>
      <c r="P185" s="6" t="n">
        <v>1749</v>
      </c>
      <c r="Q185" s="6" t="str">
        <f aca="false">IF($J185="NA","NA",IF(AND($J185&gt;2009,P185&gt;0),"ERRO","OK"))</f>
        <v>OK</v>
      </c>
      <c r="R185" s="6" t="n">
        <f aca="false">(10-(LEN(S185)))+1</f>
        <v>8</v>
      </c>
      <c r="S185" s="6" t="n">
        <v>672</v>
      </c>
      <c r="T185" s="6" t="str">
        <f aca="false">IF($J185="NA","NA",IF(AND($J185&gt;1999,S185&gt;0),"ERRO","OK"))</f>
        <v>OK</v>
      </c>
      <c r="U185" s="6" t="n">
        <f aca="false">(10-(LEN(V185)))+1</f>
        <v>7</v>
      </c>
      <c r="V185" s="6" t="n">
        <v>1472</v>
      </c>
      <c r="W185" s="6" t="str">
        <f aca="false">IF($J185="NA","NA",IF(AND($J185&gt;1989,V185&gt;0),"ERRO","OK"))</f>
        <v>OK</v>
      </c>
      <c r="X185" s="6" t="n">
        <f aca="false">(10-(LEN(Y185)))+1</f>
        <v>7</v>
      </c>
      <c r="Y185" s="6" t="n">
        <v>1124</v>
      </c>
      <c r="Z185" s="6" t="str">
        <f aca="false">IF($J185="NA","NA",IF(AND($J185&gt;1979,Y185&gt;0),"ERRO","OK"))</f>
        <v>OK</v>
      </c>
      <c r="AA185" s="6" t="n">
        <f aca="false">(10-(LEN(AB185)))+1</f>
        <v>7</v>
      </c>
      <c r="AB185" s="6" t="n">
        <v>1231</v>
      </c>
      <c r="AC185" s="6" t="str">
        <f aca="false">IF($J185="NA","NA",IF(AND($J185&gt;1969,AB185&gt;0),"ERRO","OK"))</f>
        <v>OK</v>
      </c>
      <c r="AD185" s="6" t="n">
        <f aca="false">(10-(LEN(AE185)))+1</f>
        <v>7</v>
      </c>
      <c r="AE185" s="6" t="n">
        <v>2422</v>
      </c>
      <c r="AF185" s="6" t="str">
        <f aca="false">IF($J185="NA","NA",IF(AND($J185&gt;1959,AE185&gt;0),"ERRO","OK"))</f>
        <v>OK</v>
      </c>
      <c r="AG185" s="6" t="n">
        <f aca="false">(10-(LEN(AH185)))+1</f>
        <v>7</v>
      </c>
      <c r="AH185" s="6" t="n">
        <v>1101</v>
      </c>
      <c r="AI185" s="6" t="str">
        <f aca="false">IF($J185="NA","NA",IF(AND($J185&gt;1949,AH185&gt;0),"ERRO","OK"))</f>
        <v>OK</v>
      </c>
      <c r="AJ185" s="6" t="n">
        <f aca="false">(10-(LEN(AK185)))+1</f>
        <v>7</v>
      </c>
      <c r="AK185" s="6" t="n">
        <v>1393</v>
      </c>
      <c r="AL185" s="6" t="str">
        <f aca="false">IF($J185="NA","NA",IF(AND($J185&gt;1939,AK185&gt;0),"ERRO","OK"))</f>
        <v>OK</v>
      </c>
      <c r="AM185" s="6" t="n">
        <f aca="false">(10-(LEN(AN185)))+1</f>
        <v>10</v>
      </c>
      <c r="AN185" s="6" t="n">
        <v>0</v>
      </c>
      <c r="AO185" s="6" t="str">
        <f aca="false">IF($J185="NA","NA",IF(AND($J185&gt;1929,AN185&gt;0),"ERRO","OK"))</f>
        <v>OK</v>
      </c>
      <c r="AP185" s="6" t="n">
        <f aca="false">(10-(LEN(AQ185)))+1</f>
        <v>8</v>
      </c>
      <c r="AQ185" s="6" t="n">
        <v>110</v>
      </c>
      <c r="AR185" s="6" t="str">
        <f aca="false">IF($J185="NA","NA",IF(AND($J185&gt;1919,AQ185&gt;0),"ERRO","OK"))</f>
        <v>OK</v>
      </c>
      <c r="AS185" s="6" t="n">
        <f aca="false">(10-(LEN(AT185)))+1</f>
        <v>10</v>
      </c>
      <c r="AT185" s="6" t="n">
        <v>0</v>
      </c>
      <c r="AU185" s="6" t="str">
        <f aca="false">IF($J185="NA","NA",IF(AND($J185&gt;1909,AT185&gt;0),"ERRO","OK"))</f>
        <v>OK</v>
      </c>
      <c r="AV185" s="6" t="n">
        <f aca="false">(10-(LEN(AW185)))+1</f>
        <v>10</v>
      </c>
      <c r="AW185" s="6" t="n">
        <v>0</v>
      </c>
      <c r="AX185" s="6" t="str">
        <f aca="false">IF($J185="NA","NA",IF(AND($J185&gt;1899,AW185&gt;0),"ERRO","OK"))</f>
        <v>OK</v>
      </c>
    </row>
    <row r="186" customFormat="false" ht="15" hidden="false" customHeight="false" outlineLevel="0" collapsed="false">
      <c r="A186" s="7" t="n">
        <v>184</v>
      </c>
      <c r="B186" s="0" t="s">
        <v>203</v>
      </c>
      <c r="C186" s="8" t="n">
        <v>45313</v>
      </c>
      <c r="D186" s="6" t="n">
        <v>0</v>
      </c>
      <c r="E186" s="0" t="s">
        <v>16</v>
      </c>
      <c r="F186" s="0" t="s">
        <v>17</v>
      </c>
      <c r="G186" s="9" t="str">
        <f aca="false">IF(OR(N186="ERRO",Q186="ERRO",T186="ERRO",W186="ERRO",Z186="ERRO",AC186="ERRO",AF186="ERRO",AI186="ERRO",AL186="ERRO",AO186="ERRO",AR186="ERRO",AU186="ERRO",AX186="ERRO"),"ERRO","OK")</f>
        <v>OK</v>
      </c>
      <c r="H186" s="9" t="n">
        <f aca="false">COUNTIF(L186:AX186,"ERRO")</f>
        <v>0</v>
      </c>
      <c r="I186" s="9" t="s">
        <v>18</v>
      </c>
      <c r="J186" s="10" t="n">
        <v>1905</v>
      </c>
      <c r="K186" s="10" t="n">
        <v>1979</v>
      </c>
      <c r="L186" s="6" t="n">
        <f aca="false">(10-(LEN(M186)))+1</f>
        <v>7</v>
      </c>
      <c r="M186" s="6" t="n">
        <v>1374</v>
      </c>
      <c r="N186" s="6" t="str">
        <f aca="false">IF($J186="NA","NA",IF(AND($J186&gt;2019,M186&gt;0),"ERRO","OK"))</f>
        <v>OK</v>
      </c>
      <c r="O186" s="6" t="n">
        <f aca="false">(10-(LEN(P186)))+1</f>
        <v>7</v>
      </c>
      <c r="P186" s="6" t="n">
        <v>1063</v>
      </c>
      <c r="Q186" s="6" t="str">
        <f aca="false">IF($J186="NA","NA",IF(AND($J186&gt;2009,P186&gt;0),"ERRO","OK"))</f>
        <v>OK</v>
      </c>
      <c r="R186" s="6" t="n">
        <f aca="false">(10-(LEN(S186)))+1</f>
        <v>8</v>
      </c>
      <c r="S186" s="6" t="n">
        <v>252</v>
      </c>
      <c r="T186" s="6" t="str">
        <f aca="false">IF($J186="NA","NA",IF(AND($J186&gt;1999,S186&gt;0),"ERRO","OK"))</f>
        <v>OK</v>
      </c>
      <c r="U186" s="6" t="n">
        <f aca="false">(10-(LEN(V186)))+1</f>
        <v>8</v>
      </c>
      <c r="V186" s="6" t="n">
        <v>644</v>
      </c>
      <c r="W186" s="6" t="str">
        <f aca="false">IF($J186="NA","NA",IF(AND($J186&gt;1989,V186&gt;0),"ERRO","OK"))</f>
        <v>OK</v>
      </c>
      <c r="X186" s="6" t="n">
        <f aca="false">(10-(LEN(Y186)))+1</f>
        <v>8</v>
      </c>
      <c r="Y186" s="6" t="n">
        <v>482</v>
      </c>
      <c r="Z186" s="6" t="str">
        <f aca="false">IF($J186="NA","NA",IF(AND($J186&gt;1979,Y186&gt;0),"ERRO","OK"))</f>
        <v>OK</v>
      </c>
      <c r="AA186" s="6" t="n">
        <f aca="false">(10-(LEN(AB186)))+1</f>
        <v>8</v>
      </c>
      <c r="AB186" s="6" t="n">
        <v>527</v>
      </c>
      <c r="AC186" s="6" t="str">
        <f aca="false">IF($J186="NA","NA",IF(AND($J186&gt;1969,AB186&gt;0),"ERRO","OK"))</f>
        <v>OK</v>
      </c>
      <c r="AD186" s="6" t="n">
        <f aca="false">(10-(LEN(AE186)))+1</f>
        <v>7</v>
      </c>
      <c r="AE186" s="6" t="n">
        <v>2512</v>
      </c>
      <c r="AF186" s="6" t="str">
        <f aca="false">IF($J186="NA","NA",IF(AND($J186&gt;1959,AE186&gt;0),"ERRO","OK"))</f>
        <v>OK</v>
      </c>
      <c r="AG186" s="6" t="n">
        <f aca="false">(10-(LEN(AH186)))+1</f>
        <v>8</v>
      </c>
      <c r="AH186" s="6" t="n">
        <v>110</v>
      </c>
      <c r="AI186" s="6" t="str">
        <f aca="false">IF($J186="NA","NA",IF(AND($J186&gt;1949,AH186&gt;0),"ERRO","OK"))</f>
        <v>OK</v>
      </c>
      <c r="AJ186" s="6" t="n">
        <f aca="false">(10-(LEN(AK186)))+1</f>
        <v>10</v>
      </c>
      <c r="AK186" s="6" t="n">
        <v>0</v>
      </c>
      <c r="AL186" s="6" t="str">
        <f aca="false">IF($J186="NA","NA",IF(AND($J186&gt;1939,AK186&gt;0),"ERRO","OK"))</f>
        <v>OK</v>
      </c>
      <c r="AM186" s="6" t="n">
        <f aca="false">(10-(LEN(AN186)))+1</f>
        <v>10</v>
      </c>
      <c r="AN186" s="6" t="n">
        <v>0</v>
      </c>
      <c r="AO186" s="6" t="str">
        <f aca="false">IF($J186="NA","NA",IF(AND($J186&gt;1929,AN186&gt;0),"ERRO","OK"))</f>
        <v>OK</v>
      </c>
      <c r="AP186" s="6" t="n">
        <f aca="false">(10-(LEN(AQ186)))+1</f>
        <v>10</v>
      </c>
      <c r="AQ186" s="6" t="n">
        <v>0</v>
      </c>
      <c r="AR186" s="6" t="str">
        <f aca="false">IF($J186="NA","NA",IF(AND($J186&gt;1919,AQ186&gt;0),"ERRO","OK"))</f>
        <v>OK</v>
      </c>
      <c r="AS186" s="6" t="n">
        <f aca="false">(10-(LEN(AT186)))+1</f>
        <v>10</v>
      </c>
      <c r="AT186" s="6" t="n">
        <v>0</v>
      </c>
      <c r="AU186" s="6" t="str">
        <f aca="false">IF($J186="NA","NA",IF(AND($J186&gt;1909,AT186&gt;0),"ERRO","OK"))</f>
        <v>OK</v>
      </c>
      <c r="AV186" s="6" t="n">
        <f aca="false">(10-(LEN(AW186)))+1</f>
        <v>10</v>
      </c>
      <c r="AW186" s="6" t="n">
        <v>0</v>
      </c>
      <c r="AX186" s="6" t="str">
        <f aca="false">IF($J186="NA","NA",IF(AND($J186&gt;1899,AW186&gt;0),"ERRO","OK"))</f>
        <v>OK</v>
      </c>
    </row>
    <row r="187" customFormat="false" ht="15" hidden="false" customHeight="false" outlineLevel="0" collapsed="false">
      <c r="A187" s="7" t="n">
        <v>185</v>
      </c>
      <c r="B187" s="0" t="s">
        <v>204</v>
      </c>
      <c r="C187" s="8" t="n">
        <v>45313</v>
      </c>
      <c r="D187" s="6" t="n">
        <v>0</v>
      </c>
      <c r="E187" s="0" t="s">
        <v>16</v>
      </c>
      <c r="F187" s="0" t="s">
        <v>17</v>
      </c>
      <c r="G187" s="9" t="str">
        <f aca="false">IF(OR(N187="ERRO",Q187="ERRO",T187="ERRO",W187="ERRO",Z187="ERRO",AC187="ERRO",AF187="ERRO",AI187="ERRO",AL187="ERRO",AO187="ERRO",AR187="ERRO",AU187="ERRO",AX187="ERRO"),"ERRO","OK")</f>
        <v>OK</v>
      </c>
      <c r="H187" s="9" t="n">
        <f aca="false">COUNTIF(L187:AX187,"ERRO")</f>
        <v>0</v>
      </c>
      <c r="I187" s="9" t="s">
        <v>18</v>
      </c>
      <c r="J187" s="10" t="n">
        <v>1907</v>
      </c>
      <c r="K187" s="10" t="n">
        <v>1999</v>
      </c>
      <c r="L187" s="6" t="n">
        <f aca="false">(10-(LEN(M187)))+1</f>
        <v>6</v>
      </c>
      <c r="M187" s="6" t="n">
        <v>18282</v>
      </c>
      <c r="N187" s="6" t="str">
        <f aca="false">IF($J187="NA","NA",IF(AND($J187&gt;2019,M187&gt;0),"ERRO","OK"))</f>
        <v>OK</v>
      </c>
      <c r="O187" s="6" t="n">
        <f aca="false">(10-(LEN(P187)))+1</f>
        <v>6</v>
      </c>
      <c r="P187" s="6" t="n">
        <v>27786</v>
      </c>
      <c r="Q187" s="6" t="str">
        <f aca="false">IF($J187="NA","NA",IF(AND($J187&gt;2009,P187&gt;0),"ERRO","OK"))</f>
        <v>OK</v>
      </c>
      <c r="R187" s="6" t="n">
        <f aca="false">(10-(LEN(S187)))+1</f>
        <v>6</v>
      </c>
      <c r="S187" s="6" t="n">
        <v>35167</v>
      </c>
      <c r="T187" s="6" t="str">
        <f aca="false">IF($J187="NA","NA",IF(AND($J187&gt;1999,S187&gt;0),"ERRO","OK"))</f>
        <v>OK</v>
      </c>
      <c r="U187" s="6" t="n">
        <f aca="false">(10-(LEN(V187)))+1</f>
        <v>6</v>
      </c>
      <c r="V187" s="6" t="n">
        <v>89868</v>
      </c>
      <c r="W187" s="6" t="str">
        <f aca="false">IF($J187="NA","NA",IF(AND($J187&gt;1989,V187&gt;0),"ERRO","OK"))</f>
        <v>OK</v>
      </c>
      <c r="X187" s="6" t="n">
        <f aca="false">(10-(LEN(Y187)))+1</f>
        <v>6</v>
      </c>
      <c r="Y187" s="6" t="n">
        <v>36771</v>
      </c>
      <c r="Z187" s="6" t="str">
        <f aca="false">IF($J187="NA","NA",IF(AND($J187&gt;1979,Y187&gt;0),"ERRO","OK"))</f>
        <v>OK</v>
      </c>
      <c r="AA187" s="6" t="n">
        <f aca="false">(10-(LEN(AB187)))+1</f>
        <v>6</v>
      </c>
      <c r="AB187" s="6" t="n">
        <v>52211</v>
      </c>
      <c r="AC187" s="6" t="str">
        <f aca="false">IF($J187="NA","NA",IF(AND($J187&gt;1969,AB187&gt;0),"ERRO","OK"))</f>
        <v>OK</v>
      </c>
      <c r="AD187" s="6" t="n">
        <f aca="false">(10-(LEN(AE187)))+1</f>
        <v>6</v>
      </c>
      <c r="AE187" s="6" t="n">
        <v>15519</v>
      </c>
      <c r="AF187" s="6" t="str">
        <f aca="false">IF($J187="NA","NA",IF(AND($J187&gt;1959,AE187&gt;0),"ERRO","OK"))</f>
        <v>OK</v>
      </c>
      <c r="AG187" s="6" t="n">
        <f aca="false">(10-(LEN(AH187)))+1</f>
        <v>7</v>
      </c>
      <c r="AH187" s="6" t="n">
        <v>1652</v>
      </c>
      <c r="AI187" s="6" t="str">
        <f aca="false">IF($J187="NA","NA",IF(AND($J187&gt;1949,AH187&gt;0),"ERRO","OK"))</f>
        <v>OK</v>
      </c>
      <c r="AJ187" s="6" t="n">
        <f aca="false">(10-(LEN(AK187)))+1</f>
        <v>6</v>
      </c>
      <c r="AK187" s="6" t="n">
        <v>16015</v>
      </c>
      <c r="AL187" s="6" t="str">
        <f aca="false">IF($J187="NA","NA",IF(AND($J187&gt;1939,AK187&gt;0),"ERRO","OK"))</f>
        <v>OK</v>
      </c>
      <c r="AM187" s="6" t="n">
        <f aca="false">(10-(LEN(AN187)))+1</f>
        <v>8</v>
      </c>
      <c r="AN187" s="6" t="n">
        <v>152</v>
      </c>
      <c r="AO187" s="6" t="str">
        <f aca="false">IF($J187="NA","NA",IF(AND($J187&gt;1929,AN187&gt;0),"ERRO","OK"))</f>
        <v>OK</v>
      </c>
      <c r="AP187" s="6" t="n">
        <f aca="false">(10-(LEN(AQ187)))+1</f>
        <v>10</v>
      </c>
      <c r="AQ187" s="6" t="n">
        <v>0</v>
      </c>
      <c r="AR187" s="6" t="str">
        <f aca="false">IF($J187="NA","NA",IF(AND($J187&gt;1919,AQ187&gt;0),"ERRO","OK"))</f>
        <v>OK</v>
      </c>
      <c r="AS187" s="6" t="n">
        <f aca="false">(10-(LEN(AT187)))+1</f>
        <v>10</v>
      </c>
      <c r="AT187" s="6" t="n">
        <v>0</v>
      </c>
      <c r="AU187" s="6" t="str">
        <f aca="false">IF($J187="NA","NA",IF(AND($J187&gt;1909,AT187&gt;0),"ERRO","OK"))</f>
        <v>OK</v>
      </c>
      <c r="AV187" s="6" t="n">
        <f aca="false">(10-(LEN(AW187)))+1</f>
        <v>10</v>
      </c>
      <c r="AW187" s="6" t="n">
        <v>0</v>
      </c>
      <c r="AX187" s="6" t="str">
        <f aca="false">IF($J187="NA","NA",IF(AND($J187&gt;1899,AW187&gt;0),"ERRO","OK"))</f>
        <v>OK</v>
      </c>
    </row>
    <row r="188" customFormat="false" ht="15" hidden="false" customHeight="false" outlineLevel="0" collapsed="false">
      <c r="A188" s="7" t="n">
        <v>186</v>
      </c>
      <c r="B188" s="0" t="s">
        <v>205</v>
      </c>
      <c r="C188" s="8" t="n">
        <v>45313</v>
      </c>
      <c r="D188" s="6" t="n">
        <v>0</v>
      </c>
      <c r="E188" s="0" t="s">
        <v>16</v>
      </c>
      <c r="F188" s="0" t="s">
        <v>17</v>
      </c>
      <c r="G188" s="9" t="str">
        <f aca="false">IF(OR(N188="ERRO",Q188="ERRO",T188="ERRO",W188="ERRO",Z188="ERRO",AC188="ERRO",AF188="ERRO",AI188="ERRO",AL188="ERRO",AO188="ERRO",AR188="ERRO",AU188="ERRO",AX188="ERRO"),"ERRO","OK")</f>
        <v>ERRO</v>
      </c>
      <c r="H188" s="9" t="n">
        <f aca="false">COUNTIF(L188:AX188,"ERRO")</f>
        <v>2</v>
      </c>
      <c r="I188" s="9" t="s">
        <v>104</v>
      </c>
      <c r="J188" s="10" t="n">
        <v>1919</v>
      </c>
      <c r="K188" s="10" t="n">
        <v>1996</v>
      </c>
      <c r="L188" s="6" t="n">
        <f aca="false">(10-(LEN(M188)))+1</f>
        <v>7</v>
      </c>
      <c r="M188" s="6" t="n">
        <v>1333</v>
      </c>
      <c r="N188" s="6" t="str">
        <f aca="false">IF($J188="NA","NA",IF(AND($J188&gt;2019,M188&gt;0),"ERRO","OK"))</f>
        <v>OK</v>
      </c>
      <c r="O188" s="6" t="n">
        <f aca="false">(10-(LEN(P188)))+1</f>
        <v>7</v>
      </c>
      <c r="P188" s="6" t="n">
        <v>2195</v>
      </c>
      <c r="Q188" s="6" t="str">
        <f aca="false">IF($J188="NA","NA",IF(AND($J188&gt;2009,P188&gt;0),"ERRO","OK"))</f>
        <v>OK</v>
      </c>
      <c r="R188" s="6" t="n">
        <f aca="false">(10-(LEN(S188)))+1</f>
        <v>7</v>
      </c>
      <c r="S188" s="6" t="n">
        <v>2017</v>
      </c>
      <c r="T188" s="6" t="str">
        <f aca="false">IF($J188="NA","NA",IF(AND($J188&gt;1999,S188&gt;0),"ERRO","OK"))</f>
        <v>OK</v>
      </c>
      <c r="U188" s="6" t="n">
        <f aca="false">(10-(LEN(V188)))+1</f>
        <v>7</v>
      </c>
      <c r="V188" s="6" t="n">
        <v>4645</v>
      </c>
      <c r="W188" s="6" t="str">
        <f aca="false">IF($J188="NA","NA",IF(AND($J188&gt;1989,V188&gt;0),"ERRO","OK"))</f>
        <v>OK</v>
      </c>
      <c r="X188" s="6" t="n">
        <f aca="false">(10-(LEN(Y188)))+1</f>
        <v>7</v>
      </c>
      <c r="Y188" s="6" t="n">
        <v>3050</v>
      </c>
      <c r="Z188" s="6" t="str">
        <f aca="false">IF($J188="NA","NA",IF(AND($J188&gt;1979,Y188&gt;0),"ERRO","OK"))</f>
        <v>OK</v>
      </c>
      <c r="AA188" s="6" t="n">
        <f aca="false">(10-(LEN(AB188)))+1</f>
        <v>7</v>
      </c>
      <c r="AB188" s="6" t="n">
        <v>4336</v>
      </c>
      <c r="AC188" s="6" t="str">
        <f aca="false">IF($J188="NA","NA",IF(AND($J188&gt;1969,AB188&gt;0),"ERRO","OK"))</f>
        <v>OK</v>
      </c>
      <c r="AD188" s="6" t="n">
        <f aca="false">(10-(LEN(AE188)))+1</f>
        <v>7</v>
      </c>
      <c r="AE188" s="6" t="n">
        <v>1973</v>
      </c>
      <c r="AF188" s="6" t="str">
        <f aca="false">IF($J188="NA","NA",IF(AND($J188&gt;1959,AE188&gt;0),"ERRO","OK"))</f>
        <v>OK</v>
      </c>
      <c r="AG188" s="6" t="n">
        <f aca="false">(10-(LEN(AH188)))+1</f>
        <v>7</v>
      </c>
      <c r="AH188" s="6" t="n">
        <v>2203</v>
      </c>
      <c r="AI188" s="6" t="str">
        <f aca="false">IF($J188="NA","NA",IF(AND($J188&gt;1949,AH188&gt;0),"ERRO","OK"))</f>
        <v>OK</v>
      </c>
      <c r="AJ188" s="6" t="n">
        <f aca="false">(10-(LEN(AK188)))+1</f>
        <v>7</v>
      </c>
      <c r="AK188" s="6" t="n">
        <v>3064</v>
      </c>
      <c r="AL188" s="6" t="str">
        <f aca="false">IF($J188="NA","NA",IF(AND($J188&gt;1939,AK188&gt;0),"ERRO","OK"))</f>
        <v>OK</v>
      </c>
      <c r="AM188" s="6" t="n">
        <f aca="false">(10-(LEN(AN188)))+1</f>
        <v>7</v>
      </c>
      <c r="AN188" s="6" t="n">
        <v>4265</v>
      </c>
      <c r="AO188" s="6" t="str">
        <f aca="false">IF($J188="NA","NA",IF(AND($J188&gt;1929,AN188&gt;0),"ERRO","OK"))</f>
        <v>OK</v>
      </c>
      <c r="AP188" s="6" t="n">
        <f aca="false">(10-(LEN(AQ188)))+1</f>
        <v>7</v>
      </c>
      <c r="AQ188" s="6" t="n">
        <v>5608</v>
      </c>
      <c r="AR188" s="6" t="str">
        <f aca="false">IF($J188="NA","NA",IF(AND($J188&gt;1919,AQ188&gt;0),"ERRO","OK"))</f>
        <v>OK</v>
      </c>
      <c r="AS188" s="6" t="n">
        <f aca="false">(10-(LEN(AT188)))+1</f>
        <v>7</v>
      </c>
      <c r="AT188" s="6" t="n">
        <v>9591</v>
      </c>
      <c r="AU188" s="6" t="str">
        <f aca="false">IF($J188="NA","NA",IF(AND($J188&gt;1909,AT188&gt;0),"ERRO","OK"))</f>
        <v>ERRO</v>
      </c>
      <c r="AV188" s="6" t="n">
        <f aca="false">(10-(LEN(AW188)))+1</f>
        <v>6</v>
      </c>
      <c r="AW188" s="6" t="n">
        <v>16768</v>
      </c>
      <c r="AX188" s="6" t="str">
        <f aca="false">IF($J188="NA","NA",IF(AND($J188&gt;1899,AW188&gt;0),"ERRO","OK"))</f>
        <v>ERRO</v>
      </c>
    </row>
    <row r="189" customFormat="false" ht="15" hidden="false" customHeight="false" outlineLevel="0" collapsed="false">
      <c r="A189" s="7" t="n">
        <v>187</v>
      </c>
      <c r="B189" s="0" t="s">
        <v>206</v>
      </c>
      <c r="C189" s="8" t="n">
        <v>45313</v>
      </c>
      <c r="D189" s="6" t="n">
        <v>0</v>
      </c>
      <c r="E189" s="0" t="s">
        <v>16</v>
      </c>
      <c r="F189" s="0" t="s">
        <v>17</v>
      </c>
      <c r="G189" s="9" t="str">
        <f aca="false">IF(OR(N189="ERRO",Q189="ERRO",T189="ERRO",W189="ERRO",Z189="ERRO",AC189="ERRO",AF189="ERRO",AI189="ERRO",AL189="ERRO",AO189="ERRO",AR189="ERRO",AU189="ERRO",AX189="ERRO"),"ERRO","OK")</f>
        <v>OK</v>
      </c>
      <c r="H189" s="9" t="n">
        <f aca="false">COUNTIF(L189:AX189,"ERRO")</f>
        <v>0</v>
      </c>
      <c r="I189" s="9" t="s">
        <v>18</v>
      </c>
      <c r="J189" s="10" t="n">
        <v>1900</v>
      </c>
      <c r="K189" s="10" t="n">
        <v>1983</v>
      </c>
      <c r="L189" s="6" t="n">
        <f aca="false">(10-(LEN(M189)))+1</f>
        <v>6</v>
      </c>
      <c r="M189" s="6" t="n">
        <v>14950</v>
      </c>
      <c r="N189" s="6" t="str">
        <f aca="false">IF($J189="NA","NA",IF(AND($J189&gt;2019,M189&gt;0),"ERRO","OK"))</f>
        <v>OK</v>
      </c>
      <c r="O189" s="6" t="n">
        <f aca="false">(10-(LEN(P189)))+1</f>
        <v>6</v>
      </c>
      <c r="P189" s="6" t="n">
        <v>11492</v>
      </c>
      <c r="Q189" s="6" t="str">
        <f aca="false">IF($J189="NA","NA",IF(AND($J189&gt;2009,P189&gt;0),"ERRO","OK"))</f>
        <v>OK</v>
      </c>
      <c r="R189" s="6" t="n">
        <f aca="false">(10-(LEN(S189)))+1</f>
        <v>6</v>
      </c>
      <c r="S189" s="6" t="n">
        <v>16974</v>
      </c>
      <c r="T189" s="6" t="str">
        <f aca="false">IF($J189="NA","NA",IF(AND($J189&gt;1999,S189&gt;0),"ERRO","OK"))</f>
        <v>OK</v>
      </c>
      <c r="U189" s="6" t="n">
        <f aca="false">(10-(LEN(V189)))+1</f>
        <v>6</v>
      </c>
      <c r="V189" s="6" t="n">
        <v>19317</v>
      </c>
      <c r="W189" s="6" t="str">
        <f aca="false">IF($J189="NA","NA",IF(AND($J189&gt;1989,V189&gt;0),"ERRO","OK"))</f>
        <v>OK</v>
      </c>
      <c r="X189" s="6" t="n">
        <f aca="false">(10-(LEN(Y189)))+1</f>
        <v>6</v>
      </c>
      <c r="Y189" s="6" t="n">
        <v>11290</v>
      </c>
      <c r="Z189" s="6" t="str">
        <f aca="false">IF($J189="NA","NA",IF(AND($J189&gt;1979,Y189&gt;0),"ERRO","OK"))</f>
        <v>OK</v>
      </c>
      <c r="AA189" s="6" t="n">
        <f aca="false">(10-(LEN(AB189)))+1</f>
        <v>6</v>
      </c>
      <c r="AB189" s="6" t="n">
        <v>17755</v>
      </c>
      <c r="AC189" s="6" t="str">
        <f aca="false">IF($J189="NA","NA",IF(AND($J189&gt;1969,AB189&gt;0),"ERRO","OK"))</f>
        <v>OK</v>
      </c>
      <c r="AD189" s="6" t="n">
        <f aca="false">(10-(LEN(AE189)))+1</f>
        <v>6</v>
      </c>
      <c r="AE189" s="6" t="n">
        <v>14801</v>
      </c>
      <c r="AF189" s="6" t="str">
        <f aca="false">IF($J189="NA","NA",IF(AND($J189&gt;1959,AE189&gt;0),"ERRO","OK"))</f>
        <v>OK</v>
      </c>
      <c r="AG189" s="6" t="n">
        <f aca="false">(10-(LEN(AH189)))+1</f>
        <v>7</v>
      </c>
      <c r="AH189" s="6" t="n">
        <v>2974</v>
      </c>
      <c r="AI189" s="6" t="str">
        <f aca="false">IF($J189="NA","NA",IF(AND($J189&gt;1949,AH189&gt;0),"ERRO","OK"))</f>
        <v>OK</v>
      </c>
      <c r="AJ189" s="6" t="n">
        <f aca="false">(10-(LEN(AK189)))+1</f>
        <v>6</v>
      </c>
      <c r="AK189" s="6" t="n">
        <v>11419</v>
      </c>
      <c r="AL189" s="6" t="str">
        <f aca="false">IF($J189="NA","NA",IF(AND($J189&gt;1939,AK189&gt;0),"ERRO","OK"))</f>
        <v>OK</v>
      </c>
      <c r="AM189" s="6" t="n">
        <f aca="false">(10-(LEN(AN189)))+1</f>
        <v>10</v>
      </c>
      <c r="AN189" s="6" t="n">
        <v>0</v>
      </c>
      <c r="AO189" s="6" t="str">
        <f aca="false">IF($J189="NA","NA",IF(AND($J189&gt;1929,AN189&gt;0),"ERRO","OK"))</f>
        <v>OK</v>
      </c>
      <c r="AP189" s="6" t="n">
        <f aca="false">(10-(LEN(AQ189)))+1</f>
        <v>10</v>
      </c>
      <c r="AQ189" s="6" t="n">
        <v>0</v>
      </c>
      <c r="AR189" s="6" t="str">
        <f aca="false">IF($J189="NA","NA",IF(AND($J189&gt;1919,AQ189&gt;0),"ERRO","OK"))</f>
        <v>OK</v>
      </c>
      <c r="AS189" s="6" t="n">
        <f aca="false">(10-(LEN(AT189)))+1</f>
        <v>10</v>
      </c>
      <c r="AT189" s="6" t="n">
        <v>0</v>
      </c>
      <c r="AU189" s="6" t="str">
        <f aca="false">IF($J189="NA","NA",IF(AND($J189&gt;1909,AT189&gt;0),"ERRO","OK"))</f>
        <v>OK</v>
      </c>
      <c r="AV189" s="6" t="n">
        <f aca="false">(10-(LEN(AW189)))+1</f>
        <v>10</v>
      </c>
      <c r="AW189" s="6" t="n">
        <v>0</v>
      </c>
      <c r="AX189" s="6" t="str">
        <f aca="false">IF($J189="NA","NA",IF(AND($J189&gt;1899,AW189&gt;0),"ERRO","OK"))</f>
        <v>OK</v>
      </c>
    </row>
    <row r="190" customFormat="false" ht="15" hidden="false" customHeight="false" outlineLevel="0" collapsed="false">
      <c r="A190" s="7" t="n">
        <v>188</v>
      </c>
      <c r="B190" s="0" t="s">
        <v>207</v>
      </c>
      <c r="C190" s="8" t="n">
        <v>45313</v>
      </c>
      <c r="D190" s="6" t="n">
        <v>0</v>
      </c>
      <c r="E190" s="0" t="s">
        <v>16</v>
      </c>
      <c r="F190" s="0" t="s">
        <v>17</v>
      </c>
      <c r="G190" s="9" t="str">
        <f aca="false">IF(OR(N190="ERRO",Q190="ERRO",T190="ERRO",W190="ERRO",Z190="ERRO",AC190="ERRO",AF190="ERRO",AI190="ERRO",AL190="ERRO",AO190="ERRO",AR190="ERRO",AU190="ERRO",AX190="ERRO"),"ERRO","OK")</f>
        <v>OK</v>
      </c>
      <c r="H190" s="9" t="n">
        <f aca="false">COUNTIF(L190:AX190,"ERRO")</f>
        <v>0</v>
      </c>
      <c r="I190" s="9" t="s">
        <v>18</v>
      </c>
      <c r="J190" s="10" t="n">
        <v>1891</v>
      </c>
      <c r="K190" s="10" t="n">
        <v>1977</v>
      </c>
      <c r="L190" s="6" t="n">
        <f aca="false">(10-(LEN(M190)))+1</f>
        <v>8</v>
      </c>
      <c r="M190" s="6" t="n">
        <v>583</v>
      </c>
      <c r="N190" s="6" t="str">
        <f aca="false">IF($J190="NA","NA",IF(AND($J190&gt;2019,M190&gt;0),"ERRO","OK"))</f>
        <v>OK</v>
      </c>
      <c r="O190" s="6" t="n">
        <f aca="false">(10-(LEN(P190)))+1</f>
        <v>8</v>
      </c>
      <c r="P190" s="6" t="n">
        <v>412</v>
      </c>
      <c r="Q190" s="6" t="str">
        <f aca="false">IF($J190="NA","NA",IF(AND($J190&gt;2009,P190&gt;0),"ERRO","OK"))</f>
        <v>OK</v>
      </c>
      <c r="R190" s="6" t="n">
        <f aca="false">(10-(LEN(S190)))+1</f>
        <v>8</v>
      </c>
      <c r="S190" s="6" t="n">
        <v>588</v>
      </c>
      <c r="T190" s="6" t="str">
        <f aca="false">IF($J190="NA","NA",IF(AND($J190&gt;1999,S190&gt;0),"ERRO","OK"))</f>
        <v>OK</v>
      </c>
      <c r="U190" s="6" t="n">
        <f aca="false">(10-(LEN(V190)))+1</f>
        <v>7</v>
      </c>
      <c r="V190" s="6" t="n">
        <v>1150</v>
      </c>
      <c r="W190" s="6" t="str">
        <f aca="false">IF($J190="NA","NA",IF(AND($J190&gt;1989,V190&gt;0),"ERRO","OK"))</f>
        <v>OK</v>
      </c>
      <c r="X190" s="6" t="n">
        <f aca="false">(10-(LEN(Y190)))+1</f>
        <v>7</v>
      </c>
      <c r="Y190" s="6" t="n">
        <v>1445</v>
      </c>
      <c r="Z190" s="6" t="str">
        <f aca="false">IF($J190="NA","NA",IF(AND($J190&gt;1979,Y190&gt;0),"ERRO","OK"))</f>
        <v>OK</v>
      </c>
      <c r="AA190" s="6" t="n">
        <f aca="false">(10-(LEN(AB190)))+1</f>
        <v>8</v>
      </c>
      <c r="AB190" s="6" t="n">
        <v>762</v>
      </c>
      <c r="AC190" s="6" t="str">
        <f aca="false">IF($J190="NA","NA",IF(AND($J190&gt;1969,AB190&gt;0),"ERRO","OK"))</f>
        <v>OK</v>
      </c>
      <c r="AD190" s="6" t="n">
        <f aca="false">(10-(LEN(AE190)))+1</f>
        <v>7</v>
      </c>
      <c r="AE190" s="6" t="n">
        <v>3857</v>
      </c>
      <c r="AF190" s="6" t="str">
        <f aca="false">IF($J190="NA","NA",IF(AND($J190&gt;1959,AE190&gt;0),"ERRO","OK"))</f>
        <v>OK</v>
      </c>
      <c r="AG190" s="6" t="n">
        <f aca="false">(10-(LEN(AH190)))+1</f>
        <v>8</v>
      </c>
      <c r="AH190" s="6" t="n">
        <v>771</v>
      </c>
      <c r="AI190" s="6" t="str">
        <f aca="false">IF($J190="NA","NA",IF(AND($J190&gt;1949,AH190&gt;0),"ERRO","OK"))</f>
        <v>OK</v>
      </c>
      <c r="AJ190" s="6" t="n">
        <f aca="false">(10-(LEN(AK190)))+1</f>
        <v>7</v>
      </c>
      <c r="AK190" s="6" t="n">
        <v>1253</v>
      </c>
      <c r="AL190" s="6" t="str">
        <f aca="false">IF($J190="NA","NA",IF(AND($J190&gt;1939,AK190&gt;0),"ERRO","OK"))</f>
        <v>OK</v>
      </c>
      <c r="AM190" s="6" t="n">
        <f aca="false">(10-(LEN(AN190)))+1</f>
        <v>10</v>
      </c>
      <c r="AN190" s="6" t="n">
        <v>0</v>
      </c>
      <c r="AO190" s="6" t="str">
        <f aca="false">IF($J190="NA","NA",IF(AND($J190&gt;1929,AN190&gt;0),"ERRO","OK"))</f>
        <v>OK</v>
      </c>
      <c r="AP190" s="6" t="n">
        <f aca="false">(10-(LEN(AQ190)))+1</f>
        <v>10</v>
      </c>
      <c r="AQ190" s="6" t="n">
        <v>0</v>
      </c>
      <c r="AR190" s="6" t="str">
        <f aca="false">IF($J190="NA","NA",IF(AND($J190&gt;1919,AQ190&gt;0),"ERRO","OK"))</f>
        <v>OK</v>
      </c>
      <c r="AS190" s="6" t="n">
        <f aca="false">(10-(LEN(AT190)))+1</f>
        <v>10</v>
      </c>
      <c r="AT190" s="6" t="n">
        <v>0</v>
      </c>
      <c r="AU190" s="6" t="str">
        <f aca="false">IF($J190="NA","NA",IF(AND($J190&gt;1909,AT190&gt;0),"ERRO","OK"))</f>
        <v>OK</v>
      </c>
      <c r="AV190" s="6" t="n">
        <f aca="false">(10-(LEN(AW190)))+1</f>
        <v>10</v>
      </c>
      <c r="AW190" s="6" t="n">
        <v>0</v>
      </c>
      <c r="AX190" s="6" t="str">
        <f aca="false">IF($J190="NA","NA",IF(AND($J190&gt;1899,AW190&gt;0),"ERRO","OK"))</f>
        <v>OK</v>
      </c>
    </row>
    <row r="191" customFormat="false" ht="15" hidden="false" customHeight="false" outlineLevel="0" collapsed="false">
      <c r="A191" s="7" t="n">
        <v>189</v>
      </c>
      <c r="B191" s="0" t="s">
        <v>208</v>
      </c>
      <c r="C191" s="8" t="n">
        <v>45313</v>
      </c>
      <c r="D191" s="6" t="n">
        <v>0</v>
      </c>
      <c r="E191" s="0" t="s">
        <v>16</v>
      </c>
      <c r="F191" s="0" t="s">
        <v>17</v>
      </c>
      <c r="G191" s="9" t="str">
        <f aca="false">IF(OR(N191="ERRO",Q191="ERRO",T191="ERRO",W191="ERRO",Z191="ERRO",AC191="ERRO",AF191="ERRO",AI191="ERRO",AL191="ERRO",AO191="ERRO",AR191="ERRO",AU191="ERRO",AX191="ERRO"),"ERRO","OK")</f>
        <v>OK</v>
      </c>
      <c r="H191" s="9" t="n">
        <f aca="false">COUNTIF(L191:AX191,"ERRO")</f>
        <v>0</v>
      </c>
      <c r="I191" s="9" t="s">
        <v>18</v>
      </c>
      <c r="J191" s="10" t="n">
        <v>1888</v>
      </c>
      <c r="K191" s="10" t="n">
        <v>1955</v>
      </c>
      <c r="L191" s="6" t="n">
        <f aca="false">(10-(LEN(M191)))+1</f>
        <v>7</v>
      </c>
      <c r="M191" s="6" t="n">
        <v>4164</v>
      </c>
      <c r="N191" s="6" t="str">
        <f aca="false">IF($J191="NA","NA",IF(AND($J191&gt;2019,M191&gt;0),"ERRO","OK"))</f>
        <v>OK</v>
      </c>
      <c r="O191" s="6" t="n">
        <f aca="false">(10-(LEN(P191)))+1</f>
        <v>7</v>
      </c>
      <c r="P191" s="6" t="n">
        <v>4736</v>
      </c>
      <c r="Q191" s="6" t="str">
        <f aca="false">IF($J191="NA","NA",IF(AND($J191&gt;2009,P191&gt;0),"ERRO","OK"))</f>
        <v>OK</v>
      </c>
      <c r="R191" s="6" t="n">
        <f aca="false">(10-(LEN(S191)))+1</f>
        <v>6</v>
      </c>
      <c r="S191" s="6" t="n">
        <v>11302</v>
      </c>
      <c r="T191" s="6" t="str">
        <f aca="false">IF($J191="NA","NA",IF(AND($J191&gt;1999,S191&gt;0),"ERRO","OK"))</f>
        <v>OK</v>
      </c>
      <c r="U191" s="6" t="n">
        <f aca="false">(10-(LEN(V191)))+1</f>
        <v>6</v>
      </c>
      <c r="V191" s="6" t="n">
        <v>15637</v>
      </c>
      <c r="W191" s="6" t="str">
        <f aca="false">IF($J191="NA","NA",IF(AND($J191&gt;1989,V191&gt;0),"ERRO","OK"))</f>
        <v>OK</v>
      </c>
      <c r="X191" s="6" t="n">
        <f aca="false">(10-(LEN(Y191)))+1</f>
        <v>6</v>
      </c>
      <c r="Y191" s="6" t="n">
        <v>22099</v>
      </c>
      <c r="Z191" s="6" t="str">
        <f aca="false">IF($J191="NA","NA",IF(AND($J191&gt;1979,Y191&gt;0),"ERRO","OK"))</f>
        <v>OK</v>
      </c>
      <c r="AA191" s="6" t="n">
        <f aca="false">(10-(LEN(AB191)))+1</f>
        <v>6</v>
      </c>
      <c r="AB191" s="6" t="n">
        <v>17814</v>
      </c>
      <c r="AC191" s="6" t="str">
        <f aca="false">IF($J191="NA","NA",IF(AND($J191&gt;1969,AB191&gt;0),"ERRO","OK"))</f>
        <v>OK</v>
      </c>
      <c r="AD191" s="6" t="n">
        <f aca="false">(10-(LEN(AE191)))+1</f>
        <v>6</v>
      </c>
      <c r="AE191" s="6" t="n">
        <v>21080</v>
      </c>
      <c r="AF191" s="6" t="str">
        <f aca="false">IF($J191="NA","NA",IF(AND($J191&gt;1959,AE191&gt;0),"ERRO","OK"))</f>
        <v>OK</v>
      </c>
      <c r="AG191" s="6" t="n">
        <f aca="false">(10-(LEN(AH191)))+1</f>
        <v>6</v>
      </c>
      <c r="AH191" s="6" t="n">
        <v>29737</v>
      </c>
      <c r="AI191" s="6" t="str">
        <f aca="false">IF($J191="NA","NA",IF(AND($J191&gt;1949,AH191&gt;0),"ERRO","OK"))</f>
        <v>OK</v>
      </c>
      <c r="AJ191" s="6" t="n">
        <f aca="false">(10-(LEN(AK191)))+1</f>
        <v>6</v>
      </c>
      <c r="AK191" s="6" t="n">
        <v>40803</v>
      </c>
      <c r="AL191" s="6" t="str">
        <f aca="false">IF($J191="NA","NA",IF(AND($J191&gt;1939,AK191&gt;0),"ERRO","OK"))</f>
        <v>OK</v>
      </c>
      <c r="AM191" s="6" t="n">
        <f aca="false">(10-(LEN(AN191)))+1</f>
        <v>6</v>
      </c>
      <c r="AN191" s="6" t="n">
        <v>58038</v>
      </c>
      <c r="AO191" s="6" t="str">
        <f aca="false">IF($J191="NA","NA",IF(AND($J191&gt;1929,AN191&gt;0),"ERRO","OK"))</f>
        <v>OK</v>
      </c>
      <c r="AP191" s="6" t="n">
        <f aca="false">(10-(LEN(AQ191)))+1</f>
        <v>6</v>
      </c>
      <c r="AQ191" s="6" t="n">
        <v>27737</v>
      </c>
      <c r="AR191" s="6" t="str">
        <f aca="false">IF($J191="NA","NA",IF(AND($J191&gt;1919,AQ191&gt;0),"ERRO","OK"))</f>
        <v>OK</v>
      </c>
      <c r="AS191" s="6" t="n">
        <f aca="false">(10-(LEN(AT191)))+1</f>
        <v>7</v>
      </c>
      <c r="AT191" s="6" t="n">
        <v>1547</v>
      </c>
      <c r="AU191" s="6" t="str">
        <f aca="false">IF($J191="NA","NA",IF(AND($J191&gt;1909,AT191&gt;0),"ERRO","OK"))</f>
        <v>OK</v>
      </c>
      <c r="AV191" s="6" t="n">
        <f aca="false">(10-(LEN(AW191)))+1</f>
        <v>8</v>
      </c>
      <c r="AW191" s="6" t="n">
        <v>645</v>
      </c>
      <c r="AX191" s="6" t="str">
        <f aca="false">IF($J191="NA","NA",IF(AND($J191&gt;1899,AW191&gt;0),"ERRO","OK"))</f>
        <v>OK</v>
      </c>
    </row>
    <row r="192" customFormat="false" ht="15" hidden="false" customHeight="false" outlineLevel="0" collapsed="false">
      <c r="A192" s="7" t="n">
        <v>190</v>
      </c>
      <c r="B192" s="0" t="s">
        <v>209</v>
      </c>
      <c r="C192" s="8" t="n">
        <v>45313</v>
      </c>
      <c r="D192" s="6" t="n">
        <v>0</v>
      </c>
      <c r="E192" s="0" t="s">
        <v>16</v>
      </c>
      <c r="F192" s="0" t="s">
        <v>17</v>
      </c>
      <c r="G192" s="9" t="str">
        <f aca="false">IF(OR(N192="ERRO",Q192="ERRO",T192="ERRO",W192="ERRO",Z192="ERRO",AC192="ERRO",AF192="ERRO",AI192="ERRO",AL192="ERRO",AO192="ERRO",AR192="ERRO",AU192="ERRO",AX192="ERRO"),"ERRO","OK")</f>
        <v>OK</v>
      </c>
      <c r="H192" s="9" t="n">
        <f aca="false">COUNTIF(L192:AX192,"ERRO")</f>
        <v>0</v>
      </c>
      <c r="I192" s="9" t="s">
        <v>18</v>
      </c>
      <c r="J192" s="10" t="n">
        <v>1897</v>
      </c>
      <c r="K192" s="10" t="n">
        <v>1977</v>
      </c>
      <c r="L192" s="6" t="n">
        <f aca="false">(10-(LEN(M192)))+1</f>
        <v>7</v>
      </c>
      <c r="M192" s="6" t="n">
        <v>1582</v>
      </c>
      <c r="N192" s="6" t="str">
        <f aca="false">IF($J192="NA","NA",IF(AND($J192&gt;2019,M192&gt;0),"ERRO","OK"))</f>
        <v>OK</v>
      </c>
      <c r="O192" s="6" t="n">
        <f aca="false">(10-(LEN(P192)))+1</f>
        <v>7</v>
      </c>
      <c r="P192" s="6" t="n">
        <v>1578</v>
      </c>
      <c r="Q192" s="6" t="str">
        <f aca="false">IF($J192="NA","NA",IF(AND($J192&gt;2009,P192&gt;0),"ERRO","OK"))</f>
        <v>OK</v>
      </c>
      <c r="R192" s="6" t="n">
        <f aca="false">(10-(LEN(S192)))+1</f>
        <v>8</v>
      </c>
      <c r="S192" s="6" t="n">
        <v>420</v>
      </c>
      <c r="T192" s="6" t="str">
        <f aca="false">IF($J192="NA","NA",IF(AND($J192&gt;1999,S192&gt;0),"ERRO","OK"))</f>
        <v>OK</v>
      </c>
      <c r="U192" s="6" t="n">
        <f aca="false">(10-(LEN(V192)))+1</f>
        <v>7</v>
      </c>
      <c r="V192" s="6" t="n">
        <v>1058</v>
      </c>
      <c r="W192" s="6" t="str">
        <f aca="false">IF($J192="NA","NA",IF(AND($J192&gt;1989,V192&gt;0),"ERRO","OK"))</f>
        <v>OK</v>
      </c>
      <c r="X192" s="6" t="n">
        <f aca="false">(10-(LEN(Y192)))+1</f>
        <v>8</v>
      </c>
      <c r="Y192" s="6" t="n">
        <v>696</v>
      </c>
      <c r="Z192" s="6" t="str">
        <f aca="false">IF($J192="NA","NA",IF(AND($J192&gt;1979,Y192&gt;0),"ERRO","OK"))</f>
        <v>OK</v>
      </c>
      <c r="AA192" s="6" t="n">
        <f aca="false">(10-(LEN(AB192)))+1</f>
        <v>8</v>
      </c>
      <c r="AB192" s="6" t="n">
        <v>762</v>
      </c>
      <c r="AC192" s="6" t="str">
        <f aca="false">IF($J192="NA","NA",IF(AND($J192&gt;1969,AB192&gt;0),"ERRO","OK"))</f>
        <v>OK</v>
      </c>
      <c r="AD192" s="6" t="n">
        <f aca="false">(10-(LEN(AE192)))+1</f>
        <v>7</v>
      </c>
      <c r="AE192" s="6" t="n">
        <v>3409</v>
      </c>
      <c r="AF192" s="6" t="str">
        <f aca="false">IF($J192="NA","NA",IF(AND($J192&gt;1959,AE192&gt;0),"ERRO","OK"))</f>
        <v>OK</v>
      </c>
      <c r="AG192" s="6" t="n">
        <f aca="false">(10-(LEN(AH192)))+1</f>
        <v>7</v>
      </c>
      <c r="AH192" s="6" t="n">
        <v>1322</v>
      </c>
      <c r="AI192" s="6" t="str">
        <f aca="false">IF($J192="NA","NA",IF(AND($J192&gt;1949,AH192&gt;0),"ERRO","OK"))</f>
        <v>OK</v>
      </c>
      <c r="AJ192" s="6" t="n">
        <f aca="false">(10-(LEN(AK192)))+1</f>
        <v>7</v>
      </c>
      <c r="AK192" s="6" t="n">
        <v>1253</v>
      </c>
      <c r="AL192" s="6" t="str">
        <f aca="false">IF($J192="NA","NA",IF(AND($J192&gt;1939,AK192&gt;0),"ERRO","OK"))</f>
        <v>OK</v>
      </c>
      <c r="AM192" s="6" t="n">
        <f aca="false">(10-(LEN(AN192)))+1</f>
        <v>10</v>
      </c>
      <c r="AN192" s="6" t="n">
        <v>0</v>
      </c>
      <c r="AO192" s="6" t="str">
        <f aca="false">IF($J192="NA","NA",IF(AND($J192&gt;1929,AN192&gt;0),"ERRO","OK"))</f>
        <v>OK</v>
      </c>
      <c r="AP192" s="6" t="n">
        <f aca="false">(10-(LEN(AQ192)))+1</f>
        <v>8</v>
      </c>
      <c r="AQ192" s="6" t="n">
        <v>501</v>
      </c>
      <c r="AR192" s="6" t="str">
        <f aca="false">IF($J192="NA","NA",IF(AND($J192&gt;1919,AQ192&gt;0),"ERRO","OK"))</f>
        <v>OK</v>
      </c>
      <c r="AS192" s="6" t="n">
        <f aca="false">(10-(LEN(AT192)))+1</f>
        <v>10</v>
      </c>
      <c r="AT192" s="6" t="n">
        <v>0</v>
      </c>
      <c r="AU192" s="6" t="str">
        <f aca="false">IF($J192="NA","NA",IF(AND($J192&gt;1909,AT192&gt;0),"ERRO","OK"))</f>
        <v>OK</v>
      </c>
      <c r="AV192" s="6" t="n">
        <f aca="false">(10-(LEN(AW192)))+1</f>
        <v>8</v>
      </c>
      <c r="AW192" s="6" t="n">
        <v>129</v>
      </c>
      <c r="AX192" s="6" t="str">
        <f aca="false">IF($J192="NA","NA",IF(AND($J192&gt;1899,AW192&gt;0),"ERRO","OK"))</f>
        <v>OK</v>
      </c>
    </row>
    <row r="193" customFormat="false" ht="15" hidden="false" customHeight="false" outlineLevel="0" collapsed="false">
      <c r="A193" s="7" t="n">
        <v>191</v>
      </c>
      <c r="B193" s="0" t="s">
        <v>210</v>
      </c>
      <c r="C193" s="8" t="n">
        <v>45314</v>
      </c>
      <c r="D193" s="6" t="n">
        <v>0</v>
      </c>
      <c r="E193" s="0" t="s">
        <v>16</v>
      </c>
      <c r="F193" s="0" t="s">
        <v>17</v>
      </c>
      <c r="G193" s="9" t="str">
        <f aca="false">IF(OR(N193="ERRO",Q193="ERRO",T193="ERRO",W193="ERRO",Z193="ERRO",AC193="ERRO",AF193="ERRO",AI193="ERRO",AL193="ERRO",AO193="ERRO",AR193="ERRO",AU193="ERRO",AX193="ERRO"),"ERRO","OK")</f>
        <v>ERRO</v>
      </c>
      <c r="H193" s="9" t="n">
        <f aca="false">COUNTIF(L193:AX193,"ERRO")</f>
        <v>1</v>
      </c>
      <c r="I193" s="9" t="s">
        <v>18</v>
      </c>
      <c r="J193" s="10" t="n">
        <v>1928</v>
      </c>
      <c r="K193" s="10" t="n">
        <v>2007</v>
      </c>
      <c r="L193" s="6" t="n">
        <f aca="false">(10-(LEN(M193)))+1</f>
        <v>8</v>
      </c>
      <c r="M193" s="6" t="n">
        <v>125</v>
      </c>
      <c r="N193" s="6" t="str">
        <f aca="false">IF($J193="NA","NA",IF(AND($J193&gt;2019,M193&gt;0),"ERRO","OK"))</f>
        <v>OK</v>
      </c>
      <c r="O193" s="6" t="n">
        <f aca="false">(10-(LEN(P193)))+1</f>
        <v>8</v>
      </c>
      <c r="P193" s="6" t="n">
        <v>137</v>
      </c>
      <c r="Q193" s="6" t="str">
        <f aca="false">IF($J193="NA","NA",IF(AND($J193&gt;2009,P193&gt;0),"ERRO","OK"))</f>
        <v>OK</v>
      </c>
      <c r="R193" s="6" t="n">
        <f aca="false">(10-(LEN(S193)))+1</f>
        <v>8</v>
      </c>
      <c r="S193" s="6" t="n">
        <v>378</v>
      </c>
      <c r="T193" s="6" t="str">
        <f aca="false">IF($J193="NA","NA",IF(AND($J193&gt;1999,S193&gt;0),"ERRO","OK"))</f>
        <v>OK</v>
      </c>
      <c r="U193" s="6" t="n">
        <f aca="false">(10-(LEN(V193)))+1</f>
        <v>8</v>
      </c>
      <c r="V193" s="6" t="n">
        <v>138</v>
      </c>
      <c r="W193" s="6" t="str">
        <f aca="false">IF($J193="NA","NA",IF(AND($J193&gt;1989,V193&gt;0),"ERRO","OK"))</f>
        <v>OK</v>
      </c>
      <c r="X193" s="6" t="n">
        <f aca="false">(10-(LEN(Y193)))+1</f>
        <v>10</v>
      </c>
      <c r="Y193" s="6" t="n">
        <v>0</v>
      </c>
      <c r="Z193" s="6" t="str">
        <f aca="false">IF($J193="NA","NA",IF(AND($J193&gt;1979,Y193&gt;0),"ERRO","OK"))</f>
        <v>OK</v>
      </c>
      <c r="AA193" s="6" t="n">
        <f aca="false">(10-(LEN(AB193)))+1</f>
        <v>8</v>
      </c>
      <c r="AB193" s="6" t="n">
        <v>176</v>
      </c>
      <c r="AC193" s="6" t="str">
        <f aca="false">IF($J193="NA","NA",IF(AND($J193&gt;1969,AB193&gt;0),"ERRO","OK"))</f>
        <v>OK</v>
      </c>
      <c r="AD193" s="6" t="n">
        <f aca="false">(10-(LEN(AE193)))+1</f>
        <v>8</v>
      </c>
      <c r="AE193" s="6" t="n">
        <v>359</v>
      </c>
      <c r="AF193" s="6" t="str">
        <f aca="false">IF($J193="NA","NA",IF(AND($J193&gt;1959,AE193&gt;0),"ERRO","OK"))</f>
        <v>OK</v>
      </c>
      <c r="AG193" s="6" t="n">
        <f aca="false">(10-(LEN(AH193)))+1</f>
        <v>10</v>
      </c>
      <c r="AH193" s="6" t="n">
        <v>0</v>
      </c>
      <c r="AI193" s="6" t="str">
        <f aca="false">IF($J193="NA","NA",IF(AND($J193&gt;1949,AH193&gt;0),"ERRO","OK"))</f>
        <v>OK</v>
      </c>
      <c r="AJ193" s="6" t="n">
        <f aca="false">(10-(LEN(AK193)))+1</f>
        <v>10</v>
      </c>
      <c r="AK193" s="6" t="n">
        <v>0</v>
      </c>
      <c r="AL193" s="6" t="str">
        <f aca="false">IF($J193="NA","NA",IF(AND($J193&gt;1939,AK193&gt;0),"ERRO","OK"))</f>
        <v>OK</v>
      </c>
      <c r="AM193" s="6" t="n">
        <f aca="false">(10-(LEN(AN193)))+1</f>
        <v>10</v>
      </c>
      <c r="AN193" s="6" t="n">
        <v>0</v>
      </c>
      <c r="AO193" s="6" t="str">
        <f aca="false">IF($J193="NA","NA",IF(AND($J193&gt;1929,AN193&gt;0),"ERRO","OK"))</f>
        <v>OK</v>
      </c>
      <c r="AP193" s="6" t="n">
        <f aca="false">(10-(LEN(AQ193)))+1</f>
        <v>8</v>
      </c>
      <c r="AQ193" s="6" t="n">
        <v>200</v>
      </c>
      <c r="AR193" s="6" t="str">
        <f aca="false">IF($J193="NA","NA",IF(AND($J193&gt;1919,AQ193&gt;0),"ERRO","OK"))</f>
        <v>ERRO</v>
      </c>
      <c r="AS193" s="6" t="n">
        <f aca="false">(10-(LEN(AT193)))+1</f>
        <v>10</v>
      </c>
      <c r="AT193" s="6" t="n">
        <v>0</v>
      </c>
      <c r="AU193" s="6" t="str">
        <f aca="false">IF($J193="NA","NA",IF(AND($J193&gt;1909,AT193&gt;0),"ERRO","OK"))</f>
        <v>OK</v>
      </c>
      <c r="AV193" s="6" t="n">
        <f aca="false">(10-(LEN(AW193)))+1</f>
        <v>10</v>
      </c>
      <c r="AW193" s="6" t="n">
        <v>0</v>
      </c>
      <c r="AX193" s="6" t="str">
        <f aca="false">IF($J193="NA","NA",IF(AND($J193&gt;1899,AW193&gt;0),"ERRO","OK"))</f>
        <v>OK</v>
      </c>
    </row>
    <row r="194" customFormat="false" ht="15" hidden="false" customHeight="false" outlineLevel="0" collapsed="false">
      <c r="A194" s="7" t="n">
        <v>192</v>
      </c>
      <c r="B194" s="0" t="s">
        <v>211</v>
      </c>
      <c r="C194" s="8" t="n">
        <v>45314</v>
      </c>
      <c r="D194" s="6" t="n">
        <v>0</v>
      </c>
      <c r="E194" s="0" t="s">
        <v>16</v>
      </c>
      <c r="F194" s="0" t="s">
        <v>17</v>
      </c>
      <c r="G194" s="9" t="str">
        <f aca="false">IF(OR(N194="ERRO",Q194="ERRO",T194="ERRO",W194="ERRO",Z194="ERRO",AC194="ERRO",AF194="ERRO",AI194="ERRO",AL194="ERRO",AO194="ERRO",AR194="ERRO",AU194="ERRO",AX194="ERRO"),"ERRO","OK")</f>
        <v>OK</v>
      </c>
      <c r="H194" s="9" t="n">
        <f aca="false">COUNTIF(L194:AX194,"ERRO")</f>
        <v>0</v>
      </c>
      <c r="I194" s="9" t="s">
        <v>18</v>
      </c>
      <c r="J194" s="10" t="n">
        <v>1885</v>
      </c>
      <c r="K194" s="10" t="n">
        <v>1964</v>
      </c>
      <c r="L194" s="6" t="n">
        <f aca="false">(10-(LEN(M194)))+1</f>
        <v>9</v>
      </c>
      <c r="M194" s="6" t="n">
        <v>44</v>
      </c>
      <c r="N194" s="6" t="str">
        <f aca="false">IF($J194="NA","NA",IF(AND($J194&gt;2019,M194&gt;0),"ERRO","OK"))</f>
        <v>OK</v>
      </c>
      <c r="O194" s="6" t="n">
        <f aca="false">(10-(LEN(P194)))+1</f>
        <v>8</v>
      </c>
      <c r="P194" s="6" t="n">
        <v>396</v>
      </c>
      <c r="Q194" s="6" t="str">
        <f aca="false">IF($J194="NA","NA",IF(AND($J194&gt;2009,P194&gt;0),"ERRO","OK"))</f>
        <v>OK</v>
      </c>
      <c r="R194" s="6" t="n">
        <f aca="false">(10-(LEN(S194)))+1</f>
        <v>7</v>
      </c>
      <c r="S194" s="6" t="n">
        <v>1147</v>
      </c>
      <c r="T194" s="6" t="str">
        <f aca="false">IF($J194="NA","NA",IF(AND($J194&gt;1999,S194&gt;0),"ERRO","OK"))</f>
        <v>OK</v>
      </c>
      <c r="U194" s="6" t="n">
        <f aca="false">(10-(LEN(V194)))+1</f>
        <v>8</v>
      </c>
      <c r="V194" s="6" t="n">
        <v>339</v>
      </c>
      <c r="W194" s="6" t="str">
        <f aca="false">IF($J194="NA","NA",IF(AND($J194&gt;1989,V194&gt;0),"ERRO","OK"))</f>
        <v>OK</v>
      </c>
      <c r="X194" s="6" t="n">
        <f aca="false">(10-(LEN(Y194)))+1</f>
        <v>7</v>
      </c>
      <c r="Y194" s="6" t="n">
        <v>1575</v>
      </c>
      <c r="Z194" s="6" t="str">
        <f aca="false">IF($J194="NA","NA",IF(AND($J194&gt;1979,Y194&gt;0),"ERRO","OK"))</f>
        <v>OK</v>
      </c>
      <c r="AA194" s="6" t="n">
        <f aca="false">(10-(LEN(AB194)))+1</f>
        <v>8</v>
      </c>
      <c r="AB194" s="6" t="n">
        <v>985</v>
      </c>
      <c r="AC194" s="6" t="str">
        <f aca="false">IF($J194="NA","NA",IF(AND($J194&gt;1969,AB194&gt;0),"ERRO","OK"))</f>
        <v>OK</v>
      </c>
      <c r="AD194" s="6" t="n">
        <f aca="false">(10-(LEN(AE194)))+1</f>
        <v>6</v>
      </c>
      <c r="AE194" s="6" t="n">
        <v>12162</v>
      </c>
      <c r="AF194" s="6" t="str">
        <f aca="false">IF($J194="NA","NA",IF(AND($J194&gt;1959,AE194&gt;0),"ERRO","OK"))</f>
        <v>OK</v>
      </c>
      <c r="AG194" s="6" t="n">
        <f aca="false">(10-(LEN(AH194)))+1</f>
        <v>8</v>
      </c>
      <c r="AH194" s="6" t="n">
        <v>927</v>
      </c>
      <c r="AI194" s="6" t="str">
        <f aca="false">IF($J194="NA","NA",IF(AND($J194&gt;1949,AH194&gt;0),"ERRO","OK"))</f>
        <v>OK</v>
      </c>
      <c r="AJ194" s="6" t="n">
        <f aca="false">(10-(LEN(AK194)))+1</f>
        <v>7</v>
      </c>
      <c r="AK194" s="6" t="n">
        <v>5862</v>
      </c>
      <c r="AL194" s="6" t="str">
        <f aca="false">IF($J194="NA","NA",IF(AND($J194&gt;1939,AK194&gt;0),"ERRO","OK"))</f>
        <v>OK</v>
      </c>
      <c r="AM194" s="6" t="n">
        <f aca="false">(10-(LEN(AN194)))+1</f>
        <v>8</v>
      </c>
      <c r="AN194" s="6" t="n">
        <v>160</v>
      </c>
      <c r="AO194" s="6" t="str">
        <f aca="false">IF($J194="NA","NA",IF(AND($J194&gt;1929,AN194&gt;0),"ERRO","OK"))</f>
        <v>OK</v>
      </c>
      <c r="AP194" s="6" t="n">
        <f aca="false">(10-(LEN(AQ194)))+1</f>
        <v>8</v>
      </c>
      <c r="AQ194" s="6" t="n">
        <v>948</v>
      </c>
      <c r="AR194" s="6" t="str">
        <f aca="false">IF($J194="NA","NA",IF(AND($J194&gt;1919,AQ194&gt;0),"ERRO","OK"))</f>
        <v>OK</v>
      </c>
      <c r="AS194" s="6" t="n">
        <f aca="false">(10-(LEN(AT194)))+1</f>
        <v>10</v>
      </c>
      <c r="AT194" s="6" t="n">
        <v>0</v>
      </c>
      <c r="AU194" s="6" t="str">
        <f aca="false">IF($J194="NA","NA",IF(AND($J194&gt;1909,AT194&gt;0),"ERRO","OK"))</f>
        <v>OK</v>
      </c>
      <c r="AV194" s="6" t="n">
        <f aca="false">(10-(LEN(AW194)))+1</f>
        <v>8</v>
      </c>
      <c r="AW194" s="6" t="n">
        <v>136</v>
      </c>
      <c r="AX194" s="6" t="str">
        <f aca="false">IF($J194="NA","NA",IF(AND($J194&gt;1899,AW194&gt;0),"ERRO","OK"))</f>
        <v>OK</v>
      </c>
    </row>
    <row r="195" customFormat="false" ht="15" hidden="false" customHeight="false" outlineLevel="0" collapsed="false">
      <c r="A195" s="7" t="n">
        <v>193</v>
      </c>
      <c r="B195" s="0" t="s">
        <v>212</v>
      </c>
      <c r="C195" s="8" t="n">
        <v>45314</v>
      </c>
      <c r="D195" s="6" t="n">
        <v>0</v>
      </c>
      <c r="E195" s="0" t="s">
        <v>16</v>
      </c>
      <c r="F195" s="0" t="s">
        <v>17</v>
      </c>
      <c r="G195" s="9" t="str">
        <f aca="false">IF(OR(N195="ERRO",Q195="ERRO",T195="ERRO",W195="ERRO",Z195="ERRO",AC195="ERRO",AF195="ERRO",AI195="ERRO",AL195="ERRO",AO195="ERRO",AR195="ERRO",AU195="ERRO",AX195="ERRO"),"ERRO","OK")</f>
        <v>OK</v>
      </c>
      <c r="H195" s="9" t="n">
        <f aca="false">COUNTIF(L195:AX195,"ERRO")</f>
        <v>0</v>
      </c>
      <c r="I195" s="9" t="s">
        <v>18</v>
      </c>
      <c r="J195" s="10" t="n">
        <v>1904</v>
      </c>
      <c r="K195" s="10" t="n">
        <v>1976</v>
      </c>
      <c r="L195" s="6" t="n">
        <f aca="false">(10-(LEN(M195)))+1</f>
        <v>8</v>
      </c>
      <c r="M195" s="6" t="n">
        <v>701</v>
      </c>
      <c r="N195" s="6" t="str">
        <f aca="false">IF($J195="NA","NA",IF(AND($J195&gt;2019,M195&gt;0),"ERRO","OK"))</f>
        <v>OK</v>
      </c>
      <c r="O195" s="6" t="n">
        <f aca="false">(10-(LEN(P195)))+1</f>
        <v>7</v>
      </c>
      <c r="P195" s="6" t="n">
        <v>2882</v>
      </c>
      <c r="Q195" s="6" t="str">
        <f aca="false">IF($J195="NA","NA",IF(AND($J195&gt;2009,P195&gt;0),"ERRO","OK"))</f>
        <v>OK</v>
      </c>
      <c r="R195" s="6" t="n">
        <f aca="false">(10-(LEN(S195)))+1</f>
        <v>7</v>
      </c>
      <c r="S195" s="6" t="n">
        <v>2382</v>
      </c>
      <c r="T195" s="6" t="str">
        <f aca="false">IF($J195="NA","NA",IF(AND($J195&gt;1999,S195&gt;0),"ERRO","OK"))</f>
        <v>OK</v>
      </c>
      <c r="U195" s="6" t="n">
        <f aca="false">(10-(LEN(V195)))+1</f>
        <v>7</v>
      </c>
      <c r="V195" s="6" t="n">
        <v>2708</v>
      </c>
      <c r="W195" s="6" t="str">
        <f aca="false">IF($J195="NA","NA",IF(AND($J195&gt;1989,V195&gt;0),"ERRO","OK"))</f>
        <v>OK</v>
      </c>
      <c r="X195" s="6" t="n">
        <f aca="false">(10-(LEN(Y195)))+1</f>
        <v>7</v>
      </c>
      <c r="Y195" s="6" t="n">
        <v>4388</v>
      </c>
      <c r="Z195" s="6" t="str">
        <f aca="false">IF($J195="NA","NA",IF(AND($J195&gt;1979,Y195&gt;0),"ERRO","OK"))</f>
        <v>OK</v>
      </c>
      <c r="AA195" s="6" t="n">
        <f aca="false">(10-(LEN(AB195)))+1</f>
        <v>7</v>
      </c>
      <c r="AB195" s="6" t="n">
        <v>4432</v>
      </c>
      <c r="AC195" s="6" t="str">
        <f aca="false">IF($J195="NA","NA",IF(AND($J195&gt;1969,AB195&gt;0),"ERRO","OK"))</f>
        <v>OK</v>
      </c>
      <c r="AD195" s="6" t="n">
        <f aca="false">(10-(LEN(AE195)))+1</f>
        <v>7</v>
      </c>
      <c r="AE195" s="6" t="n">
        <v>4808</v>
      </c>
      <c r="AF195" s="6" t="str">
        <f aca="false">IF($J195="NA","NA",IF(AND($J195&gt;1959,AE195&gt;0),"ERRO","OK"))</f>
        <v>OK</v>
      </c>
      <c r="AG195" s="6" t="n">
        <f aca="false">(10-(LEN(AH195)))+1</f>
        <v>6</v>
      </c>
      <c r="AH195" s="6" t="n">
        <v>15638</v>
      </c>
      <c r="AI195" s="6" t="str">
        <f aca="false">IF($J195="NA","NA",IF(AND($J195&gt;1949,AH195&gt;0),"ERRO","OK"))</f>
        <v>OK</v>
      </c>
      <c r="AJ195" s="6" t="n">
        <f aca="false">(10-(LEN(AK195)))+1</f>
        <v>6</v>
      </c>
      <c r="AK195" s="6" t="n">
        <v>41624</v>
      </c>
      <c r="AL195" s="6" t="str">
        <f aca="false">IF($J195="NA","NA",IF(AND($J195&gt;1939,AK195&gt;0),"ERRO","OK"))</f>
        <v>OK</v>
      </c>
      <c r="AM195" s="6" t="n">
        <f aca="false">(10-(LEN(AN195)))+1</f>
        <v>7</v>
      </c>
      <c r="AN195" s="6" t="n">
        <v>3370</v>
      </c>
      <c r="AO195" s="6" t="str">
        <f aca="false">IF($J195="NA","NA",IF(AND($J195&gt;1929,AN195&gt;0),"ERRO","OK"))</f>
        <v>OK</v>
      </c>
      <c r="AP195" s="6" t="n">
        <f aca="false">(10-(LEN(AQ195)))+1</f>
        <v>10</v>
      </c>
      <c r="AQ195" s="6" t="n">
        <v>0</v>
      </c>
      <c r="AR195" s="6" t="str">
        <f aca="false">IF($J195="NA","NA",IF(AND($J195&gt;1919,AQ195&gt;0),"ERRO","OK"))</f>
        <v>OK</v>
      </c>
      <c r="AS195" s="6" t="n">
        <f aca="false">(10-(LEN(AT195)))+1</f>
        <v>10</v>
      </c>
      <c r="AT195" s="6" t="n">
        <v>0</v>
      </c>
      <c r="AU195" s="6" t="str">
        <f aca="false">IF($J195="NA","NA",IF(AND($J195&gt;1909,AT195&gt;0),"ERRO","OK"))</f>
        <v>OK</v>
      </c>
      <c r="AV195" s="6" t="n">
        <f aca="false">(10-(LEN(AW195)))+1</f>
        <v>10</v>
      </c>
      <c r="AW195" s="6" t="n">
        <v>0</v>
      </c>
      <c r="AX195" s="6" t="str">
        <f aca="false">IF($J195="NA","NA",IF(AND($J195&gt;1899,AW195&gt;0),"ERRO","OK"))</f>
        <v>OK</v>
      </c>
    </row>
    <row r="196" customFormat="false" ht="15" hidden="false" customHeight="false" outlineLevel="0" collapsed="false">
      <c r="A196" s="7" t="n">
        <v>194</v>
      </c>
      <c r="B196" s="0" t="s">
        <v>213</v>
      </c>
      <c r="C196" s="8" t="n">
        <v>45314</v>
      </c>
      <c r="D196" s="6" t="n">
        <v>0</v>
      </c>
      <c r="E196" s="0" t="s">
        <v>16</v>
      </c>
      <c r="F196" s="0" t="s">
        <v>17</v>
      </c>
      <c r="G196" s="9" t="str">
        <f aca="false">IF(OR(N196="ERRO",Q196="ERRO",T196="ERRO",W196="ERRO",Z196="ERRO",AC196="ERRO",AF196="ERRO",AI196="ERRO",AL196="ERRO",AO196="ERRO",AR196="ERRO",AU196="ERRO",AX196="ERRO"),"ERRO","OK")</f>
        <v>OK</v>
      </c>
      <c r="H196" s="9" t="n">
        <f aca="false">COUNTIF(L196:AX196,"ERRO")</f>
        <v>0</v>
      </c>
      <c r="I196" s="9" t="s">
        <v>18</v>
      </c>
      <c r="J196" s="10" t="n">
        <v>1904</v>
      </c>
      <c r="K196" s="10" t="n">
        <v>1994</v>
      </c>
      <c r="L196" s="6" t="n">
        <f aca="false">(10-(LEN(M196)))+1</f>
        <v>7</v>
      </c>
      <c r="M196" s="6" t="n">
        <v>2165</v>
      </c>
      <c r="N196" s="6" t="str">
        <f aca="false">IF($J196="NA","NA",IF(AND($J196&gt;2019,M196&gt;0),"ERRO","OK"))</f>
        <v>OK</v>
      </c>
      <c r="O196" s="6" t="n">
        <f aca="false">(10-(LEN(P196)))+1</f>
        <v>7</v>
      </c>
      <c r="P196" s="6" t="n">
        <v>3705</v>
      </c>
      <c r="Q196" s="6" t="str">
        <f aca="false">IF($J196="NA","NA",IF(AND($J196&gt;2009,P196&gt;0),"ERRO","OK"))</f>
        <v>OK</v>
      </c>
      <c r="R196" s="6" t="n">
        <f aca="false">(10-(LEN(S196)))+1</f>
        <v>7</v>
      </c>
      <c r="S196" s="6" t="n">
        <v>2857</v>
      </c>
      <c r="T196" s="6" t="str">
        <f aca="false">IF($J196="NA","NA",IF(AND($J196&gt;1999,S196&gt;0),"ERRO","OK"))</f>
        <v>OK</v>
      </c>
      <c r="U196" s="6" t="n">
        <f aca="false">(10-(LEN(V196)))+1</f>
        <v>7</v>
      </c>
      <c r="V196" s="6" t="n">
        <v>3311</v>
      </c>
      <c r="W196" s="6" t="str">
        <f aca="false">IF($J196="NA","NA",IF(AND($J196&gt;1989,V196&gt;0),"ERRO","OK"))</f>
        <v>OK</v>
      </c>
      <c r="X196" s="6" t="n">
        <f aca="false">(10-(LEN(Y196)))+1</f>
        <v>7</v>
      </c>
      <c r="Y196" s="6" t="n">
        <v>7331</v>
      </c>
      <c r="Z196" s="6" t="str">
        <f aca="false">IF($J196="NA","NA",IF(AND($J196&gt;1979,Y196&gt;0),"ERRO","OK"))</f>
        <v>OK</v>
      </c>
      <c r="AA196" s="6" t="n">
        <f aca="false">(10-(LEN(AB196)))+1</f>
        <v>6</v>
      </c>
      <c r="AB196" s="6" t="n">
        <v>21623</v>
      </c>
      <c r="AC196" s="6" t="str">
        <f aca="false">IF($J196="NA","NA",IF(AND($J196&gt;1969,AB196&gt;0),"ERRO","OK"))</f>
        <v>OK</v>
      </c>
      <c r="AD196" s="6" t="n">
        <f aca="false">(10-(LEN(AE196)))+1</f>
        <v>7</v>
      </c>
      <c r="AE196" s="6" t="n">
        <v>5203</v>
      </c>
      <c r="AF196" s="6" t="str">
        <f aca="false">IF($J196="NA","NA",IF(AND($J196&gt;1959,AE196&gt;0),"ERRO","OK"))</f>
        <v>OK</v>
      </c>
      <c r="AG196" s="6" t="n">
        <f aca="false">(10-(LEN(AH196)))+1</f>
        <v>7</v>
      </c>
      <c r="AH196" s="6" t="n">
        <v>4185</v>
      </c>
      <c r="AI196" s="6" t="str">
        <f aca="false">IF($J196="NA","NA",IF(AND($J196&gt;1949,AH196&gt;0),"ERRO","OK"))</f>
        <v>OK</v>
      </c>
      <c r="AJ196" s="6" t="n">
        <f aca="false">(10-(LEN(AK196)))+1</f>
        <v>6</v>
      </c>
      <c r="AK196" s="6" t="n">
        <v>10166</v>
      </c>
      <c r="AL196" s="6" t="str">
        <f aca="false">IF($J196="NA","NA",IF(AND($J196&gt;1939,AK196&gt;0),"ERRO","OK"))</f>
        <v>OK</v>
      </c>
      <c r="AM196" s="6" t="n">
        <f aca="false">(10-(LEN(AN196)))+1</f>
        <v>10</v>
      </c>
      <c r="AN196" s="6" t="n">
        <v>0</v>
      </c>
      <c r="AO196" s="6" t="str">
        <f aca="false">IF($J196="NA","NA",IF(AND($J196&gt;1929,AN196&gt;0),"ERRO","OK"))</f>
        <v>OK</v>
      </c>
      <c r="AP196" s="6" t="n">
        <f aca="false">(10-(LEN(AQ196)))+1</f>
        <v>8</v>
      </c>
      <c r="AQ196" s="6" t="n">
        <v>100</v>
      </c>
      <c r="AR196" s="6" t="str">
        <f aca="false">IF($J196="NA","NA",IF(AND($J196&gt;1919,AQ196&gt;0),"ERRO","OK"))</f>
        <v>OK</v>
      </c>
      <c r="AS196" s="6" t="n">
        <f aca="false">(10-(LEN(AT196)))+1</f>
        <v>10</v>
      </c>
      <c r="AT196" s="6" t="n">
        <v>0</v>
      </c>
      <c r="AU196" s="6" t="str">
        <f aca="false">IF($J196="NA","NA",IF(AND($J196&gt;1909,AT196&gt;0),"ERRO","OK"))</f>
        <v>OK</v>
      </c>
      <c r="AV196" s="6" t="n">
        <f aca="false">(10-(LEN(AW196)))+1</f>
        <v>10</v>
      </c>
      <c r="AW196" s="6" t="n">
        <v>0</v>
      </c>
      <c r="AX196" s="6" t="str">
        <f aca="false">IF($J196="NA","NA",IF(AND($J196&gt;1899,AW196&gt;0),"ERRO","OK"))</f>
        <v>OK</v>
      </c>
    </row>
    <row r="197" customFormat="false" ht="15" hidden="false" customHeight="false" outlineLevel="0" collapsed="false">
      <c r="A197" s="7" t="n">
        <v>195</v>
      </c>
      <c r="B197" s="0" t="s">
        <v>214</v>
      </c>
      <c r="C197" s="8" t="n">
        <v>45314</v>
      </c>
      <c r="D197" s="6" t="n">
        <v>0</v>
      </c>
      <c r="E197" s="0" t="s">
        <v>16</v>
      </c>
      <c r="F197" s="0" t="s">
        <v>17</v>
      </c>
      <c r="G197" s="9" t="str">
        <f aca="false">IF(OR(N197="ERRO",Q197="ERRO",T197="ERRO",W197="ERRO",Z197="ERRO",AC197="ERRO",AF197="ERRO",AI197="ERRO",AL197="ERRO",AO197="ERRO",AR197="ERRO",AU197="ERRO",AX197="ERRO"),"ERRO","OK")</f>
        <v>ERRO</v>
      </c>
      <c r="H197" s="9" t="n">
        <f aca="false">COUNTIF(L197:AX197,"ERRO")</f>
        <v>1</v>
      </c>
      <c r="I197" s="9" t="s">
        <v>18</v>
      </c>
      <c r="J197" s="10" t="n">
        <v>1912</v>
      </c>
      <c r="K197" s="10" t="n">
        <v>1987</v>
      </c>
      <c r="L197" s="6" t="n">
        <f aca="false">(10-(LEN(M197)))+1</f>
        <v>7</v>
      </c>
      <c r="M197" s="6" t="n">
        <v>1124</v>
      </c>
      <c r="N197" s="6" t="str">
        <f aca="false">IF($J197="NA","NA",IF(AND($J197&gt;2019,M197&gt;0),"ERRO","OK"))</f>
        <v>OK</v>
      </c>
      <c r="O197" s="6" t="n">
        <f aca="false">(10-(LEN(P197)))+1</f>
        <v>7</v>
      </c>
      <c r="P197" s="6" t="n">
        <v>1029</v>
      </c>
      <c r="Q197" s="6" t="str">
        <f aca="false">IF($J197="NA","NA",IF(AND($J197&gt;2009,P197&gt;0),"ERRO","OK"))</f>
        <v>OK</v>
      </c>
      <c r="R197" s="6" t="n">
        <f aca="false">(10-(LEN(S197)))+1</f>
        <v>7</v>
      </c>
      <c r="S197" s="6" t="n">
        <v>1555</v>
      </c>
      <c r="T197" s="6" t="str">
        <f aca="false">IF($J197="NA","NA",IF(AND($J197&gt;1999,S197&gt;0),"ERRO","OK"))</f>
        <v>OK</v>
      </c>
      <c r="U197" s="6" t="n">
        <f aca="false">(10-(LEN(V197)))+1</f>
        <v>7</v>
      </c>
      <c r="V197" s="6" t="n">
        <v>4415</v>
      </c>
      <c r="W197" s="6" t="str">
        <f aca="false">IF($J197="NA","NA",IF(AND($J197&gt;1989,V197&gt;0),"ERRO","OK"))</f>
        <v>OK</v>
      </c>
      <c r="X197" s="6" t="n">
        <f aca="false">(10-(LEN(Y197)))+1</f>
        <v>7</v>
      </c>
      <c r="Y197" s="6" t="n">
        <v>3104</v>
      </c>
      <c r="Z197" s="6" t="str">
        <f aca="false">IF($J197="NA","NA",IF(AND($J197&gt;1979,Y197&gt;0),"ERRO","OK"))</f>
        <v>OK</v>
      </c>
      <c r="AA197" s="6" t="n">
        <f aca="false">(10-(LEN(AB197)))+1</f>
        <v>7</v>
      </c>
      <c r="AB197" s="6" t="n">
        <v>1289</v>
      </c>
      <c r="AC197" s="6" t="str">
        <f aca="false">IF($J197="NA","NA",IF(AND($J197&gt;1969,AB197&gt;0),"ERRO","OK"))</f>
        <v>OK</v>
      </c>
      <c r="AD197" s="6" t="n">
        <f aca="false">(10-(LEN(AE197)))+1</f>
        <v>8</v>
      </c>
      <c r="AE197" s="6" t="n">
        <v>807</v>
      </c>
      <c r="AF197" s="6" t="str">
        <f aca="false">IF($J197="NA","NA",IF(AND($J197&gt;1959,AE197&gt;0),"ERRO","OK"))</f>
        <v>OK</v>
      </c>
      <c r="AG197" s="6" t="n">
        <f aca="false">(10-(LEN(AH197)))+1</f>
        <v>7</v>
      </c>
      <c r="AH197" s="6" t="n">
        <v>4736</v>
      </c>
      <c r="AI197" s="6" t="str">
        <f aca="false">IF($J197="NA","NA",IF(AND($J197&gt;1949,AH197&gt;0),"ERRO","OK"))</f>
        <v>OK</v>
      </c>
      <c r="AJ197" s="6" t="n">
        <f aca="false">(10-(LEN(AK197)))+1</f>
        <v>7</v>
      </c>
      <c r="AK197" s="6" t="n">
        <v>1253</v>
      </c>
      <c r="AL197" s="6" t="str">
        <f aca="false">IF($J197="NA","NA",IF(AND($J197&gt;1939,AK197&gt;0),"ERRO","OK"))</f>
        <v>OK</v>
      </c>
      <c r="AM197" s="6" t="n">
        <f aca="false">(10-(LEN(AN197)))+1</f>
        <v>10</v>
      </c>
      <c r="AN197" s="6" t="n">
        <v>0</v>
      </c>
      <c r="AO197" s="6" t="str">
        <f aca="false">IF($J197="NA","NA",IF(AND($J197&gt;1929,AN197&gt;0),"ERRO","OK"))</f>
        <v>OK</v>
      </c>
      <c r="AP197" s="6" t="n">
        <f aca="false">(10-(LEN(AQ197)))+1</f>
        <v>10</v>
      </c>
      <c r="AQ197" s="6" t="n">
        <v>0</v>
      </c>
      <c r="AR197" s="6" t="str">
        <f aca="false">IF($J197="NA","NA",IF(AND($J197&gt;1919,AQ197&gt;0),"ERRO","OK"))</f>
        <v>OK</v>
      </c>
      <c r="AS197" s="6" t="n">
        <f aca="false">(10-(LEN(AT197)))+1</f>
        <v>8</v>
      </c>
      <c r="AT197" s="6" t="n">
        <v>309</v>
      </c>
      <c r="AU197" s="6" t="str">
        <f aca="false">IF($J197="NA","NA",IF(AND($J197&gt;1909,AT197&gt;0),"ERRO","OK"))</f>
        <v>ERRO</v>
      </c>
      <c r="AV197" s="6" t="n">
        <f aca="false">(10-(LEN(AW197)))+1</f>
        <v>10</v>
      </c>
      <c r="AW197" s="6" t="n">
        <v>0</v>
      </c>
      <c r="AX197" s="6" t="str">
        <f aca="false">IF($J197="NA","NA",IF(AND($J197&gt;1899,AW197&gt;0),"ERRO","OK"))</f>
        <v>OK</v>
      </c>
    </row>
    <row r="198" customFormat="false" ht="15" hidden="false" customHeight="false" outlineLevel="0" collapsed="false">
      <c r="A198" s="7" t="n">
        <v>196</v>
      </c>
      <c r="B198" s="0" t="s">
        <v>215</v>
      </c>
      <c r="C198" s="8" t="n">
        <v>45314</v>
      </c>
      <c r="D198" s="6" t="n">
        <v>0</v>
      </c>
      <c r="E198" s="0" t="s">
        <v>16</v>
      </c>
      <c r="F198" s="0" t="s">
        <v>17</v>
      </c>
      <c r="G198" s="9" t="str">
        <f aca="false">IF(OR(N198="ERRO",Q198="ERRO",T198="ERRO",W198="ERRO",Z198="ERRO",AC198="ERRO",AF198="ERRO",AI198="ERRO",AL198="ERRO",AO198="ERRO",AR198="ERRO",AU198="ERRO",AX198="ERRO"),"ERRO","OK")</f>
        <v>OK</v>
      </c>
      <c r="H198" s="9" t="n">
        <f aca="false">COUNTIF(L198:AX198,"ERRO")</f>
        <v>0</v>
      </c>
      <c r="I198" s="9" t="s">
        <v>18</v>
      </c>
      <c r="J198" s="10" t="n">
        <v>1894</v>
      </c>
      <c r="K198" s="10" t="n">
        <v>1973</v>
      </c>
      <c r="L198" s="6" t="n">
        <f aca="false">(10-(LEN(M198)))+1</f>
        <v>7</v>
      </c>
      <c r="M198" s="6" t="n">
        <v>6247</v>
      </c>
      <c r="N198" s="6" t="str">
        <f aca="false">IF($J198="NA","NA",IF(AND($J198&gt;2019,M198&gt;0),"ERRO","OK"))</f>
        <v>OK</v>
      </c>
      <c r="O198" s="6" t="n">
        <f aca="false">(10-(LEN(P198)))+1</f>
        <v>6</v>
      </c>
      <c r="P198" s="6" t="n">
        <v>11355</v>
      </c>
      <c r="Q198" s="6" t="str">
        <f aca="false">IF($J198="NA","NA",IF(AND($J198&gt;2009,P198&gt;0),"ERRO","OK"))</f>
        <v>OK</v>
      </c>
      <c r="R198" s="6" t="n">
        <f aca="false">(10-(LEN(S198)))+1</f>
        <v>7</v>
      </c>
      <c r="S198" s="6" t="n">
        <v>3613</v>
      </c>
      <c r="T198" s="6" t="str">
        <f aca="false">IF($J198="NA","NA",IF(AND($J198&gt;1999,S198&gt;0),"ERRO","OK"))</f>
        <v>OK</v>
      </c>
      <c r="U198" s="6" t="n">
        <f aca="false">(10-(LEN(V198)))+1</f>
        <v>7</v>
      </c>
      <c r="V198" s="6" t="n">
        <v>3679</v>
      </c>
      <c r="W198" s="6" t="str">
        <f aca="false">IF($J198="NA","NA",IF(AND($J198&gt;1989,V198&gt;0),"ERRO","OK"))</f>
        <v>OK</v>
      </c>
      <c r="X198" s="6" t="n">
        <f aca="false">(10-(LEN(Y198)))+1</f>
        <v>7</v>
      </c>
      <c r="Y198" s="6" t="n">
        <v>1445</v>
      </c>
      <c r="Z198" s="6" t="str">
        <f aca="false">IF($J198="NA","NA",IF(AND($J198&gt;1979,Y198&gt;0),"ERRO","OK"))</f>
        <v>OK</v>
      </c>
      <c r="AA198" s="6" t="n">
        <f aca="false">(10-(LEN(AB198)))+1</f>
        <v>7</v>
      </c>
      <c r="AB198" s="6" t="n">
        <v>1934</v>
      </c>
      <c r="AC198" s="6" t="str">
        <f aca="false">IF($J198="NA","NA",IF(AND($J198&gt;1969,AB198&gt;0),"ERRO","OK"))</f>
        <v>OK</v>
      </c>
      <c r="AD198" s="6" t="n">
        <f aca="false">(10-(LEN(AE198)))+1</f>
        <v>7</v>
      </c>
      <c r="AE198" s="6" t="n">
        <v>1794</v>
      </c>
      <c r="AF198" s="6" t="str">
        <f aca="false">IF($J198="NA","NA",IF(AND($J198&gt;1959,AE198&gt;0),"ERRO","OK"))</f>
        <v>OK</v>
      </c>
      <c r="AG198" s="6" t="n">
        <f aca="false">(10-(LEN(AH198)))+1</f>
        <v>8</v>
      </c>
      <c r="AH198" s="6" t="n">
        <v>551</v>
      </c>
      <c r="AI198" s="6" t="str">
        <f aca="false">IF($J198="NA","NA",IF(AND($J198&gt;1949,AH198&gt;0),"ERRO","OK"))</f>
        <v>OK</v>
      </c>
      <c r="AJ198" s="6" t="n">
        <f aca="false">(10-(LEN(AK198)))+1</f>
        <v>7</v>
      </c>
      <c r="AK198" s="6" t="n">
        <v>3621</v>
      </c>
      <c r="AL198" s="6" t="str">
        <f aca="false">IF($J198="NA","NA",IF(AND($J198&gt;1939,AK198&gt;0),"ERRO","OK"))</f>
        <v>OK</v>
      </c>
      <c r="AM198" s="6" t="n">
        <f aca="false">(10-(LEN(AN198)))+1</f>
        <v>10</v>
      </c>
      <c r="AN198" s="6" t="n">
        <v>0</v>
      </c>
      <c r="AO198" s="6" t="str">
        <f aca="false">IF($J198="NA","NA",IF(AND($J198&gt;1929,AN198&gt;0),"ERRO","OK"))</f>
        <v>OK</v>
      </c>
      <c r="AP198" s="6" t="n">
        <f aca="false">(10-(LEN(AQ198)))+1</f>
        <v>8</v>
      </c>
      <c r="AQ198" s="6" t="n">
        <v>300</v>
      </c>
      <c r="AR198" s="6" t="str">
        <f aca="false">IF($J198="NA","NA",IF(AND($J198&gt;1919,AQ198&gt;0),"ERRO","OK"))</f>
        <v>OK</v>
      </c>
      <c r="AS198" s="6" t="n">
        <f aca="false">(10-(LEN(AT198)))+1</f>
        <v>8</v>
      </c>
      <c r="AT198" s="6" t="n">
        <v>413</v>
      </c>
      <c r="AU198" s="6" t="str">
        <f aca="false">IF($J198="NA","NA",IF(AND($J198&gt;1909,AT198&gt;0),"ERRO","OK"))</f>
        <v>OK</v>
      </c>
      <c r="AV198" s="6" t="n">
        <f aca="false">(10-(LEN(AW198)))+1</f>
        <v>10</v>
      </c>
      <c r="AW198" s="6" t="n">
        <v>0</v>
      </c>
      <c r="AX198" s="6" t="str">
        <f aca="false">IF($J198="NA","NA",IF(AND($J198&gt;1899,AW198&gt;0),"ERRO","OK"))</f>
        <v>OK</v>
      </c>
    </row>
    <row r="199" customFormat="false" ht="15" hidden="false" customHeight="false" outlineLevel="0" collapsed="false">
      <c r="A199" s="7" t="n">
        <v>197</v>
      </c>
      <c r="B199" s="0" t="s">
        <v>216</v>
      </c>
      <c r="C199" s="8" t="n">
        <v>45314</v>
      </c>
      <c r="D199" s="6" t="n">
        <v>0</v>
      </c>
      <c r="E199" s="0" t="s">
        <v>16</v>
      </c>
      <c r="F199" s="0" t="s">
        <v>17</v>
      </c>
      <c r="G199" s="9" t="str">
        <f aca="false">IF(OR(N199="ERRO",Q199="ERRO",T199="ERRO",W199="ERRO",Z199="ERRO",AC199="ERRO",AF199="ERRO",AI199="ERRO",AL199="ERRO",AO199="ERRO",AR199="ERRO",AU199="ERRO",AX199="ERRO"),"ERRO","OK")</f>
        <v>OK</v>
      </c>
      <c r="H199" s="9" t="n">
        <f aca="false">COUNTIF(L199:AX199,"ERRO")</f>
        <v>0</v>
      </c>
      <c r="I199" s="9" t="s">
        <v>18</v>
      </c>
      <c r="J199" s="10" t="n">
        <v>1910</v>
      </c>
      <c r="K199" s="10" t="n">
        <v>1988</v>
      </c>
      <c r="L199" s="6" t="n">
        <f aca="false">(10-(LEN(M199)))+1</f>
        <v>8</v>
      </c>
      <c r="M199" s="6" t="n">
        <v>958</v>
      </c>
      <c r="N199" s="6" t="str">
        <f aca="false">IF($J199="NA","NA",IF(AND($J199&gt;2019,M199&gt;0),"ERRO","OK"))</f>
        <v>OK</v>
      </c>
      <c r="O199" s="6" t="n">
        <f aca="false">(10-(LEN(P199)))+1</f>
        <v>8</v>
      </c>
      <c r="P199" s="6" t="n">
        <v>961</v>
      </c>
      <c r="Q199" s="6" t="str">
        <f aca="false">IF($J199="NA","NA",IF(AND($J199&gt;2009,P199&gt;0),"ERRO","OK"))</f>
        <v>OK</v>
      </c>
      <c r="R199" s="6" t="n">
        <f aca="false">(10-(LEN(S199)))+1</f>
        <v>8</v>
      </c>
      <c r="S199" s="6" t="n">
        <v>924</v>
      </c>
      <c r="T199" s="6" t="str">
        <f aca="false">IF($J199="NA","NA",IF(AND($J199&gt;1999,S199&gt;0),"ERRO","OK"))</f>
        <v>OK</v>
      </c>
      <c r="U199" s="6" t="n">
        <f aca="false">(10-(LEN(V199)))+1</f>
        <v>7</v>
      </c>
      <c r="V199" s="6" t="n">
        <v>1656</v>
      </c>
      <c r="W199" s="6" t="str">
        <f aca="false">IF($J199="NA","NA",IF(AND($J199&gt;1989,V199&gt;0),"ERRO","OK"))</f>
        <v>OK</v>
      </c>
      <c r="X199" s="6" t="n">
        <f aca="false">(10-(LEN(Y199)))+1</f>
        <v>7</v>
      </c>
      <c r="Y199" s="6" t="n">
        <v>1445</v>
      </c>
      <c r="Z199" s="6" t="str">
        <f aca="false">IF($J199="NA","NA",IF(AND($J199&gt;1979,Y199&gt;0),"ERRO","OK"))</f>
        <v>OK</v>
      </c>
      <c r="AA199" s="6" t="n">
        <f aca="false">(10-(LEN(AB199)))+1</f>
        <v>7</v>
      </c>
      <c r="AB199" s="6" t="n">
        <v>2285</v>
      </c>
      <c r="AC199" s="6" t="str">
        <f aca="false">IF($J199="NA","NA",IF(AND($J199&gt;1969,AB199&gt;0),"ERRO","OK"))</f>
        <v>OK</v>
      </c>
      <c r="AD199" s="6" t="n">
        <f aca="false">(10-(LEN(AE199)))+1</f>
        <v>8</v>
      </c>
      <c r="AE199" s="6" t="n">
        <v>538</v>
      </c>
      <c r="AF199" s="6" t="str">
        <f aca="false">IF($J199="NA","NA",IF(AND($J199&gt;1959,AE199&gt;0),"ERRO","OK"))</f>
        <v>OK</v>
      </c>
      <c r="AG199" s="6" t="n">
        <f aca="false">(10-(LEN(AH199)))+1</f>
        <v>8</v>
      </c>
      <c r="AH199" s="6" t="n">
        <v>220</v>
      </c>
      <c r="AI199" s="6" t="str">
        <f aca="false">IF($J199="NA","NA",IF(AND($J199&gt;1949,AH199&gt;0),"ERRO","OK"))</f>
        <v>OK</v>
      </c>
      <c r="AJ199" s="6" t="n">
        <f aca="false">(10-(LEN(AK199)))+1</f>
        <v>10</v>
      </c>
      <c r="AK199" s="6" t="n">
        <v>0</v>
      </c>
      <c r="AL199" s="6" t="str">
        <f aca="false">IF($J199="NA","NA",IF(AND($J199&gt;1939,AK199&gt;0),"ERRO","OK"))</f>
        <v>OK</v>
      </c>
      <c r="AM199" s="6" t="n">
        <f aca="false">(10-(LEN(AN199)))+1</f>
        <v>10</v>
      </c>
      <c r="AN199" s="6" t="n">
        <v>0</v>
      </c>
      <c r="AO199" s="6" t="str">
        <f aca="false">IF($J199="NA","NA",IF(AND($J199&gt;1929,AN199&gt;0),"ERRO","OK"))</f>
        <v>OK</v>
      </c>
      <c r="AP199" s="6" t="n">
        <f aca="false">(10-(LEN(AQ199)))+1</f>
        <v>10</v>
      </c>
      <c r="AQ199" s="6" t="n">
        <v>0</v>
      </c>
      <c r="AR199" s="6" t="str">
        <f aca="false">IF($J199="NA","NA",IF(AND($J199&gt;1919,AQ199&gt;0),"ERRO","OK"))</f>
        <v>OK</v>
      </c>
      <c r="AS199" s="6" t="n">
        <f aca="false">(10-(LEN(AT199)))+1</f>
        <v>10</v>
      </c>
      <c r="AT199" s="6" t="n">
        <v>0</v>
      </c>
      <c r="AU199" s="6" t="str">
        <f aca="false">IF($J199="NA","NA",IF(AND($J199&gt;1909,AT199&gt;0),"ERRO","OK"))</f>
        <v>OK</v>
      </c>
      <c r="AV199" s="6" t="n">
        <f aca="false">(10-(LEN(AW199)))+1</f>
        <v>10</v>
      </c>
      <c r="AW199" s="6" t="n">
        <v>0</v>
      </c>
      <c r="AX199" s="6" t="str">
        <f aca="false">IF($J199="NA","NA",IF(AND($J199&gt;1899,AW199&gt;0),"ERRO","OK"))</f>
        <v>OK</v>
      </c>
    </row>
    <row r="200" customFormat="false" ht="15" hidden="false" customHeight="false" outlineLevel="0" collapsed="false">
      <c r="A200" s="7" t="n">
        <v>198</v>
      </c>
      <c r="B200" s="0" t="s">
        <v>217</v>
      </c>
      <c r="C200" s="8" t="n">
        <v>45314</v>
      </c>
      <c r="D200" s="6" t="n">
        <v>0</v>
      </c>
      <c r="E200" s="0" t="s">
        <v>16</v>
      </c>
      <c r="F200" s="0" t="s">
        <v>17</v>
      </c>
      <c r="G200" s="9" t="str">
        <f aca="false">IF(OR(N200="ERRO",Q200="ERRO",T200="ERRO",W200="ERRO",Z200="ERRO",AC200="ERRO",AF200="ERRO",AI200="ERRO",AL200="ERRO",AO200="ERRO",AR200="ERRO",AU200="ERRO",AX200="ERRO"),"ERRO","OK")</f>
        <v>ERRO</v>
      </c>
      <c r="H200" s="9" t="n">
        <f aca="false">COUNTIF(L200:AX200,"ERRO")</f>
        <v>1</v>
      </c>
      <c r="I200" s="9" t="s">
        <v>18</v>
      </c>
      <c r="J200" s="10" t="n">
        <v>1903</v>
      </c>
      <c r="K200" s="10" t="n">
        <v>1957</v>
      </c>
      <c r="L200" s="6" t="n">
        <f aca="false">(10-(LEN(M200)))+1</f>
        <v>7</v>
      </c>
      <c r="M200" s="6" t="n">
        <v>1314</v>
      </c>
      <c r="N200" s="6" t="str">
        <f aca="false">IF($J200="NA","NA",IF(AND($J200&gt;2019,M200&gt;0),"ERRO","OK"))</f>
        <v>OK</v>
      </c>
      <c r="O200" s="6" t="n">
        <f aca="false">(10-(LEN(P200)))+1</f>
        <v>7</v>
      </c>
      <c r="P200" s="6" t="n">
        <v>3783</v>
      </c>
      <c r="Q200" s="6" t="str">
        <f aca="false">IF($J200="NA","NA",IF(AND($J200&gt;2009,P200&gt;0),"ERRO","OK"))</f>
        <v>OK</v>
      </c>
      <c r="R200" s="6" t="n">
        <f aca="false">(10-(LEN(S200)))+1</f>
        <v>7</v>
      </c>
      <c r="S200" s="6" t="n">
        <v>2206</v>
      </c>
      <c r="T200" s="6" t="str">
        <f aca="false">IF($J200="NA","NA",IF(AND($J200&gt;1999,S200&gt;0),"ERRO","OK"))</f>
        <v>OK</v>
      </c>
      <c r="U200" s="6" t="n">
        <f aca="false">(10-(LEN(V200)))+1</f>
        <v>7</v>
      </c>
      <c r="V200" s="6" t="n">
        <v>1548</v>
      </c>
      <c r="W200" s="6" t="str">
        <f aca="false">IF($J200="NA","NA",IF(AND($J200&gt;1989,V200&gt;0),"ERRO","OK"))</f>
        <v>OK</v>
      </c>
      <c r="X200" s="6" t="n">
        <f aca="false">(10-(LEN(Y200)))+1</f>
        <v>7</v>
      </c>
      <c r="Y200" s="6" t="n">
        <v>4107</v>
      </c>
      <c r="Z200" s="6" t="str">
        <f aca="false">IF($J200="NA","NA",IF(AND($J200&gt;1979,Y200&gt;0),"ERRO","OK"))</f>
        <v>OK</v>
      </c>
      <c r="AA200" s="6" t="n">
        <f aca="false">(10-(LEN(AB200)))+1</f>
        <v>7</v>
      </c>
      <c r="AB200" s="6" t="n">
        <v>4555</v>
      </c>
      <c r="AC200" s="6" t="str">
        <f aca="false">IF($J200="NA","NA",IF(AND($J200&gt;1969,AB200&gt;0),"ERRO","OK"))</f>
        <v>OK</v>
      </c>
      <c r="AD200" s="6" t="n">
        <f aca="false">(10-(LEN(AE200)))+1</f>
        <v>7</v>
      </c>
      <c r="AE200" s="6" t="n">
        <v>9805</v>
      </c>
      <c r="AF200" s="6" t="str">
        <f aca="false">IF($J200="NA","NA",IF(AND($J200&gt;1959,AE200&gt;0),"ERRO","OK"))</f>
        <v>OK</v>
      </c>
      <c r="AG200" s="6" t="n">
        <f aca="false">(10-(LEN(AH200)))+1</f>
        <v>6</v>
      </c>
      <c r="AH200" s="6" t="n">
        <v>18534</v>
      </c>
      <c r="AI200" s="6" t="str">
        <f aca="false">IF($J200="NA","NA",IF(AND($J200&gt;1949,AH200&gt;0),"ERRO","OK"))</f>
        <v>OK</v>
      </c>
      <c r="AJ200" s="6" t="n">
        <f aca="false">(10-(LEN(AK200)))+1</f>
        <v>6</v>
      </c>
      <c r="AK200" s="6" t="n">
        <v>15389</v>
      </c>
      <c r="AL200" s="6" t="str">
        <f aca="false">IF($J200="NA","NA",IF(AND($J200&gt;1939,AK200&gt;0),"ERRO","OK"))</f>
        <v>OK</v>
      </c>
      <c r="AM200" s="6" t="n">
        <f aca="false">(10-(LEN(AN200)))+1</f>
        <v>7</v>
      </c>
      <c r="AN200" s="6" t="n">
        <v>2086</v>
      </c>
      <c r="AO200" s="6" t="str">
        <f aca="false">IF($J200="NA","NA",IF(AND($J200&gt;1929,AN200&gt;0),"ERRO","OK"))</f>
        <v>OK</v>
      </c>
      <c r="AP200" s="6" t="n">
        <f aca="false">(10-(LEN(AQ200)))+1</f>
        <v>10</v>
      </c>
      <c r="AQ200" s="6" t="n">
        <v>0</v>
      </c>
      <c r="AR200" s="6" t="str">
        <f aca="false">IF($J200="NA","NA",IF(AND($J200&gt;1919,AQ200&gt;0),"ERRO","OK"))</f>
        <v>OK</v>
      </c>
      <c r="AS200" s="6" t="n">
        <f aca="false">(10-(LEN(AT200)))+1</f>
        <v>10</v>
      </c>
      <c r="AT200" s="6" t="n">
        <v>0</v>
      </c>
      <c r="AU200" s="6" t="str">
        <f aca="false">IF($J200="NA","NA",IF(AND($J200&gt;1909,AT200&gt;0),"ERRO","OK"))</f>
        <v>OK</v>
      </c>
      <c r="AV200" s="6" t="n">
        <f aca="false">(10-(LEN(AW200)))+1</f>
        <v>8</v>
      </c>
      <c r="AW200" s="6" t="n">
        <v>136</v>
      </c>
      <c r="AX200" s="6" t="str">
        <f aca="false">IF($J200="NA","NA",IF(AND($J200&gt;1899,AW200&gt;0),"ERRO","OK"))</f>
        <v>ERRO</v>
      </c>
    </row>
    <row r="201" customFormat="false" ht="15" hidden="false" customHeight="false" outlineLevel="0" collapsed="false">
      <c r="A201" s="7" t="n">
        <v>199</v>
      </c>
      <c r="B201" s="0" t="s">
        <v>218</v>
      </c>
      <c r="C201" s="8" t="n">
        <v>45314</v>
      </c>
      <c r="D201" s="6" t="n">
        <v>0</v>
      </c>
      <c r="E201" s="0" t="s">
        <v>16</v>
      </c>
      <c r="F201" s="0" t="s">
        <v>17</v>
      </c>
      <c r="G201" s="9" t="str">
        <f aca="false">IF(OR(N201="ERRO",Q201="ERRO",T201="ERRO",W201="ERRO",Z201="ERRO",AC201="ERRO",AF201="ERRO",AI201="ERRO",AL201="ERRO",AO201="ERRO",AR201="ERRO",AU201="ERRO",AX201="ERRO"),"ERRO","OK")</f>
        <v>OK</v>
      </c>
      <c r="H201" s="9" t="n">
        <f aca="false">COUNTIF(L201:AX201,"ERRO")</f>
        <v>0</v>
      </c>
      <c r="I201" s="9" t="s">
        <v>18</v>
      </c>
      <c r="J201" s="10" t="n">
        <v>1890</v>
      </c>
      <c r="K201" s="10" t="n">
        <v>1977</v>
      </c>
      <c r="L201" s="6" t="n">
        <f aca="false">(10-(LEN(M201)))+1</f>
        <v>10</v>
      </c>
      <c r="M201" s="6" t="n">
        <v>0</v>
      </c>
      <c r="N201" s="6" t="str">
        <f aca="false">IF($J201="NA","NA",IF(AND($J201&gt;2019,M201&gt;0),"ERRO","OK"))</f>
        <v>OK</v>
      </c>
      <c r="O201" s="6" t="n">
        <f aca="false">(10-(LEN(P201)))+1</f>
        <v>8</v>
      </c>
      <c r="P201" s="6" t="n">
        <v>252</v>
      </c>
      <c r="Q201" s="6" t="str">
        <f aca="false">IF($J201="NA","NA",IF(AND($J201&gt;2009,P201&gt;0),"ERRO","OK"))</f>
        <v>OK</v>
      </c>
      <c r="R201" s="6" t="n">
        <f aca="false">(10-(LEN(S201)))+1</f>
        <v>10</v>
      </c>
      <c r="S201" s="6" t="n">
        <v>0</v>
      </c>
      <c r="T201" s="6" t="str">
        <f aca="false">IF($J201="NA","NA",IF(AND($J201&gt;1999,S201&gt;0),"ERRO","OK"))</f>
        <v>OK</v>
      </c>
      <c r="U201" s="6" t="n">
        <f aca="false">(10-(LEN(V201)))+1</f>
        <v>8</v>
      </c>
      <c r="V201" s="6" t="n">
        <v>145</v>
      </c>
      <c r="W201" s="6" t="str">
        <f aca="false">IF($J201="NA","NA",IF(AND($J201&gt;1989,V201&gt;0),"ERRO","OK"))</f>
        <v>OK</v>
      </c>
      <c r="X201" s="6" t="n">
        <f aca="false">(10-(LEN(Y201)))+1</f>
        <v>8</v>
      </c>
      <c r="Y201" s="6" t="n">
        <v>338</v>
      </c>
      <c r="Z201" s="6" t="str">
        <f aca="false">IF($J201="NA","NA",IF(AND($J201&gt;1979,Y201&gt;0),"ERRO","OK"))</f>
        <v>OK</v>
      </c>
      <c r="AA201" s="6" t="n">
        <f aca="false">(10-(LEN(AB201)))+1</f>
        <v>10</v>
      </c>
      <c r="AB201" s="6" t="n">
        <v>0</v>
      </c>
      <c r="AC201" s="6" t="str">
        <f aca="false">IF($J201="NA","NA",IF(AND($J201&gt;1969,AB201&gt;0),"ERRO","OK"))</f>
        <v>OK</v>
      </c>
      <c r="AD201" s="6" t="n">
        <f aca="false">(10-(LEN(AE201)))+1</f>
        <v>8</v>
      </c>
      <c r="AE201" s="6" t="n">
        <v>377</v>
      </c>
      <c r="AF201" s="6" t="str">
        <f aca="false">IF($J201="NA","NA",IF(AND($J201&gt;1959,AE201&gt;0),"ERRO","OK"))</f>
        <v>OK</v>
      </c>
      <c r="AG201" s="6" t="n">
        <f aca="false">(10-(LEN(AH201)))+1</f>
        <v>7</v>
      </c>
      <c r="AH201" s="6" t="n">
        <v>1738</v>
      </c>
      <c r="AI201" s="6" t="str">
        <f aca="false">IF($J201="NA","NA",IF(AND($J201&gt;1949,AH201&gt;0),"ERRO","OK"))</f>
        <v>OK</v>
      </c>
      <c r="AJ201" s="6" t="n">
        <f aca="false">(10-(LEN(AK201)))+1</f>
        <v>8</v>
      </c>
      <c r="AK201" s="6" t="n">
        <v>147</v>
      </c>
      <c r="AL201" s="6" t="str">
        <f aca="false">IF($J201="NA","NA",IF(AND($J201&gt;1939,AK201&gt;0),"ERRO","OK"))</f>
        <v>OK</v>
      </c>
      <c r="AM201" s="6" t="n">
        <f aca="false">(10-(LEN(AN201)))+1</f>
        <v>8</v>
      </c>
      <c r="AN201" s="6" t="n">
        <v>321</v>
      </c>
      <c r="AO201" s="6" t="str">
        <f aca="false">IF($J201="NA","NA",IF(AND($J201&gt;1929,AN201&gt;0),"ERRO","OK"))</f>
        <v>OK</v>
      </c>
      <c r="AP201" s="6" t="n">
        <f aca="false">(10-(LEN(AQ201)))+1</f>
        <v>8</v>
      </c>
      <c r="AQ201" s="6" t="n">
        <v>421</v>
      </c>
      <c r="AR201" s="6" t="str">
        <f aca="false">IF($J201="NA","NA",IF(AND($J201&gt;1919,AQ201&gt;0),"ERRO","OK"))</f>
        <v>OK</v>
      </c>
      <c r="AS201" s="6" t="n">
        <f aca="false">(10-(LEN(AT201)))+1</f>
        <v>10</v>
      </c>
      <c r="AT201" s="6" t="n">
        <v>0</v>
      </c>
      <c r="AU201" s="6" t="str">
        <f aca="false">IF($J201="NA","NA",IF(AND($J201&gt;1909,AT201&gt;0),"ERRO","OK"))</f>
        <v>OK</v>
      </c>
      <c r="AV201" s="6" t="n">
        <f aca="false">(10-(LEN(AW201)))+1</f>
        <v>10</v>
      </c>
      <c r="AW201" s="6" t="n">
        <v>0</v>
      </c>
      <c r="AX201" s="6" t="str">
        <f aca="false">IF($J201="NA","NA",IF(AND($J201&gt;1899,AW201&gt;0),"ERRO","OK"))</f>
        <v>OK</v>
      </c>
    </row>
    <row r="202" customFormat="false" ht="15" hidden="false" customHeight="false" outlineLevel="0" collapsed="false">
      <c r="A202" s="7" t="n">
        <v>200</v>
      </c>
      <c r="B202" s="0" t="s">
        <v>219</v>
      </c>
      <c r="C202" s="8" t="n">
        <v>45314</v>
      </c>
      <c r="D202" s="6" t="n">
        <v>0</v>
      </c>
      <c r="E202" s="0" t="s">
        <v>16</v>
      </c>
      <c r="F202" s="0" t="s">
        <v>17</v>
      </c>
      <c r="G202" s="9" t="str">
        <f aca="false">IF(OR(N202="ERRO",Q202="ERRO",T202="ERRO",W202="ERRO",Z202="ERRO",AC202="ERRO",AF202="ERRO",AI202="ERRO",AL202="ERRO",AO202="ERRO",AR202="ERRO",AU202="ERRO",AX202="ERRO"),"ERRO","OK")</f>
        <v>OK</v>
      </c>
      <c r="H202" s="9" t="n">
        <f aca="false">COUNTIF(L202:AX202,"ERRO")</f>
        <v>0</v>
      </c>
      <c r="I202" s="9" t="s">
        <v>18</v>
      </c>
      <c r="J202" s="10" t="s">
        <v>22</v>
      </c>
      <c r="K202" s="10" t="s">
        <v>22</v>
      </c>
      <c r="L202" s="6" t="n">
        <f aca="false">(10-(LEN(M202)))+1</f>
        <v>10</v>
      </c>
      <c r="M202" s="6" t="n">
        <v>0</v>
      </c>
      <c r="N202" s="6" t="str">
        <f aca="false">IF($J202="NA","NA",IF(AND($J202&gt;2019,M202&gt;0),"ERRO","OK"))</f>
        <v>NA</v>
      </c>
      <c r="O202" s="6" t="n">
        <f aca="false">(10-(LEN(P202)))+1</f>
        <v>10</v>
      </c>
      <c r="P202" s="6" t="n">
        <v>0</v>
      </c>
      <c r="Q202" s="6" t="str">
        <f aca="false">IF($J202="NA","NA",IF(AND($J202&gt;2009,P202&gt;0),"ERRO","OK"))</f>
        <v>NA</v>
      </c>
      <c r="R202" s="6" t="n">
        <f aca="false">(10-(LEN(S202)))+1</f>
        <v>10</v>
      </c>
      <c r="S202" s="6" t="n">
        <v>0</v>
      </c>
      <c r="T202" s="6" t="str">
        <f aca="false">IF($J202="NA","NA",IF(AND($J202&gt;1999,S202&gt;0),"ERRO","OK"))</f>
        <v>NA</v>
      </c>
      <c r="U202" s="6" t="n">
        <f aca="false">(10-(LEN(V202)))+1</f>
        <v>10</v>
      </c>
      <c r="V202" s="6" t="n">
        <v>0</v>
      </c>
      <c r="W202" s="6" t="str">
        <f aca="false">IF($J202="NA","NA",IF(AND($J202&gt;1989,V202&gt;0),"ERRO","OK"))</f>
        <v>NA</v>
      </c>
      <c r="X202" s="6" t="n">
        <f aca="false">(10-(LEN(Y202)))+1</f>
        <v>10</v>
      </c>
      <c r="Y202" s="6" t="n">
        <v>0</v>
      </c>
      <c r="Z202" s="6" t="str">
        <f aca="false">IF($J202="NA","NA",IF(AND($J202&gt;1979,Y202&gt;0),"ERRO","OK"))</f>
        <v>NA</v>
      </c>
      <c r="AA202" s="6" t="n">
        <f aca="false">(10-(LEN(AB202)))+1</f>
        <v>10</v>
      </c>
      <c r="AB202" s="6" t="n">
        <v>0</v>
      </c>
      <c r="AC202" s="6" t="str">
        <f aca="false">IF($J202="NA","NA",IF(AND($J202&gt;1969,AB202&gt;0),"ERRO","OK"))</f>
        <v>NA</v>
      </c>
      <c r="AD202" s="6" t="n">
        <f aca="false">(10-(LEN(AE202)))+1</f>
        <v>10</v>
      </c>
      <c r="AE202" s="6" t="n">
        <v>0</v>
      </c>
      <c r="AF202" s="6" t="str">
        <f aca="false">IF($J202="NA","NA",IF(AND($J202&gt;1959,AE202&gt;0),"ERRO","OK"))</f>
        <v>NA</v>
      </c>
      <c r="AG202" s="6" t="n">
        <f aca="false">(10-(LEN(AH202)))+1</f>
        <v>10</v>
      </c>
      <c r="AH202" s="6" t="n">
        <v>0</v>
      </c>
      <c r="AI202" s="6" t="str">
        <f aca="false">IF($J202="NA","NA",IF(AND($J202&gt;1949,AH202&gt;0),"ERRO","OK"))</f>
        <v>NA</v>
      </c>
      <c r="AJ202" s="6" t="n">
        <f aca="false">(10-(LEN(AK202)))+1</f>
        <v>10</v>
      </c>
      <c r="AK202" s="6" t="n">
        <v>0</v>
      </c>
      <c r="AL202" s="6" t="str">
        <f aca="false">IF($J202="NA","NA",IF(AND($J202&gt;1939,AK202&gt;0),"ERRO","OK"))</f>
        <v>NA</v>
      </c>
      <c r="AM202" s="6" t="n">
        <f aca="false">(10-(LEN(AN202)))+1</f>
        <v>10</v>
      </c>
      <c r="AN202" s="6" t="n">
        <v>0</v>
      </c>
      <c r="AO202" s="6" t="str">
        <f aca="false">IF($J202="NA","NA",IF(AND($J202&gt;1929,AN202&gt;0),"ERRO","OK"))</f>
        <v>NA</v>
      </c>
      <c r="AP202" s="6" t="n">
        <f aca="false">(10-(LEN(AQ202)))+1</f>
        <v>10</v>
      </c>
      <c r="AQ202" s="6" t="n">
        <v>0</v>
      </c>
      <c r="AR202" s="6" t="str">
        <f aca="false">IF($J202="NA","NA",IF(AND($J202&gt;1919,AQ202&gt;0),"ERRO","OK"))</f>
        <v>NA</v>
      </c>
      <c r="AS202" s="6" t="n">
        <f aca="false">(10-(LEN(AT202)))+1</f>
        <v>10</v>
      </c>
      <c r="AT202" s="6" t="n">
        <v>0</v>
      </c>
      <c r="AU202" s="6" t="str">
        <f aca="false">IF($J202="NA","NA",IF(AND($J202&gt;1909,AT202&gt;0),"ERRO","OK"))</f>
        <v>NA</v>
      </c>
      <c r="AV202" s="6" t="n">
        <f aca="false">(10-(LEN(AW202)))+1</f>
        <v>10</v>
      </c>
      <c r="AW202" s="6" t="n">
        <v>0</v>
      </c>
      <c r="AX202" s="6" t="str">
        <f aca="false">IF($J202="NA","NA",IF(AND($J202&gt;1899,AW202&gt;0),"ERRO","OK"))</f>
        <v>NA</v>
      </c>
    </row>
    <row r="203" customFormat="false" ht="15" hidden="false" customHeight="false" outlineLevel="0" collapsed="false">
      <c r="A203" s="7" t="n">
        <v>201</v>
      </c>
      <c r="B203" s="0" t="s">
        <v>220</v>
      </c>
      <c r="C203" s="8" t="n">
        <v>45314</v>
      </c>
      <c r="D203" s="6" t="n">
        <v>0</v>
      </c>
      <c r="E203" s="0" t="s">
        <v>16</v>
      </c>
      <c r="F203" s="0" t="s">
        <v>17</v>
      </c>
      <c r="G203" s="9" t="str">
        <f aca="false">IF(OR(N203="ERRO",Q203="ERRO",T203="ERRO",W203="ERRO",Z203="ERRO",AC203="ERRO",AF203="ERRO",AI203="ERRO",AL203="ERRO",AO203="ERRO",AR203="ERRO",AU203="ERRO",AX203="ERRO"),"ERRO","OK")</f>
        <v>OK</v>
      </c>
      <c r="H203" s="9" t="n">
        <f aca="false">COUNTIF(L203:AX203,"ERRO")</f>
        <v>0</v>
      </c>
      <c r="I203" s="9" t="s">
        <v>18</v>
      </c>
      <c r="J203" s="10" t="n">
        <v>1898</v>
      </c>
      <c r="K203" s="10" t="n">
        <v>1964</v>
      </c>
      <c r="L203" s="6" t="n">
        <f aca="false">(10-(LEN(M203)))+1</f>
        <v>8</v>
      </c>
      <c r="M203" s="6" t="n">
        <v>708</v>
      </c>
      <c r="N203" s="6" t="str">
        <f aca="false">IF($J203="NA","NA",IF(AND($J203&gt;2019,M203&gt;0),"ERRO","OK"))</f>
        <v>OK</v>
      </c>
      <c r="O203" s="6" t="n">
        <f aca="false">(10-(LEN(P203)))+1</f>
        <v>7</v>
      </c>
      <c r="P203" s="6" t="n">
        <v>2950</v>
      </c>
      <c r="Q203" s="6" t="str">
        <f aca="false">IF($J203="NA","NA",IF(AND($J203&gt;2009,P203&gt;0),"ERRO","OK"))</f>
        <v>OK</v>
      </c>
      <c r="R203" s="6" t="n">
        <f aca="false">(10-(LEN(S203)))+1</f>
        <v>7</v>
      </c>
      <c r="S203" s="6" t="n">
        <v>2437</v>
      </c>
      <c r="T203" s="6" t="str">
        <f aca="false">IF($J203="NA","NA",IF(AND($J203&gt;1999,S203&gt;0),"ERRO","OK"))</f>
        <v>OK</v>
      </c>
      <c r="U203" s="6" t="n">
        <f aca="false">(10-(LEN(V203)))+1</f>
        <v>7</v>
      </c>
      <c r="V203" s="6" t="n">
        <v>5243</v>
      </c>
      <c r="W203" s="6" t="str">
        <f aca="false">IF($J203="NA","NA",IF(AND($J203&gt;1989,V203&gt;0),"ERRO","OK"))</f>
        <v>OK</v>
      </c>
      <c r="X203" s="6" t="n">
        <f aca="false">(10-(LEN(Y203)))+1</f>
        <v>8</v>
      </c>
      <c r="Y203" s="6" t="n">
        <v>963</v>
      </c>
      <c r="Z203" s="6" t="str">
        <f aca="false">IF($J203="NA","NA",IF(AND($J203&gt;1979,Y203&gt;0),"ERRO","OK"))</f>
        <v>OK</v>
      </c>
      <c r="AA203" s="6" t="n">
        <f aca="false">(10-(LEN(AB203)))+1</f>
        <v>7</v>
      </c>
      <c r="AB203" s="6" t="n">
        <v>1055</v>
      </c>
      <c r="AC203" s="6" t="str">
        <f aca="false">IF($J203="NA","NA",IF(AND($J203&gt;1969,AB203&gt;0),"ERRO","OK"))</f>
        <v>OK</v>
      </c>
      <c r="AD203" s="6" t="n">
        <f aca="false">(10-(LEN(AE203)))+1</f>
        <v>7</v>
      </c>
      <c r="AE203" s="6" t="n">
        <v>3140</v>
      </c>
      <c r="AF203" s="6" t="str">
        <f aca="false">IF($J203="NA","NA",IF(AND($J203&gt;1959,AE203&gt;0),"ERRO","OK"))</f>
        <v>OK</v>
      </c>
      <c r="AG203" s="6" t="n">
        <f aca="false">(10-(LEN(AH203)))+1</f>
        <v>10</v>
      </c>
      <c r="AH203" s="6" t="n">
        <v>0</v>
      </c>
      <c r="AI203" s="6" t="str">
        <f aca="false">IF($J203="NA","NA",IF(AND($J203&gt;1949,AH203&gt;0),"ERRO","OK"))</f>
        <v>OK</v>
      </c>
      <c r="AJ203" s="6" t="n">
        <f aca="false">(10-(LEN(AK203)))+1</f>
        <v>8</v>
      </c>
      <c r="AK203" s="6" t="n">
        <v>557</v>
      </c>
      <c r="AL203" s="6" t="str">
        <f aca="false">IF($J203="NA","NA",IF(AND($J203&gt;1939,AK203&gt;0),"ERRO","OK"))</f>
        <v>OK</v>
      </c>
      <c r="AM203" s="6" t="n">
        <f aca="false">(10-(LEN(AN203)))+1</f>
        <v>10</v>
      </c>
      <c r="AN203" s="6" t="n">
        <v>0</v>
      </c>
      <c r="AO203" s="6" t="str">
        <f aca="false">IF($J203="NA","NA",IF(AND($J203&gt;1929,AN203&gt;0),"ERRO","OK"))</f>
        <v>OK</v>
      </c>
      <c r="AP203" s="6" t="n">
        <f aca="false">(10-(LEN(AQ203)))+1</f>
        <v>8</v>
      </c>
      <c r="AQ203" s="6" t="n">
        <v>200</v>
      </c>
      <c r="AR203" s="6" t="str">
        <f aca="false">IF($J203="NA","NA",IF(AND($J203&gt;1919,AQ203&gt;0),"ERRO","OK"))</f>
        <v>OK</v>
      </c>
      <c r="AS203" s="6" t="n">
        <f aca="false">(10-(LEN(AT203)))+1</f>
        <v>10</v>
      </c>
      <c r="AT203" s="6" t="n">
        <v>0</v>
      </c>
      <c r="AU203" s="6" t="str">
        <f aca="false">IF($J203="NA","NA",IF(AND($J203&gt;1909,AT203&gt;0),"ERRO","OK"))</f>
        <v>OK</v>
      </c>
      <c r="AV203" s="6" t="n">
        <f aca="false">(10-(LEN(AW203)))+1</f>
        <v>10</v>
      </c>
      <c r="AW203" s="6" t="n">
        <v>0</v>
      </c>
      <c r="AX203" s="6" t="str">
        <f aca="false">IF($J203="NA","NA",IF(AND($J203&gt;1899,AW203&gt;0),"ERRO","OK"))</f>
        <v>OK</v>
      </c>
    </row>
    <row r="204" customFormat="false" ht="15" hidden="false" customHeight="false" outlineLevel="0" collapsed="false">
      <c r="A204" s="7" t="n">
        <v>202</v>
      </c>
      <c r="B204" s="0" t="s">
        <v>221</v>
      </c>
      <c r="C204" s="8" t="n">
        <v>45314</v>
      </c>
      <c r="D204" s="6" t="n">
        <v>0</v>
      </c>
      <c r="E204" s="0" t="s">
        <v>16</v>
      </c>
      <c r="F204" s="0" t="s">
        <v>17</v>
      </c>
      <c r="G204" s="9" t="str">
        <f aca="false">IF(OR(N204="ERRO",Q204="ERRO",T204="ERRO",W204="ERRO",Z204="ERRO",AC204="ERRO",AF204="ERRO",AI204="ERRO",AL204="ERRO",AO204="ERRO",AR204="ERRO",AU204="ERRO",AX204="ERRO"),"ERRO","OK")</f>
        <v>OK</v>
      </c>
      <c r="H204" s="9" t="n">
        <f aca="false">COUNTIF(L204:AX204,"ERRO")</f>
        <v>0</v>
      </c>
      <c r="I204" s="9" t="s">
        <v>18</v>
      </c>
      <c r="J204" s="10" t="n">
        <v>1894</v>
      </c>
      <c r="K204" s="10" t="n">
        <v>1992</v>
      </c>
      <c r="L204" s="6" t="n">
        <f aca="false">(10-(LEN(M204)))+1</f>
        <v>8</v>
      </c>
      <c r="M204" s="6" t="n">
        <v>583</v>
      </c>
      <c r="N204" s="6" t="str">
        <f aca="false">IF($J204="NA","NA",IF(AND($J204&gt;2019,M204&gt;0),"ERRO","OK"))</f>
        <v>OK</v>
      </c>
      <c r="O204" s="6" t="n">
        <f aca="false">(10-(LEN(P204)))+1</f>
        <v>8</v>
      </c>
      <c r="P204" s="6" t="n">
        <v>274</v>
      </c>
      <c r="Q204" s="6" t="str">
        <f aca="false">IF($J204="NA","NA",IF(AND($J204&gt;2009,P204&gt;0),"ERRO","OK"))</f>
        <v>OK</v>
      </c>
      <c r="R204" s="6" t="n">
        <f aca="false">(10-(LEN(S204)))+1</f>
        <v>7</v>
      </c>
      <c r="S204" s="6" t="n">
        <v>1975</v>
      </c>
      <c r="T204" s="6" t="str">
        <f aca="false">IF($J204="NA","NA",IF(AND($J204&gt;1999,S204&gt;0),"ERRO","OK"))</f>
        <v>OK</v>
      </c>
      <c r="U204" s="6" t="n">
        <f aca="false">(10-(LEN(V204)))+1</f>
        <v>8</v>
      </c>
      <c r="V204" s="6" t="n">
        <v>828</v>
      </c>
      <c r="W204" s="6" t="str">
        <f aca="false">IF($J204="NA","NA",IF(AND($J204&gt;1989,V204&gt;0),"ERRO","OK"))</f>
        <v>OK</v>
      </c>
      <c r="X204" s="6" t="n">
        <f aca="false">(10-(LEN(Y204)))+1</f>
        <v>8</v>
      </c>
      <c r="Y204" s="6" t="n">
        <v>268</v>
      </c>
      <c r="Z204" s="6" t="str">
        <f aca="false">IF($J204="NA","NA",IF(AND($J204&gt;1979,Y204&gt;0),"ERRO","OK"))</f>
        <v>OK</v>
      </c>
      <c r="AA204" s="6" t="n">
        <f aca="false">(10-(LEN(AB204)))+1</f>
        <v>8</v>
      </c>
      <c r="AB204" s="6" t="n">
        <v>176</v>
      </c>
      <c r="AC204" s="6" t="str">
        <f aca="false">IF($J204="NA","NA",IF(AND($J204&gt;1969,AB204&gt;0),"ERRO","OK"))</f>
        <v>OK</v>
      </c>
      <c r="AD204" s="6" t="n">
        <f aca="false">(10-(LEN(AE204)))+1</f>
        <v>8</v>
      </c>
      <c r="AE204" s="6" t="n">
        <v>179</v>
      </c>
      <c r="AF204" s="6" t="str">
        <f aca="false">IF($J204="NA","NA",IF(AND($J204&gt;1959,AE204&gt;0),"ERRO","OK"))</f>
        <v>OK</v>
      </c>
      <c r="AG204" s="6" t="n">
        <f aca="false">(10-(LEN(AH204)))+1</f>
        <v>8</v>
      </c>
      <c r="AH204" s="6" t="n">
        <v>110</v>
      </c>
      <c r="AI204" s="6" t="str">
        <f aca="false">IF($J204="NA","NA",IF(AND($J204&gt;1949,AH204&gt;0),"ERRO","OK"))</f>
        <v>OK</v>
      </c>
      <c r="AJ204" s="6" t="n">
        <f aca="false">(10-(LEN(AK204)))+1</f>
        <v>10</v>
      </c>
      <c r="AK204" s="6" t="n">
        <v>0</v>
      </c>
      <c r="AL204" s="6" t="str">
        <f aca="false">IF($J204="NA","NA",IF(AND($J204&gt;1939,AK204&gt;0),"ERRO","OK"))</f>
        <v>OK</v>
      </c>
      <c r="AM204" s="6" t="n">
        <f aca="false">(10-(LEN(AN204)))+1</f>
        <v>10</v>
      </c>
      <c r="AN204" s="6" t="n">
        <v>0</v>
      </c>
      <c r="AO204" s="6" t="str">
        <f aca="false">IF($J204="NA","NA",IF(AND($J204&gt;1929,AN204&gt;0),"ERRO","OK"))</f>
        <v>OK</v>
      </c>
      <c r="AP204" s="6" t="n">
        <f aca="false">(10-(LEN(AQ204)))+1</f>
        <v>10</v>
      </c>
      <c r="AQ204" s="6" t="n">
        <v>0</v>
      </c>
      <c r="AR204" s="6" t="str">
        <f aca="false">IF($J204="NA","NA",IF(AND($J204&gt;1919,AQ204&gt;0),"ERRO","OK"))</f>
        <v>OK</v>
      </c>
      <c r="AS204" s="6" t="n">
        <f aca="false">(10-(LEN(AT204)))+1</f>
        <v>10</v>
      </c>
      <c r="AT204" s="6" t="n">
        <v>0</v>
      </c>
      <c r="AU204" s="6" t="str">
        <f aca="false">IF($J204="NA","NA",IF(AND($J204&gt;1909,AT204&gt;0),"ERRO","OK"))</f>
        <v>OK</v>
      </c>
      <c r="AV204" s="6" t="n">
        <f aca="false">(10-(LEN(AW204)))+1</f>
        <v>10</v>
      </c>
      <c r="AW204" s="6" t="n">
        <v>0</v>
      </c>
      <c r="AX204" s="6" t="str">
        <f aca="false">IF($J204="NA","NA",IF(AND($J204&gt;1899,AW204&gt;0),"ERRO","OK"))</f>
        <v>OK</v>
      </c>
    </row>
    <row r="205" customFormat="false" ht="15" hidden="false" customHeight="false" outlineLevel="0" collapsed="false">
      <c r="A205" s="7" t="n">
        <v>203</v>
      </c>
      <c r="B205" s="0" t="s">
        <v>222</v>
      </c>
      <c r="C205" s="8" t="n">
        <v>45314</v>
      </c>
      <c r="D205" s="6" t="n">
        <v>0</v>
      </c>
      <c r="E205" s="0" t="s">
        <v>16</v>
      </c>
      <c r="F205" s="0" t="s">
        <v>17</v>
      </c>
      <c r="G205" s="9" t="str">
        <f aca="false">IF(OR(N205="ERRO",Q205="ERRO",T205="ERRO",W205="ERRO",Z205="ERRO",AC205="ERRO",AF205="ERRO",AI205="ERRO",AL205="ERRO",AO205="ERRO",AR205="ERRO",AU205="ERRO",AX205="ERRO"),"ERRO","OK")</f>
        <v>OK</v>
      </c>
      <c r="H205" s="9" t="n">
        <f aca="false">COUNTIF(L205:AX205,"ERRO")</f>
        <v>0</v>
      </c>
      <c r="I205" s="9" t="s">
        <v>18</v>
      </c>
      <c r="J205" s="10" t="n">
        <v>1888</v>
      </c>
      <c r="K205" s="10" t="n">
        <v>1952</v>
      </c>
      <c r="L205" s="6" t="n">
        <f aca="false">(10-(LEN(M205)))+1</f>
        <v>10</v>
      </c>
      <c r="M205" s="6" t="n">
        <v>0</v>
      </c>
      <c r="N205" s="6" t="str">
        <f aca="false">IF($J205="NA","NA",IF(AND($J205&gt;2019,M205&gt;0),"ERRO","OK"))</f>
        <v>OK</v>
      </c>
      <c r="O205" s="6" t="n">
        <f aca="false">(10-(LEN(P205)))+1</f>
        <v>9</v>
      </c>
      <c r="P205" s="6" t="n">
        <v>36</v>
      </c>
      <c r="Q205" s="6" t="str">
        <f aca="false">IF($J205="NA","NA",IF(AND($J205&gt;2009,P205&gt;0),"ERRO","OK"))</f>
        <v>OK</v>
      </c>
      <c r="R205" s="6" t="n">
        <f aca="false">(10-(LEN(S205)))+1</f>
        <v>10</v>
      </c>
      <c r="S205" s="6" t="n">
        <v>0</v>
      </c>
      <c r="T205" s="6" t="str">
        <f aca="false">IF($J205="NA","NA",IF(AND($J205&gt;1999,S205&gt;0),"ERRO","OK"))</f>
        <v>OK</v>
      </c>
      <c r="U205" s="6" t="n">
        <f aca="false">(10-(LEN(V205)))+1</f>
        <v>10</v>
      </c>
      <c r="V205" s="6" t="n">
        <v>0</v>
      </c>
      <c r="W205" s="6" t="str">
        <f aca="false">IF($J205="NA","NA",IF(AND($J205&gt;1989,V205&gt;0),"ERRO","OK"))</f>
        <v>OK</v>
      </c>
      <c r="X205" s="6" t="n">
        <f aca="false">(10-(LEN(Y205)))+1</f>
        <v>10</v>
      </c>
      <c r="Y205" s="6" t="n">
        <v>0</v>
      </c>
      <c r="Z205" s="6" t="str">
        <f aca="false">IF($J205="NA","NA",IF(AND($J205&gt;1979,Y205&gt;0),"ERRO","OK"))</f>
        <v>OK</v>
      </c>
      <c r="AA205" s="6" t="n">
        <f aca="false">(10-(LEN(AB205)))+1</f>
        <v>8</v>
      </c>
      <c r="AB205" s="6" t="n">
        <v>185</v>
      </c>
      <c r="AC205" s="6" t="str">
        <f aca="false">IF($J205="NA","NA",IF(AND($J205&gt;1969,AB205&gt;0),"ERRO","OK"))</f>
        <v>OK</v>
      </c>
      <c r="AD205" s="6" t="n">
        <f aca="false">(10-(LEN(AE205)))+1</f>
        <v>10</v>
      </c>
      <c r="AE205" s="6" t="n">
        <v>0</v>
      </c>
      <c r="AF205" s="6" t="str">
        <f aca="false">IF($J205="NA","NA",IF(AND($J205&gt;1959,AE205&gt;0),"ERRO","OK"))</f>
        <v>OK</v>
      </c>
      <c r="AG205" s="6" t="n">
        <f aca="false">(10-(LEN(AH205)))+1</f>
        <v>10</v>
      </c>
      <c r="AH205" s="6" t="n">
        <v>0</v>
      </c>
      <c r="AI205" s="6" t="str">
        <f aca="false">IF($J205="NA","NA",IF(AND($J205&gt;1949,AH205&gt;0),"ERRO","OK"))</f>
        <v>OK</v>
      </c>
      <c r="AJ205" s="6" t="n">
        <f aca="false">(10-(LEN(AK205)))+1</f>
        <v>10</v>
      </c>
      <c r="AK205" s="6" t="n">
        <v>0</v>
      </c>
      <c r="AL205" s="6" t="str">
        <f aca="false">IF($J205="NA","NA",IF(AND($J205&gt;1939,AK205&gt;0),"ERRO","OK"))</f>
        <v>OK</v>
      </c>
      <c r="AM205" s="6" t="n">
        <f aca="false">(10-(LEN(AN205)))+1</f>
        <v>10</v>
      </c>
      <c r="AN205" s="6" t="n">
        <v>0</v>
      </c>
      <c r="AO205" s="6" t="str">
        <f aca="false">IF($J205="NA","NA",IF(AND($J205&gt;1929,AN205&gt;0),"ERRO","OK"))</f>
        <v>OK</v>
      </c>
      <c r="AP205" s="6" t="n">
        <f aca="false">(10-(LEN(AQ205)))+1</f>
        <v>10</v>
      </c>
      <c r="AQ205" s="6" t="n">
        <v>0</v>
      </c>
      <c r="AR205" s="6" t="str">
        <f aca="false">IF($J205="NA","NA",IF(AND($J205&gt;1919,AQ205&gt;0),"ERRO","OK"))</f>
        <v>OK</v>
      </c>
      <c r="AS205" s="6" t="n">
        <f aca="false">(10-(LEN(AT205)))+1</f>
        <v>10</v>
      </c>
      <c r="AT205" s="6" t="n">
        <v>0</v>
      </c>
      <c r="AU205" s="6" t="str">
        <f aca="false">IF($J205="NA","NA",IF(AND($J205&gt;1909,AT205&gt;0),"ERRO","OK"))</f>
        <v>OK</v>
      </c>
      <c r="AV205" s="6" t="n">
        <f aca="false">(10-(LEN(AW205)))+1</f>
        <v>8</v>
      </c>
      <c r="AW205" s="6" t="n">
        <v>136</v>
      </c>
      <c r="AX205" s="6" t="str">
        <f aca="false">IF($J205="NA","NA",IF(AND($J205&gt;1899,AW205&gt;0),"ERRO","OK"))</f>
        <v>OK</v>
      </c>
    </row>
    <row r="206" customFormat="false" ht="15" hidden="false" customHeight="false" outlineLevel="0" collapsed="false">
      <c r="A206" s="7" t="n">
        <v>204</v>
      </c>
      <c r="B206" s="0" t="s">
        <v>223</v>
      </c>
      <c r="C206" s="8" t="n">
        <v>45314</v>
      </c>
      <c r="D206" s="6" t="n">
        <v>0</v>
      </c>
      <c r="E206" s="0" t="s">
        <v>16</v>
      </c>
      <c r="F206" s="0" t="s">
        <v>17</v>
      </c>
      <c r="G206" s="9" t="str">
        <f aca="false">IF(OR(N206="ERRO",Q206="ERRO",T206="ERRO",W206="ERRO",Z206="ERRO",AC206="ERRO",AF206="ERRO",AI206="ERRO",AL206="ERRO",AO206="ERRO",AR206="ERRO",AU206="ERRO",AX206="ERRO"),"ERRO","OK")</f>
        <v>OK</v>
      </c>
      <c r="H206" s="9" t="n">
        <f aca="false">COUNTIF(L206:AX206,"ERRO")</f>
        <v>0</v>
      </c>
      <c r="I206" s="9" t="s">
        <v>18</v>
      </c>
      <c r="J206" s="10" t="n">
        <v>1888</v>
      </c>
      <c r="K206" s="10" t="n">
        <v>1976</v>
      </c>
      <c r="L206" s="6" t="n">
        <f aca="false">(10-(LEN(M206)))+1</f>
        <v>6</v>
      </c>
      <c r="M206" s="6" t="n">
        <v>26985</v>
      </c>
      <c r="N206" s="6" t="str">
        <f aca="false">IF($J206="NA","NA",IF(AND($J206&gt;2019,M206&gt;0),"ERRO","OK"))</f>
        <v>OK</v>
      </c>
      <c r="O206" s="6" t="n">
        <f aca="false">(10-(LEN(P206)))+1</f>
        <v>6</v>
      </c>
      <c r="P206" s="6" t="n">
        <v>30050</v>
      </c>
      <c r="Q206" s="6" t="str">
        <f aca="false">IF($J206="NA","NA",IF(AND($J206&gt;2009,P206&gt;0),"ERRO","OK"))</f>
        <v>OK</v>
      </c>
      <c r="R206" s="6" t="n">
        <f aca="false">(10-(LEN(S206)))+1</f>
        <v>6</v>
      </c>
      <c r="S206" s="6" t="n">
        <v>27142</v>
      </c>
      <c r="T206" s="6" t="str">
        <f aca="false">IF($J206="NA","NA",IF(AND($J206&gt;1999,S206&gt;0),"ERRO","OK"))</f>
        <v>OK</v>
      </c>
      <c r="U206" s="6" t="n">
        <f aca="false">(10-(LEN(V206)))+1</f>
        <v>6</v>
      </c>
      <c r="V206" s="6" t="n">
        <v>29987</v>
      </c>
      <c r="W206" s="6" t="str">
        <f aca="false">IF($J206="NA","NA",IF(AND($J206&gt;1989,V206&gt;0),"ERRO","OK"))</f>
        <v>OK</v>
      </c>
      <c r="X206" s="6" t="n">
        <f aca="false">(10-(LEN(Y206)))+1</f>
        <v>6</v>
      </c>
      <c r="Y206" s="6" t="n">
        <v>33390</v>
      </c>
      <c r="Z206" s="6" t="str">
        <f aca="false">IF($J206="NA","NA",IF(AND($J206&gt;1979,Y206&gt;0),"ERRO","OK"))</f>
        <v>OK</v>
      </c>
      <c r="AA206" s="6" t="n">
        <f aca="false">(10-(LEN(AB206)))+1</f>
        <v>6</v>
      </c>
      <c r="AB206" s="6" t="n">
        <v>31936</v>
      </c>
      <c r="AC206" s="6" t="str">
        <f aca="false">IF($J206="NA","NA",IF(AND($J206&gt;1969,AB206&gt;0),"ERRO","OK"))</f>
        <v>OK</v>
      </c>
      <c r="AD206" s="6" t="n">
        <f aca="false">(10-(LEN(AE206)))+1</f>
        <v>6</v>
      </c>
      <c r="AE206" s="6" t="n">
        <v>31127</v>
      </c>
      <c r="AF206" s="6" t="str">
        <f aca="false">IF($J206="NA","NA",IF(AND($J206&gt;1959,AE206&gt;0),"ERRO","OK"))</f>
        <v>OK</v>
      </c>
      <c r="AG206" s="6" t="n">
        <f aca="false">(10-(LEN(AH206)))+1</f>
        <v>6</v>
      </c>
      <c r="AH206" s="6" t="n">
        <v>28856</v>
      </c>
      <c r="AI206" s="6" t="str">
        <f aca="false">IF($J206="NA","NA",IF(AND($J206&gt;1949,AH206&gt;0),"ERRO","OK"))</f>
        <v>OK</v>
      </c>
      <c r="AJ206" s="6" t="n">
        <f aca="false">(10-(LEN(AK206)))+1</f>
        <v>6</v>
      </c>
      <c r="AK206" s="6" t="n">
        <v>22838</v>
      </c>
      <c r="AL206" s="6" t="str">
        <f aca="false">IF($J206="NA","NA",IF(AND($J206&gt;1939,AK206&gt;0),"ERRO","OK"))</f>
        <v>OK</v>
      </c>
      <c r="AM206" s="6" t="n">
        <f aca="false">(10-(LEN(AN206)))+1</f>
        <v>6</v>
      </c>
      <c r="AN206" s="6" t="n">
        <v>16452</v>
      </c>
      <c r="AO206" s="6" t="str">
        <f aca="false">IF($J206="NA","NA",IF(AND($J206&gt;1929,AN206&gt;0),"ERRO","OK"))</f>
        <v>OK</v>
      </c>
      <c r="AP206" s="6" t="n">
        <f aca="false">(10-(LEN(AQ206)))+1</f>
        <v>6</v>
      </c>
      <c r="AQ206" s="6" t="n">
        <v>16722</v>
      </c>
      <c r="AR206" s="6" t="str">
        <f aca="false">IF($J206="NA","NA",IF(AND($J206&gt;1919,AQ206&gt;0),"ERRO","OK"))</f>
        <v>OK</v>
      </c>
      <c r="AS206" s="6" t="n">
        <f aca="false">(10-(LEN(AT206)))+1</f>
        <v>6</v>
      </c>
      <c r="AT206" s="6" t="n">
        <v>40219</v>
      </c>
      <c r="AU206" s="6" t="str">
        <f aca="false">IF($J206="NA","NA",IF(AND($J206&gt;1909,AT206&gt;0),"ERRO","OK"))</f>
        <v>OK</v>
      </c>
      <c r="AV206" s="6" t="n">
        <f aca="false">(10-(LEN(AW206)))+1</f>
        <v>6</v>
      </c>
      <c r="AW206" s="6" t="n">
        <v>43726</v>
      </c>
      <c r="AX206" s="6" t="str">
        <f aca="false">IF($J206="NA","NA",IF(AND($J206&gt;1899,AW206&gt;0),"ERRO","OK"))</f>
        <v>OK</v>
      </c>
    </row>
    <row r="207" customFormat="false" ht="15" hidden="false" customHeight="false" outlineLevel="0" collapsed="false">
      <c r="A207" s="7" t="n">
        <v>205</v>
      </c>
      <c r="B207" s="0" t="s">
        <v>224</v>
      </c>
      <c r="C207" s="8" t="n">
        <v>45314</v>
      </c>
      <c r="D207" s="6" t="n">
        <v>0</v>
      </c>
      <c r="E207" s="0" t="s">
        <v>16</v>
      </c>
      <c r="F207" s="0" t="s">
        <v>17</v>
      </c>
      <c r="G207" s="9" t="str">
        <f aca="false">IF(OR(N207="ERRO",Q207="ERRO",T207="ERRO",W207="ERRO",Z207="ERRO",AC207="ERRO",AF207="ERRO",AI207="ERRO",AL207="ERRO",AO207="ERRO",AR207="ERRO",AU207="ERRO",AX207="ERRO"),"ERRO","OK")</f>
        <v>OK</v>
      </c>
      <c r="H207" s="9" t="n">
        <f aca="false">COUNTIF(L207:AX207,"ERRO")</f>
        <v>0</v>
      </c>
      <c r="I207" s="9" t="s">
        <v>18</v>
      </c>
      <c r="J207" s="10" t="n">
        <v>1897</v>
      </c>
      <c r="K207" s="10" t="n">
        <v>1986</v>
      </c>
      <c r="L207" s="6" t="n">
        <f aca="false">(10-(LEN(M207)))+1</f>
        <v>7</v>
      </c>
      <c r="M207" s="6" t="n">
        <v>3165</v>
      </c>
      <c r="N207" s="6" t="str">
        <f aca="false">IF($J207="NA","NA",IF(AND($J207&gt;2019,M207&gt;0),"ERRO","OK"))</f>
        <v>OK</v>
      </c>
      <c r="O207" s="6" t="n">
        <f aca="false">(10-(LEN(P207)))+1</f>
        <v>7</v>
      </c>
      <c r="P207" s="6" t="n">
        <v>9125</v>
      </c>
      <c r="Q207" s="6" t="str">
        <f aca="false">IF($J207="NA","NA",IF(AND($J207&gt;2009,P207&gt;0),"ERRO","OK"))</f>
        <v>OK</v>
      </c>
      <c r="R207" s="6" t="n">
        <f aca="false">(10-(LEN(S207)))+1</f>
        <v>7</v>
      </c>
      <c r="S207" s="6" t="n">
        <v>5966</v>
      </c>
      <c r="T207" s="6" t="str">
        <f aca="false">IF($J207="NA","NA",IF(AND($J207&gt;1999,S207&gt;0),"ERRO","OK"))</f>
        <v>OK</v>
      </c>
      <c r="U207" s="6" t="n">
        <f aca="false">(10-(LEN(V207)))+1</f>
        <v>7</v>
      </c>
      <c r="V207" s="6" t="n">
        <v>7635</v>
      </c>
      <c r="W207" s="6" t="str">
        <f aca="false">IF($J207="NA","NA",IF(AND($J207&gt;1989,V207&gt;0),"ERRO","OK"))</f>
        <v>OK</v>
      </c>
      <c r="X207" s="6" t="n">
        <f aca="false">(10-(LEN(Y207)))+1</f>
        <v>7</v>
      </c>
      <c r="Y207" s="6" t="n">
        <v>6742</v>
      </c>
      <c r="Z207" s="6" t="str">
        <f aca="false">IF($J207="NA","NA",IF(AND($J207&gt;1979,Y207&gt;0),"ERRO","OK"))</f>
        <v>OK</v>
      </c>
      <c r="AA207" s="6" t="n">
        <f aca="false">(10-(LEN(AB207)))+1</f>
        <v>6</v>
      </c>
      <c r="AB207" s="6" t="n">
        <v>11368</v>
      </c>
      <c r="AC207" s="6" t="str">
        <f aca="false">IF($J207="NA","NA",IF(AND($J207&gt;1969,AB207&gt;0),"ERRO","OK"))</f>
        <v>OK</v>
      </c>
      <c r="AD207" s="6" t="n">
        <f aca="false">(10-(LEN(AE207)))+1</f>
        <v>6</v>
      </c>
      <c r="AE207" s="6" t="n">
        <v>14173</v>
      </c>
      <c r="AF207" s="6" t="str">
        <f aca="false">IF($J207="NA","NA",IF(AND($J207&gt;1959,AE207&gt;0),"ERRO","OK"))</f>
        <v>OK</v>
      </c>
      <c r="AG207" s="6" t="n">
        <f aca="false">(10-(LEN(AH207)))+1</f>
        <v>6</v>
      </c>
      <c r="AH207" s="6" t="n">
        <v>18503</v>
      </c>
      <c r="AI207" s="6" t="str">
        <f aca="false">IF($J207="NA","NA",IF(AND($J207&gt;1949,AH207&gt;0),"ERRO","OK"))</f>
        <v>OK</v>
      </c>
      <c r="AJ207" s="6" t="n">
        <f aca="false">(10-(LEN(AK207)))+1</f>
        <v>7</v>
      </c>
      <c r="AK207" s="6" t="n">
        <v>8216</v>
      </c>
      <c r="AL207" s="6" t="str">
        <f aca="false">IF($J207="NA","NA",IF(AND($J207&gt;1939,AK207&gt;0),"ERRO","OK"))</f>
        <v>OK</v>
      </c>
      <c r="AM207" s="6" t="n">
        <f aca="false">(10-(LEN(AN207)))+1</f>
        <v>7</v>
      </c>
      <c r="AN207" s="6" t="n">
        <v>4875</v>
      </c>
      <c r="AO207" s="6" t="str">
        <f aca="false">IF($J207="NA","NA",IF(AND($J207&gt;1929,AN207&gt;0),"ERRO","OK"))</f>
        <v>OK</v>
      </c>
      <c r="AP207" s="6" t="n">
        <f aca="false">(10-(LEN(AQ207)))+1</f>
        <v>10</v>
      </c>
      <c r="AQ207" s="6" t="n">
        <v>0</v>
      </c>
      <c r="AR207" s="6" t="str">
        <f aca="false">IF($J207="NA","NA",IF(AND($J207&gt;1919,AQ207&gt;0),"ERRO","OK"))</f>
        <v>OK</v>
      </c>
      <c r="AS207" s="6" t="n">
        <f aca="false">(10-(LEN(AT207)))+1</f>
        <v>10</v>
      </c>
      <c r="AT207" s="6" t="n">
        <v>0</v>
      </c>
      <c r="AU207" s="6" t="str">
        <f aca="false">IF($J207="NA","NA",IF(AND($J207&gt;1909,AT207&gt;0),"ERRO","OK"))</f>
        <v>OK</v>
      </c>
      <c r="AV207" s="6" t="n">
        <f aca="false">(10-(LEN(AW207)))+1</f>
        <v>10</v>
      </c>
      <c r="AW207" s="6" t="n">
        <v>0</v>
      </c>
      <c r="AX207" s="6" t="str">
        <f aca="false">IF($J207="NA","NA",IF(AND($J207&gt;1899,AW207&gt;0),"ERRO","OK"))</f>
        <v>OK</v>
      </c>
    </row>
    <row r="208" customFormat="false" ht="15" hidden="false" customHeight="false" outlineLevel="0" collapsed="false">
      <c r="A208" s="7" t="n">
        <v>206</v>
      </c>
      <c r="B208" s="0" t="s">
        <v>225</v>
      </c>
      <c r="C208" s="8" t="n">
        <v>45314</v>
      </c>
      <c r="D208" s="6" t="n">
        <v>0</v>
      </c>
      <c r="E208" s="0" t="s">
        <v>16</v>
      </c>
      <c r="F208" s="0" t="s">
        <v>17</v>
      </c>
      <c r="G208" s="9" t="str">
        <f aca="false">IF(OR(N208="ERRO",Q208="ERRO",T208="ERRO",W208="ERRO",Z208="ERRO",AC208="ERRO",AF208="ERRO",AI208="ERRO",AL208="ERRO",AO208="ERRO",AR208="ERRO",AU208="ERRO",AX208="ERRO"),"ERRO","OK")</f>
        <v>ERRO</v>
      </c>
      <c r="H208" s="9" t="n">
        <f aca="false">COUNTIF(L208:AX208,"ERRO")</f>
        <v>1</v>
      </c>
      <c r="I208" s="9" t="s">
        <v>18</v>
      </c>
      <c r="J208" s="10" t="n">
        <v>1924</v>
      </c>
      <c r="K208" s="10" t="n">
        <v>2015</v>
      </c>
      <c r="L208" s="6" t="n">
        <f aca="false">(10-(LEN(M208)))+1</f>
        <v>7</v>
      </c>
      <c r="M208" s="6" t="n">
        <v>2749</v>
      </c>
      <c r="N208" s="6" t="str">
        <f aca="false">IF($J208="NA","NA",IF(AND($J208&gt;2019,M208&gt;0),"ERRO","OK"))</f>
        <v>OK</v>
      </c>
      <c r="O208" s="6" t="n">
        <f aca="false">(10-(LEN(P208)))+1</f>
        <v>7</v>
      </c>
      <c r="P208" s="6" t="n">
        <v>3671</v>
      </c>
      <c r="Q208" s="6" t="str">
        <f aca="false">IF($J208="NA","NA",IF(AND($J208&gt;2009,P208&gt;0),"ERRO","OK"))</f>
        <v>OK</v>
      </c>
      <c r="R208" s="6" t="n">
        <f aca="false">(10-(LEN(S208)))+1</f>
        <v>7</v>
      </c>
      <c r="S208" s="6" t="n">
        <v>3655</v>
      </c>
      <c r="T208" s="6" t="str">
        <f aca="false">IF($J208="NA","NA",IF(AND($J208&gt;1999,S208&gt;0),"ERRO","OK"))</f>
        <v>OK</v>
      </c>
      <c r="U208" s="6" t="n">
        <f aca="false">(10-(LEN(V208)))+1</f>
        <v>7</v>
      </c>
      <c r="V208" s="6" t="n">
        <v>2852</v>
      </c>
      <c r="W208" s="6" t="str">
        <f aca="false">IF($J208="NA","NA",IF(AND($J208&gt;1989,V208&gt;0),"ERRO","OK"))</f>
        <v>OK</v>
      </c>
      <c r="X208" s="6" t="n">
        <f aca="false">(10-(LEN(Y208)))+1</f>
        <v>7</v>
      </c>
      <c r="Y208" s="6" t="n">
        <v>3478</v>
      </c>
      <c r="Z208" s="6" t="str">
        <f aca="false">IF($J208="NA","NA",IF(AND($J208&gt;1979,Y208&gt;0),"ERRO","OK"))</f>
        <v>OK</v>
      </c>
      <c r="AA208" s="6" t="n">
        <f aca="false">(10-(LEN(AB208)))+1</f>
        <v>7</v>
      </c>
      <c r="AB208" s="6" t="n">
        <v>4102</v>
      </c>
      <c r="AC208" s="6" t="str">
        <f aca="false">IF($J208="NA","NA",IF(AND($J208&gt;1969,AB208&gt;0),"ERRO","OK"))</f>
        <v>OK</v>
      </c>
      <c r="AD208" s="6" t="n">
        <f aca="false">(10-(LEN(AE208)))+1</f>
        <v>9</v>
      </c>
      <c r="AE208" s="6" t="n">
        <v>90</v>
      </c>
      <c r="AF208" s="6" t="str">
        <f aca="false">IF($J208="NA","NA",IF(AND($J208&gt;1959,AE208&gt;0),"ERRO","OK"))</f>
        <v>OK</v>
      </c>
      <c r="AG208" s="6" t="n">
        <f aca="false">(10-(LEN(AH208)))+1</f>
        <v>8</v>
      </c>
      <c r="AH208" s="6" t="n">
        <v>441</v>
      </c>
      <c r="AI208" s="6" t="str">
        <f aca="false">IF($J208="NA","NA",IF(AND($J208&gt;1949,AH208&gt;0),"ERRO","OK"))</f>
        <v>OK</v>
      </c>
      <c r="AJ208" s="6" t="n">
        <f aca="false">(10-(LEN(AK208)))+1</f>
        <v>8</v>
      </c>
      <c r="AK208" s="6" t="n">
        <v>696</v>
      </c>
      <c r="AL208" s="6" t="str">
        <f aca="false">IF($J208="NA","NA",IF(AND($J208&gt;1939,AK208&gt;0),"ERRO","OK"))</f>
        <v>OK</v>
      </c>
      <c r="AM208" s="6" t="n">
        <f aca="false">(10-(LEN(AN208)))+1</f>
        <v>10</v>
      </c>
      <c r="AN208" s="6" t="n">
        <v>0</v>
      </c>
      <c r="AO208" s="6" t="str">
        <f aca="false">IF($J208="NA","NA",IF(AND($J208&gt;1929,AN208&gt;0),"ERRO","OK"))</f>
        <v>OK</v>
      </c>
      <c r="AP208" s="6" t="n">
        <f aca="false">(10-(LEN(AQ208)))+1</f>
        <v>8</v>
      </c>
      <c r="AQ208" s="6" t="n">
        <v>200</v>
      </c>
      <c r="AR208" s="6" t="str">
        <f aca="false">IF($J208="NA","NA",IF(AND($J208&gt;1919,AQ208&gt;0),"ERRO","OK"))</f>
        <v>ERRO</v>
      </c>
      <c r="AS208" s="6" t="n">
        <f aca="false">(10-(LEN(AT208)))+1</f>
        <v>10</v>
      </c>
      <c r="AT208" s="6" t="n">
        <v>0</v>
      </c>
      <c r="AU208" s="6" t="str">
        <f aca="false">IF($J208="NA","NA",IF(AND($J208&gt;1909,AT208&gt;0),"ERRO","OK"))</f>
        <v>OK</v>
      </c>
      <c r="AV208" s="6" t="n">
        <f aca="false">(10-(LEN(AW208)))+1</f>
        <v>10</v>
      </c>
      <c r="AW208" s="6" t="n">
        <v>0</v>
      </c>
      <c r="AX208" s="6" t="str">
        <f aca="false">IF($J208="NA","NA",IF(AND($J208&gt;1899,AW208&gt;0),"ERRO","OK"))</f>
        <v>OK</v>
      </c>
    </row>
    <row r="209" customFormat="false" ht="15" hidden="false" customHeight="false" outlineLevel="0" collapsed="false">
      <c r="A209" s="7" t="n">
        <v>207</v>
      </c>
      <c r="B209" s="0" t="s">
        <v>226</v>
      </c>
      <c r="C209" s="8" t="n">
        <v>45315</v>
      </c>
      <c r="D209" s="6" t="n">
        <v>0</v>
      </c>
      <c r="E209" s="0" t="s">
        <v>16</v>
      </c>
      <c r="F209" s="0" t="s">
        <v>17</v>
      </c>
      <c r="G209" s="9" t="str">
        <f aca="false">IF(OR(N209="ERRO",Q209="ERRO",T209="ERRO",W209="ERRO",Z209="ERRO",AC209="ERRO",AF209="ERRO",AI209="ERRO",AL209="ERRO",AO209="ERRO",AR209="ERRO",AU209="ERRO",AX209="ERRO"),"ERRO","OK")</f>
        <v>OK</v>
      </c>
      <c r="H209" s="9" t="n">
        <f aca="false">COUNTIF(L209:AX209,"ERRO")</f>
        <v>0</v>
      </c>
      <c r="I209" s="9" t="s">
        <v>18</v>
      </c>
      <c r="J209" s="10" t="n">
        <v>1896</v>
      </c>
      <c r="K209" s="10" t="n">
        <v>1970</v>
      </c>
      <c r="L209" s="6" t="n">
        <f aca="false">(10-(LEN(M209)))+1</f>
        <v>8</v>
      </c>
      <c r="M209" s="6" t="n">
        <v>208</v>
      </c>
      <c r="N209" s="6" t="str">
        <f aca="false">IF($J209="NA","NA",IF(AND($J209&gt;2019,M209&gt;0),"ERRO","OK"))</f>
        <v>OK</v>
      </c>
      <c r="O209" s="6" t="n">
        <f aca="false">(10-(LEN(P209)))+1</f>
        <v>7</v>
      </c>
      <c r="P209" s="6" t="n">
        <v>2264</v>
      </c>
      <c r="Q209" s="6" t="str">
        <f aca="false">IF($J209="NA","NA",IF(AND($J209&gt;2009,P209&gt;0),"ERRO","OK"))</f>
        <v>OK</v>
      </c>
      <c r="R209" s="6" t="n">
        <f aca="false">(10-(LEN(S209)))+1</f>
        <v>7</v>
      </c>
      <c r="S209" s="6" t="n">
        <v>2143</v>
      </c>
      <c r="T209" s="6" t="str">
        <f aca="false">IF($J209="NA","NA",IF(AND($J209&gt;1999,S209&gt;0),"ERRO","OK"))</f>
        <v>OK</v>
      </c>
      <c r="U209" s="6" t="n">
        <f aca="false">(10-(LEN(V209)))+1</f>
        <v>7</v>
      </c>
      <c r="V209" s="6" t="n">
        <v>4369</v>
      </c>
      <c r="W209" s="6" t="str">
        <f aca="false">IF($J209="NA","NA",IF(AND($J209&gt;1989,V209&gt;0),"ERRO","OK"))</f>
        <v>OK</v>
      </c>
      <c r="X209" s="6" t="n">
        <f aca="false">(10-(LEN(Y209)))+1</f>
        <v>7</v>
      </c>
      <c r="Y209" s="6" t="n">
        <v>5297</v>
      </c>
      <c r="Z209" s="6" t="str">
        <f aca="false">IF($J209="NA","NA",IF(AND($J209&gt;1979,Y209&gt;0),"ERRO","OK"))</f>
        <v>OK</v>
      </c>
      <c r="AA209" s="6" t="n">
        <f aca="false">(10-(LEN(AB209)))+1</f>
        <v>7</v>
      </c>
      <c r="AB209" s="6" t="n">
        <v>5450</v>
      </c>
      <c r="AC209" s="6" t="str">
        <f aca="false">IF($J209="NA","NA",IF(AND($J209&gt;1969,AB209&gt;0),"ERRO","OK"))</f>
        <v>OK</v>
      </c>
      <c r="AD209" s="6" t="n">
        <f aca="false">(10-(LEN(AE209)))+1</f>
        <v>7</v>
      </c>
      <c r="AE209" s="6" t="n">
        <v>6997</v>
      </c>
      <c r="AF209" s="6" t="str">
        <f aca="false">IF($J209="NA","NA",IF(AND($J209&gt;1959,AE209&gt;0),"ERRO","OK"))</f>
        <v>OK</v>
      </c>
      <c r="AG209" s="6" t="n">
        <f aca="false">(10-(LEN(AH209)))+1</f>
        <v>7</v>
      </c>
      <c r="AH209" s="6" t="n">
        <v>2093</v>
      </c>
      <c r="AI209" s="6" t="str">
        <f aca="false">IF($J209="NA","NA",IF(AND($J209&gt;1949,AH209&gt;0),"ERRO","OK"))</f>
        <v>OK</v>
      </c>
      <c r="AJ209" s="6" t="n">
        <f aca="false">(10-(LEN(AK209)))+1</f>
        <v>8</v>
      </c>
      <c r="AK209" s="6" t="n">
        <v>557</v>
      </c>
      <c r="AL209" s="6" t="str">
        <f aca="false">IF($J209="NA","NA",IF(AND($J209&gt;1939,AK209&gt;0),"ERRO","OK"))</f>
        <v>OK</v>
      </c>
      <c r="AM209" s="6" t="n">
        <f aca="false">(10-(LEN(AN209)))+1</f>
        <v>10</v>
      </c>
      <c r="AN209" s="6" t="n">
        <v>0</v>
      </c>
      <c r="AO209" s="6" t="str">
        <f aca="false">IF($J209="NA","NA",IF(AND($J209&gt;1929,AN209&gt;0),"ERRO","OK"))</f>
        <v>OK</v>
      </c>
      <c r="AP209" s="6" t="n">
        <f aca="false">(10-(LEN(AQ209)))+1</f>
        <v>8</v>
      </c>
      <c r="AQ209" s="6" t="n">
        <v>300</v>
      </c>
      <c r="AR209" s="6" t="str">
        <f aca="false">IF($J209="NA","NA",IF(AND($J209&gt;1919,AQ209&gt;0),"ERRO","OK"))</f>
        <v>OK</v>
      </c>
      <c r="AS209" s="6" t="n">
        <f aca="false">(10-(LEN(AT209)))+1</f>
        <v>10</v>
      </c>
      <c r="AT209" s="6" t="n">
        <v>0</v>
      </c>
      <c r="AU209" s="6" t="str">
        <f aca="false">IF($J209="NA","NA",IF(AND($J209&gt;1909,AT209&gt;0),"ERRO","OK"))</f>
        <v>OK</v>
      </c>
      <c r="AV209" s="6" t="n">
        <f aca="false">(10-(LEN(AW209)))+1</f>
        <v>10</v>
      </c>
      <c r="AW209" s="6" t="n">
        <v>0</v>
      </c>
      <c r="AX209" s="6" t="str">
        <f aca="false">IF($J209="NA","NA",IF(AND($J209&gt;1899,AW209&gt;0),"ERRO","OK"))</f>
        <v>OK</v>
      </c>
    </row>
    <row r="210" customFormat="false" ht="15" hidden="false" customHeight="false" outlineLevel="0" collapsed="false">
      <c r="A210" s="7" t="n">
        <v>208</v>
      </c>
      <c r="B210" s="0" t="s">
        <v>227</v>
      </c>
      <c r="C210" s="8" t="n">
        <v>45315</v>
      </c>
      <c r="D210" s="6" t="n">
        <v>0</v>
      </c>
      <c r="E210" s="0" t="s">
        <v>16</v>
      </c>
      <c r="F210" s="0" t="s">
        <v>17</v>
      </c>
      <c r="G210" s="9" t="str">
        <f aca="false">IF(OR(N210="ERRO",Q210="ERRO",T210="ERRO",W210="ERRO",Z210="ERRO",AC210="ERRO",AF210="ERRO",AI210="ERRO",AL210="ERRO",AO210="ERRO",AR210="ERRO",AU210="ERRO",AX210="ERRO"),"ERRO","OK")</f>
        <v>OK</v>
      </c>
      <c r="H210" s="9" t="n">
        <f aca="false">COUNTIF(L210:AX210,"ERRO")</f>
        <v>0</v>
      </c>
      <c r="I210" s="9" t="s">
        <v>18</v>
      </c>
      <c r="J210" s="10" t="n">
        <v>1910</v>
      </c>
      <c r="K210" s="10" t="n">
        <v>2004</v>
      </c>
      <c r="L210" s="6" t="n">
        <f aca="false">(10-(LEN(M210)))+1</f>
        <v>7</v>
      </c>
      <c r="M210" s="6" t="n">
        <v>1621</v>
      </c>
      <c r="N210" s="6" t="str">
        <f aca="false">IF($J210="NA","NA",IF(AND($J210&gt;2019,M210&gt;0),"ERRO","OK"))</f>
        <v>OK</v>
      </c>
      <c r="O210" s="6" t="n">
        <f aca="false">(10-(LEN(P210)))+1</f>
        <v>7</v>
      </c>
      <c r="P210" s="6" t="n">
        <v>6881</v>
      </c>
      <c r="Q210" s="6" t="str">
        <f aca="false">IF($J210="NA","NA",IF(AND($J210&gt;2009,P210&gt;0),"ERRO","OK"))</f>
        <v>OK</v>
      </c>
      <c r="R210" s="6" t="n">
        <f aca="false">(10-(LEN(S210)))+1</f>
        <v>7</v>
      </c>
      <c r="S210" s="6" t="n">
        <v>4456</v>
      </c>
      <c r="T210" s="6" t="str">
        <f aca="false">IF($J210="NA","NA",IF(AND($J210&gt;1999,S210&gt;0),"ERRO","OK"))</f>
        <v>OK</v>
      </c>
      <c r="U210" s="6" t="n">
        <f aca="false">(10-(LEN(V210)))+1</f>
        <v>7</v>
      </c>
      <c r="V210" s="6" t="n">
        <v>5175</v>
      </c>
      <c r="W210" s="6" t="str">
        <f aca="false">IF($J210="NA","NA",IF(AND($J210&gt;1989,V210&gt;0),"ERRO","OK"))</f>
        <v>OK</v>
      </c>
      <c r="X210" s="6" t="n">
        <f aca="false">(10-(LEN(Y210)))+1</f>
        <v>7</v>
      </c>
      <c r="Y210" s="6" t="n">
        <v>6132</v>
      </c>
      <c r="Z210" s="6" t="str">
        <f aca="false">IF($J210="NA","NA",IF(AND($J210&gt;1979,Y210&gt;0),"ERRO","OK"))</f>
        <v>OK</v>
      </c>
      <c r="AA210" s="6" t="n">
        <f aca="false">(10-(LEN(AB210)))+1</f>
        <v>7</v>
      </c>
      <c r="AB210" s="6" t="n">
        <v>7017</v>
      </c>
      <c r="AC210" s="6" t="str">
        <f aca="false">IF($J210="NA","NA",IF(AND($J210&gt;1969,AB210&gt;0),"ERRO","OK"))</f>
        <v>OK</v>
      </c>
      <c r="AD210" s="6" t="n">
        <f aca="false">(10-(LEN(AE210)))+1</f>
        <v>7</v>
      </c>
      <c r="AE210" s="6" t="n">
        <v>4337</v>
      </c>
      <c r="AF210" s="6" t="str">
        <f aca="false">IF($J210="NA","NA",IF(AND($J210&gt;1959,AE210&gt;0),"ERRO","OK"))</f>
        <v>OK</v>
      </c>
      <c r="AG210" s="6" t="n">
        <f aca="false">(10-(LEN(AH210)))+1</f>
        <v>7</v>
      </c>
      <c r="AH210" s="6" t="n">
        <v>2201</v>
      </c>
      <c r="AI210" s="6" t="str">
        <f aca="false">IF($J210="NA","NA",IF(AND($J210&gt;1949,AH210&gt;0),"ERRO","OK"))</f>
        <v>OK</v>
      </c>
      <c r="AJ210" s="6" t="n">
        <f aca="false">(10-(LEN(AK210)))+1</f>
        <v>7</v>
      </c>
      <c r="AK210" s="6" t="n">
        <v>4543</v>
      </c>
      <c r="AL210" s="6" t="str">
        <f aca="false">IF($J210="NA","NA",IF(AND($J210&gt;1939,AK210&gt;0),"ERRO","OK"))</f>
        <v>OK</v>
      </c>
      <c r="AM210" s="6" t="n">
        <f aca="false">(10-(LEN(AN210)))+1</f>
        <v>8</v>
      </c>
      <c r="AN210" s="6" t="n">
        <v>321</v>
      </c>
      <c r="AO210" s="6" t="str">
        <f aca="false">IF($J210="NA","NA",IF(AND($J210&gt;1929,AN210&gt;0),"ERRO","OK"))</f>
        <v>OK</v>
      </c>
      <c r="AP210" s="6" t="n">
        <f aca="false">(10-(LEN(AQ210)))+1</f>
        <v>8</v>
      </c>
      <c r="AQ210" s="6" t="n">
        <v>211</v>
      </c>
      <c r="AR210" s="6" t="str">
        <f aca="false">IF($J210="NA","NA",IF(AND($J210&gt;1919,AQ210&gt;0),"ERRO","OK"))</f>
        <v>OK</v>
      </c>
      <c r="AS210" s="6" t="n">
        <f aca="false">(10-(LEN(AT210)))+1</f>
        <v>10</v>
      </c>
      <c r="AT210" s="6" t="n">
        <v>0</v>
      </c>
      <c r="AU210" s="6" t="str">
        <f aca="false">IF($J210="NA","NA",IF(AND($J210&gt;1909,AT210&gt;0),"ERRO","OK"))</f>
        <v>OK</v>
      </c>
      <c r="AV210" s="6" t="n">
        <f aca="false">(10-(LEN(AW210)))+1</f>
        <v>10</v>
      </c>
      <c r="AW210" s="6" t="n">
        <v>0</v>
      </c>
      <c r="AX210" s="6" t="str">
        <f aca="false">IF($J210="NA","NA",IF(AND($J210&gt;1899,AW210&gt;0),"ERRO","OK"))</f>
        <v>OK</v>
      </c>
    </row>
    <row r="211" customFormat="false" ht="15" hidden="false" customHeight="false" outlineLevel="0" collapsed="false">
      <c r="A211" s="7" t="n">
        <v>209</v>
      </c>
      <c r="B211" s="0" t="s">
        <v>228</v>
      </c>
      <c r="C211" s="8" t="n">
        <v>45315</v>
      </c>
      <c r="D211" s="6" t="n">
        <v>0</v>
      </c>
      <c r="E211" s="0" t="s">
        <v>16</v>
      </c>
      <c r="F211" s="0" t="s">
        <v>17</v>
      </c>
      <c r="G211" s="9" t="str">
        <f aca="false">IF(OR(N211="ERRO",Q211="ERRO",T211="ERRO",W211="ERRO",Z211="ERRO",AC211="ERRO",AF211="ERRO",AI211="ERRO",AL211="ERRO",AO211="ERRO",AR211="ERRO",AU211="ERRO",AX211="ERRO"),"ERRO","OK")</f>
        <v>OK</v>
      </c>
      <c r="H211" s="9" t="n">
        <f aca="false">COUNTIF(L211:AX211,"ERRO")</f>
        <v>0</v>
      </c>
      <c r="I211" s="9" t="s">
        <v>18</v>
      </c>
      <c r="J211" s="10" t="n">
        <v>1875</v>
      </c>
      <c r="K211" s="10" t="n">
        <v>1963</v>
      </c>
      <c r="L211" s="6" t="n">
        <f aca="false">(10-(LEN(M211)))+1</f>
        <v>9</v>
      </c>
      <c r="M211" s="6" t="n">
        <v>44</v>
      </c>
      <c r="N211" s="6" t="str">
        <f aca="false">IF($J211="NA","NA",IF(AND($J211&gt;2019,M211&gt;0),"ERRO","OK"))</f>
        <v>OK</v>
      </c>
      <c r="O211" s="6" t="n">
        <f aca="false">(10-(LEN(P211)))+1</f>
        <v>10</v>
      </c>
      <c r="P211" s="6" t="n">
        <v>0</v>
      </c>
      <c r="Q211" s="6" t="str">
        <f aca="false">IF($J211="NA","NA",IF(AND($J211&gt;2009,P211&gt;0),"ERRO","OK"))</f>
        <v>OK</v>
      </c>
      <c r="R211" s="6" t="n">
        <f aca="false">(10-(LEN(S211)))+1</f>
        <v>8</v>
      </c>
      <c r="S211" s="6" t="n">
        <v>573</v>
      </c>
      <c r="T211" s="6" t="str">
        <f aca="false">IF($J211="NA","NA",IF(AND($J211&gt;1999,S211&gt;0),"ERRO","OK"))</f>
        <v>OK</v>
      </c>
      <c r="U211" s="6" t="n">
        <f aca="false">(10-(LEN(V211)))+1</f>
        <v>9</v>
      </c>
      <c r="V211" s="6" t="n">
        <v>97</v>
      </c>
      <c r="W211" s="6" t="str">
        <f aca="false">IF($J211="NA","NA",IF(AND($J211&gt;1989,V211&gt;0),"ERRO","OK"))</f>
        <v>OK</v>
      </c>
      <c r="X211" s="6" t="n">
        <f aca="false">(10-(LEN(Y211)))+1</f>
        <v>8</v>
      </c>
      <c r="Y211" s="6" t="n">
        <v>169</v>
      </c>
      <c r="Z211" s="6" t="str">
        <f aca="false">IF($J211="NA","NA",IF(AND($J211&gt;1979,Y211&gt;0),"ERRO","OK"))</f>
        <v>OK</v>
      </c>
      <c r="AA211" s="6" t="n">
        <f aca="false">(10-(LEN(AB211)))+1</f>
        <v>10</v>
      </c>
      <c r="AB211" s="6" t="n">
        <v>0</v>
      </c>
      <c r="AC211" s="6" t="str">
        <f aca="false">IF($J211="NA","NA",IF(AND($J211&gt;1969,AB211&gt;0),"ERRO","OK"))</f>
        <v>OK</v>
      </c>
      <c r="AD211" s="6" t="n">
        <f aca="false">(10-(LEN(AE211)))+1</f>
        <v>8</v>
      </c>
      <c r="AE211" s="6" t="n">
        <v>189</v>
      </c>
      <c r="AF211" s="6" t="str">
        <f aca="false">IF($J211="NA","NA",IF(AND($J211&gt;1959,AE211&gt;0),"ERRO","OK"))</f>
        <v>OK</v>
      </c>
      <c r="AG211" s="6" t="n">
        <f aca="false">(10-(LEN(AH211)))+1</f>
        <v>10</v>
      </c>
      <c r="AH211" s="6" t="n">
        <v>0</v>
      </c>
      <c r="AI211" s="6" t="str">
        <f aca="false">IF($J211="NA","NA",IF(AND($J211&gt;1949,AH211&gt;0),"ERRO","OK"))</f>
        <v>OK</v>
      </c>
      <c r="AJ211" s="6" t="n">
        <f aca="false">(10-(LEN(AK211)))+1</f>
        <v>10</v>
      </c>
      <c r="AK211" s="6" t="n">
        <v>0</v>
      </c>
      <c r="AL211" s="6" t="str">
        <f aca="false">IF($J211="NA","NA",IF(AND($J211&gt;1939,AK211&gt;0),"ERRO","OK"))</f>
        <v>OK</v>
      </c>
      <c r="AM211" s="6" t="n">
        <f aca="false">(10-(LEN(AN211)))+1</f>
        <v>10</v>
      </c>
      <c r="AN211" s="6" t="n">
        <v>0</v>
      </c>
      <c r="AO211" s="6" t="str">
        <f aca="false">IF($J211="NA","NA",IF(AND($J211&gt;1929,AN211&gt;0),"ERRO","OK"))</f>
        <v>OK</v>
      </c>
      <c r="AP211" s="6" t="n">
        <f aca="false">(10-(LEN(AQ211)))+1</f>
        <v>8</v>
      </c>
      <c r="AQ211" s="6" t="n">
        <v>632</v>
      </c>
      <c r="AR211" s="6" t="str">
        <f aca="false">IF($J211="NA","NA",IF(AND($J211&gt;1919,AQ211&gt;0),"ERRO","OK"))</f>
        <v>OK</v>
      </c>
      <c r="AS211" s="6" t="n">
        <f aca="false">(10-(LEN(AT211)))+1</f>
        <v>10</v>
      </c>
      <c r="AT211" s="6" t="n">
        <v>0</v>
      </c>
      <c r="AU211" s="6" t="str">
        <f aca="false">IF($J211="NA","NA",IF(AND($J211&gt;1909,AT211&gt;0),"ERRO","OK"))</f>
        <v>OK</v>
      </c>
      <c r="AV211" s="6" t="n">
        <f aca="false">(10-(LEN(AW211)))+1</f>
        <v>10</v>
      </c>
      <c r="AW211" s="6" t="n">
        <v>0</v>
      </c>
      <c r="AX211" s="6" t="str">
        <f aca="false">IF($J211="NA","NA",IF(AND($J211&gt;1899,AW211&gt;0),"ERRO","OK"))</f>
        <v>OK</v>
      </c>
    </row>
    <row r="212" customFormat="false" ht="15" hidden="false" customHeight="false" outlineLevel="0" collapsed="false">
      <c r="A212" s="7" t="n">
        <v>210</v>
      </c>
      <c r="B212" s="0" t="s">
        <v>229</v>
      </c>
      <c r="C212" s="8" t="n">
        <v>45315</v>
      </c>
      <c r="D212" s="6" t="n">
        <v>0</v>
      </c>
      <c r="E212" s="0" t="s">
        <v>16</v>
      </c>
      <c r="F212" s="0" t="s">
        <v>17</v>
      </c>
      <c r="G212" s="9" t="str">
        <f aca="false">IF(OR(N212="ERRO",Q212="ERRO",T212="ERRO",W212="ERRO",Z212="ERRO",AC212="ERRO",AF212="ERRO",AI212="ERRO",AL212="ERRO",AO212="ERRO",AR212="ERRO",AU212="ERRO",AX212="ERRO"),"ERRO","OK")</f>
        <v>OK</v>
      </c>
      <c r="H212" s="9" t="n">
        <f aca="false">COUNTIF(L212:AX212,"ERRO")</f>
        <v>0</v>
      </c>
      <c r="I212" s="9" t="s">
        <v>18</v>
      </c>
      <c r="J212" s="10" t="n">
        <v>1900</v>
      </c>
      <c r="K212" s="10" t="n">
        <v>1993</v>
      </c>
      <c r="L212" s="6" t="n">
        <f aca="false">(10-(LEN(M212)))+1</f>
        <v>7</v>
      </c>
      <c r="M212" s="6" t="n">
        <v>2290</v>
      </c>
      <c r="N212" s="6" t="str">
        <f aca="false">IF($J212="NA","NA",IF(AND($J212&gt;2019,M212&gt;0),"ERRO","OK"))</f>
        <v>OK</v>
      </c>
      <c r="O212" s="6" t="n">
        <f aca="false">(10-(LEN(P212)))+1</f>
        <v>7</v>
      </c>
      <c r="P212" s="6" t="n">
        <v>2436</v>
      </c>
      <c r="Q212" s="6" t="str">
        <f aca="false">IF($J212="NA","NA",IF(AND($J212&gt;2009,P212&gt;0),"ERRO","OK"))</f>
        <v>OK</v>
      </c>
      <c r="R212" s="6" t="n">
        <f aca="false">(10-(LEN(S212)))+1</f>
        <v>7</v>
      </c>
      <c r="S212" s="6" t="n">
        <v>2143</v>
      </c>
      <c r="T212" s="6" t="str">
        <f aca="false">IF($J212="NA","NA",IF(AND($J212&gt;1999,S212&gt;0),"ERRO","OK"))</f>
        <v>OK</v>
      </c>
      <c r="U212" s="6" t="n">
        <f aca="false">(10-(LEN(V212)))+1</f>
        <v>7</v>
      </c>
      <c r="V212" s="6" t="n">
        <v>4829</v>
      </c>
      <c r="W212" s="6" t="str">
        <f aca="false">IF($J212="NA","NA",IF(AND($J212&gt;1989,V212&gt;0),"ERRO","OK"))</f>
        <v>OK</v>
      </c>
      <c r="X212" s="6" t="n">
        <f aca="false">(10-(LEN(Y212)))+1</f>
        <v>7</v>
      </c>
      <c r="Y212" s="6" t="n">
        <v>3906</v>
      </c>
      <c r="Z212" s="6" t="str">
        <f aca="false">IF($J212="NA","NA",IF(AND($J212&gt;1979,Y212&gt;0),"ERRO","OK"))</f>
        <v>OK</v>
      </c>
      <c r="AA212" s="6" t="n">
        <f aca="false">(10-(LEN(AB212)))+1</f>
        <v>7</v>
      </c>
      <c r="AB212" s="6" t="n">
        <v>7149</v>
      </c>
      <c r="AC212" s="6" t="str">
        <f aca="false">IF($J212="NA","NA",IF(AND($J212&gt;1969,AB212&gt;0),"ERRO","OK"))</f>
        <v>OK</v>
      </c>
      <c r="AD212" s="6" t="n">
        <f aca="false">(10-(LEN(AE212)))+1</f>
        <v>7</v>
      </c>
      <c r="AE212" s="6" t="n">
        <v>2153</v>
      </c>
      <c r="AF212" s="6" t="str">
        <f aca="false">IF($J212="NA","NA",IF(AND($J212&gt;1959,AE212&gt;0),"ERRO","OK"))</f>
        <v>OK</v>
      </c>
      <c r="AG212" s="6" t="n">
        <f aca="false">(10-(LEN(AH212)))+1</f>
        <v>7</v>
      </c>
      <c r="AH212" s="6" t="n">
        <v>2093</v>
      </c>
      <c r="AI212" s="6" t="str">
        <f aca="false">IF($J212="NA","NA",IF(AND($J212&gt;1949,AH212&gt;0),"ERRO","OK"))</f>
        <v>OK</v>
      </c>
      <c r="AJ212" s="6" t="n">
        <f aca="false">(10-(LEN(AK212)))+1</f>
        <v>7</v>
      </c>
      <c r="AK212" s="6" t="n">
        <v>1114</v>
      </c>
      <c r="AL212" s="6" t="str">
        <f aca="false">IF($J212="NA","NA",IF(AND($J212&gt;1939,AK212&gt;0),"ERRO","OK"))</f>
        <v>OK</v>
      </c>
      <c r="AM212" s="6" t="n">
        <f aca="false">(10-(LEN(AN212)))+1</f>
        <v>10</v>
      </c>
      <c r="AN212" s="6" t="n">
        <v>0</v>
      </c>
      <c r="AO212" s="6" t="str">
        <f aca="false">IF($J212="NA","NA",IF(AND($J212&gt;1929,AN212&gt;0),"ERRO","OK"))</f>
        <v>OK</v>
      </c>
      <c r="AP212" s="6" t="n">
        <f aca="false">(10-(LEN(AQ212)))+1</f>
        <v>10</v>
      </c>
      <c r="AQ212" s="6" t="n">
        <v>0</v>
      </c>
      <c r="AR212" s="6" t="str">
        <f aca="false">IF($J212="NA","NA",IF(AND($J212&gt;1919,AQ212&gt;0),"ERRO","OK"))</f>
        <v>OK</v>
      </c>
      <c r="AS212" s="6" t="n">
        <f aca="false">(10-(LEN(AT212)))+1</f>
        <v>10</v>
      </c>
      <c r="AT212" s="6" t="n">
        <v>0</v>
      </c>
      <c r="AU212" s="6" t="str">
        <f aca="false">IF($J212="NA","NA",IF(AND($J212&gt;1909,AT212&gt;0),"ERRO","OK"))</f>
        <v>OK</v>
      </c>
      <c r="AV212" s="6" t="n">
        <f aca="false">(10-(LEN(AW212)))+1</f>
        <v>10</v>
      </c>
      <c r="AW212" s="6" t="n">
        <v>0</v>
      </c>
      <c r="AX212" s="6" t="str">
        <f aca="false">IF($J212="NA","NA",IF(AND($J212&gt;1899,AW212&gt;0),"ERRO","OK"))</f>
        <v>OK</v>
      </c>
    </row>
    <row r="213" customFormat="false" ht="15" hidden="false" customHeight="false" outlineLevel="0" collapsed="false">
      <c r="A213" s="7" t="n">
        <v>211</v>
      </c>
      <c r="B213" s="0" t="s">
        <v>230</v>
      </c>
      <c r="C213" s="8" t="n">
        <v>45315</v>
      </c>
      <c r="D213" s="6" t="n">
        <v>0</v>
      </c>
      <c r="E213" s="0" t="s">
        <v>16</v>
      </c>
      <c r="F213" s="0" t="s">
        <v>17</v>
      </c>
      <c r="G213" s="9" t="str">
        <f aca="false">IF(OR(N213="ERRO",Q213="ERRO",T213="ERRO",W213="ERRO",Z213="ERRO",AC213="ERRO",AF213="ERRO",AI213="ERRO",AL213="ERRO",AO213="ERRO",AR213="ERRO",AU213="ERRO",AX213="ERRO"),"ERRO","OK")</f>
        <v>OK</v>
      </c>
      <c r="H213" s="9" t="n">
        <f aca="false">COUNTIF(L213:AX213,"ERRO")</f>
        <v>0</v>
      </c>
      <c r="I213" s="9" t="s">
        <v>18</v>
      </c>
      <c r="J213" s="10" t="n">
        <v>1894</v>
      </c>
      <c r="K213" s="10" t="n">
        <v>1954</v>
      </c>
      <c r="L213" s="6" t="n">
        <f aca="false">(10-(LEN(M213)))+1</f>
        <v>8</v>
      </c>
      <c r="M213" s="6" t="n">
        <v>292</v>
      </c>
      <c r="N213" s="6" t="str">
        <f aca="false">IF($J213="NA","NA",IF(AND($J213&gt;2019,M213&gt;0),"ERRO","OK"))</f>
        <v>OK</v>
      </c>
      <c r="O213" s="6" t="n">
        <f aca="false">(10-(LEN(P213)))+1</f>
        <v>8</v>
      </c>
      <c r="P213" s="6" t="n">
        <v>412</v>
      </c>
      <c r="Q213" s="6" t="str">
        <f aca="false">IF($J213="NA","NA",IF(AND($J213&gt;2009,P213&gt;0),"ERRO","OK"))</f>
        <v>OK</v>
      </c>
      <c r="R213" s="6" t="n">
        <f aca="false">(10-(LEN(S213)))+1</f>
        <v>7</v>
      </c>
      <c r="S213" s="6" t="n">
        <v>1008</v>
      </c>
      <c r="T213" s="6" t="str">
        <f aca="false">IF($J213="NA","NA",IF(AND($J213&gt;1999,S213&gt;0),"ERRO","OK"))</f>
        <v>OK</v>
      </c>
      <c r="U213" s="6" t="n">
        <f aca="false">(10-(LEN(V213)))+1</f>
        <v>7</v>
      </c>
      <c r="V213" s="6" t="n">
        <v>2897</v>
      </c>
      <c r="W213" s="6" t="str">
        <f aca="false">IF($J213="NA","NA",IF(AND($J213&gt;1989,V213&gt;0),"ERRO","OK"))</f>
        <v>OK</v>
      </c>
      <c r="X213" s="6" t="n">
        <f aca="false">(10-(LEN(Y213)))+1</f>
        <v>7</v>
      </c>
      <c r="Y213" s="6" t="n">
        <v>1177</v>
      </c>
      <c r="Z213" s="6" t="str">
        <f aca="false">IF($J213="NA","NA",IF(AND($J213&gt;1979,Y213&gt;0),"ERRO","OK"))</f>
        <v>OK</v>
      </c>
      <c r="AA213" s="6" t="n">
        <f aca="false">(10-(LEN(AB213)))+1</f>
        <v>8</v>
      </c>
      <c r="AB213" s="6" t="n">
        <v>879</v>
      </c>
      <c r="AC213" s="6" t="str">
        <f aca="false">IF($J213="NA","NA",IF(AND($J213&gt;1969,AB213&gt;0),"ERRO","OK"))</f>
        <v>OK</v>
      </c>
      <c r="AD213" s="6" t="n">
        <f aca="false">(10-(LEN(AE213)))+1</f>
        <v>8</v>
      </c>
      <c r="AE213" s="6" t="n">
        <v>807</v>
      </c>
      <c r="AF213" s="6" t="str">
        <f aca="false">IF($J213="NA","NA",IF(AND($J213&gt;1959,AE213&gt;0),"ERRO","OK"))</f>
        <v>OK</v>
      </c>
      <c r="AG213" s="6" t="n">
        <f aca="false">(10-(LEN(AH213)))+1</f>
        <v>7</v>
      </c>
      <c r="AH213" s="6" t="n">
        <v>1212</v>
      </c>
      <c r="AI213" s="6" t="str">
        <f aca="false">IF($J213="NA","NA",IF(AND($J213&gt;1949,AH213&gt;0),"ERRO","OK"))</f>
        <v>OK</v>
      </c>
      <c r="AJ213" s="6" t="n">
        <f aca="false">(10-(LEN(AK213)))+1</f>
        <v>7</v>
      </c>
      <c r="AK213" s="6" t="n">
        <v>7938</v>
      </c>
      <c r="AL213" s="6" t="str">
        <f aca="false">IF($J213="NA","NA",IF(AND($J213&gt;1939,AK213&gt;0),"ERRO","OK"))</f>
        <v>OK</v>
      </c>
      <c r="AM213" s="6" t="n">
        <f aca="false">(10-(LEN(AN213)))+1</f>
        <v>10</v>
      </c>
      <c r="AN213" s="6" t="n">
        <v>0</v>
      </c>
      <c r="AO213" s="6" t="str">
        <f aca="false">IF($J213="NA","NA",IF(AND($J213&gt;1929,AN213&gt;0),"ERRO","OK"))</f>
        <v>OK</v>
      </c>
      <c r="AP213" s="6" t="n">
        <f aca="false">(10-(LEN(AQ213)))+1</f>
        <v>10</v>
      </c>
      <c r="AQ213" s="6" t="n">
        <v>0</v>
      </c>
      <c r="AR213" s="6" t="str">
        <f aca="false">IF($J213="NA","NA",IF(AND($J213&gt;1919,AQ213&gt;0),"ERRO","OK"))</f>
        <v>OK</v>
      </c>
      <c r="AS213" s="6" t="n">
        <f aca="false">(10-(LEN(AT213)))+1</f>
        <v>10</v>
      </c>
      <c r="AT213" s="6" t="n">
        <v>0</v>
      </c>
      <c r="AU213" s="6" t="str">
        <f aca="false">IF($J213="NA","NA",IF(AND($J213&gt;1909,AT213&gt;0),"ERRO","OK"))</f>
        <v>OK</v>
      </c>
      <c r="AV213" s="6" t="n">
        <f aca="false">(10-(LEN(AW213)))+1</f>
        <v>10</v>
      </c>
      <c r="AW213" s="6" t="n">
        <v>0</v>
      </c>
      <c r="AX213" s="6" t="str">
        <f aca="false">IF($J213="NA","NA",IF(AND($J213&gt;1899,AW213&gt;0),"ERRO","OK"))</f>
        <v>OK</v>
      </c>
    </row>
    <row r="214" customFormat="false" ht="15" hidden="false" customHeight="false" outlineLevel="0" collapsed="false">
      <c r="A214" s="7" t="n">
        <v>212</v>
      </c>
      <c r="B214" s="0" t="s">
        <v>231</v>
      </c>
      <c r="C214" s="8" t="n">
        <v>45315</v>
      </c>
      <c r="D214" s="6" t="n">
        <v>0</v>
      </c>
      <c r="E214" s="0" t="s">
        <v>16</v>
      </c>
      <c r="F214" s="0" t="s">
        <v>17</v>
      </c>
      <c r="G214" s="9" t="str">
        <f aca="false">IF(OR(N214="ERRO",Q214="ERRO",T214="ERRO",W214="ERRO",Z214="ERRO",AC214="ERRO",AF214="ERRO",AI214="ERRO",AL214="ERRO",AO214="ERRO",AR214="ERRO",AU214="ERRO",AX214="ERRO"),"ERRO","OK")</f>
        <v>OK</v>
      </c>
      <c r="H214" s="9" t="n">
        <f aca="false">COUNTIF(L214:AX214,"ERRO")</f>
        <v>0</v>
      </c>
      <c r="I214" s="9" t="s">
        <v>18</v>
      </c>
      <c r="J214" s="10" t="n">
        <v>1912</v>
      </c>
      <c r="K214" s="10" t="n">
        <v>2010</v>
      </c>
      <c r="L214" s="6" t="n">
        <f aca="false">(10-(LEN(M214)))+1</f>
        <v>9</v>
      </c>
      <c r="M214" s="6" t="n">
        <v>83</v>
      </c>
      <c r="N214" s="6" t="str">
        <f aca="false">IF($J214="NA","NA",IF(AND($J214&gt;2019,M214&gt;0),"ERRO","OK"))</f>
        <v>OK</v>
      </c>
      <c r="O214" s="6" t="n">
        <f aca="false">(10-(LEN(P214)))+1</f>
        <v>8</v>
      </c>
      <c r="P214" s="6" t="n">
        <v>274</v>
      </c>
      <c r="Q214" s="6" t="str">
        <f aca="false">IF($J214="NA","NA",IF(AND($J214&gt;2009,P214&gt;0),"ERRO","OK"))</f>
        <v>OK</v>
      </c>
      <c r="R214" s="6" t="n">
        <f aca="false">(10-(LEN(S214)))+1</f>
        <v>8</v>
      </c>
      <c r="S214" s="6" t="n">
        <v>756</v>
      </c>
      <c r="T214" s="6" t="str">
        <f aca="false">IF($J214="NA","NA",IF(AND($J214&gt;1999,S214&gt;0),"ERRO","OK"))</f>
        <v>OK</v>
      </c>
      <c r="U214" s="6" t="n">
        <f aca="false">(10-(LEN(V214)))+1</f>
        <v>8</v>
      </c>
      <c r="V214" s="6" t="n">
        <v>598</v>
      </c>
      <c r="W214" s="6" t="str">
        <f aca="false">IF($J214="NA","NA",IF(AND($J214&gt;1989,V214&gt;0),"ERRO","OK"))</f>
        <v>OK</v>
      </c>
      <c r="X214" s="6" t="n">
        <f aca="false">(10-(LEN(Y214)))+1</f>
        <v>8</v>
      </c>
      <c r="Y214" s="6" t="n">
        <v>214</v>
      </c>
      <c r="Z214" s="6" t="str">
        <f aca="false">IF($J214="NA","NA",IF(AND($J214&gt;1979,Y214&gt;0),"ERRO","OK"))</f>
        <v>OK</v>
      </c>
      <c r="AA214" s="6" t="n">
        <f aca="false">(10-(LEN(AB214)))+1</f>
        <v>8</v>
      </c>
      <c r="AB214" s="6" t="n">
        <v>938</v>
      </c>
      <c r="AC214" s="6" t="str">
        <f aca="false">IF($J214="NA","NA",IF(AND($J214&gt;1969,AB214&gt;0),"ERRO","OK"))</f>
        <v>OK</v>
      </c>
      <c r="AD214" s="6" t="n">
        <f aca="false">(10-(LEN(AE214)))+1</f>
        <v>7</v>
      </c>
      <c r="AE214" s="6" t="n">
        <v>1435</v>
      </c>
      <c r="AF214" s="6" t="str">
        <f aca="false">IF($J214="NA","NA",IF(AND($J214&gt;1959,AE214&gt;0),"ERRO","OK"))</f>
        <v>OK</v>
      </c>
      <c r="AG214" s="6" t="n">
        <f aca="false">(10-(LEN(AH214)))+1</f>
        <v>8</v>
      </c>
      <c r="AH214" s="6" t="n">
        <v>110</v>
      </c>
      <c r="AI214" s="6" t="str">
        <f aca="false">IF($J214="NA","NA",IF(AND($J214&gt;1949,AH214&gt;0),"ERRO","OK"))</f>
        <v>OK</v>
      </c>
      <c r="AJ214" s="6" t="n">
        <f aca="false">(10-(LEN(AK214)))+1</f>
        <v>8</v>
      </c>
      <c r="AK214" s="6" t="n">
        <v>139</v>
      </c>
      <c r="AL214" s="6" t="str">
        <f aca="false">IF($J214="NA","NA",IF(AND($J214&gt;1939,AK214&gt;0),"ERRO","OK"))</f>
        <v>OK</v>
      </c>
      <c r="AM214" s="6" t="n">
        <f aca="false">(10-(LEN(AN214)))+1</f>
        <v>10</v>
      </c>
      <c r="AN214" s="6" t="n">
        <v>0</v>
      </c>
      <c r="AO214" s="6" t="str">
        <f aca="false">IF($J214="NA","NA",IF(AND($J214&gt;1929,AN214&gt;0),"ERRO","OK"))</f>
        <v>OK</v>
      </c>
      <c r="AP214" s="6" t="n">
        <f aca="false">(10-(LEN(AQ214)))+1</f>
        <v>10</v>
      </c>
      <c r="AQ214" s="6" t="n">
        <v>0</v>
      </c>
      <c r="AR214" s="6" t="str">
        <f aca="false">IF($J214="NA","NA",IF(AND($J214&gt;1919,AQ214&gt;0),"ERRO","OK"))</f>
        <v>OK</v>
      </c>
      <c r="AS214" s="6" t="n">
        <f aca="false">(10-(LEN(AT214)))+1</f>
        <v>10</v>
      </c>
      <c r="AT214" s="6" t="n">
        <v>0</v>
      </c>
      <c r="AU214" s="6" t="str">
        <f aca="false">IF($J214="NA","NA",IF(AND($J214&gt;1909,AT214&gt;0),"ERRO","OK"))</f>
        <v>OK</v>
      </c>
      <c r="AV214" s="6" t="n">
        <f aca="false">(10-(LEN(AW214)))+1</f>
        <v>10</v>
      </c>
      <c r="AW214" s="6" t="n">
        <v>0</v>
      </c>
      <c r="AX214" s="6" t="str">
        <f aca="false">IF($J214="NA","NA",IF(AND($J214&gt;1899,AW214&gt;0),"ERRO","OK"))</f>
        <v>OK</v>
      </c>
    </row>
    <row r="215" customFormat="false" ht="15" hidden="false" customHeight="false" outlineLevel="0" collapsed="false">
      <c r="A215" s="7" t="n">
        <v>213</v>
      </c>
      <c r="B215" s="0" t="s">
        <v>232</v>
      </c>
      <c r="C215" s="8" t="n">
        <v>45315</v>
      </c>
      <c r="D215" s="6" t="n">
        <v>0</v>
      </c>
      <c r="E215" s="0" t="s">
        <v>16</v>
      </c>
      <c r="F215" s="0" t="s">
        <v>17</v>
      </c>
      <c r="G215" s="9" t="str">
        <f aca="false">IF(OR(N215="ERRO",Q215="ERRO",T215="ERRO",W215="ERRO",Z215="ERRO",AC215="ERRO",AF215="ERRO",AI215="ERRO",AL215="ERRO",AO215="ERRO",AR215="ERRO",AU215="ERRO",AX215="ERRO"),"ERRO","OK")</f>
        <v>OK</v>
      </c>
      <c r="H215" s="9" t="n">
        <f aca="false">COUNTIF(L215:AX215,"ERRO")</f>
        <v>0</v>
      </c>
      <c r="I215" s="9" t="s">
        <v>18</v>
      </c>
      <c r="J215" s="10" t="n">
        <v>1901</v>
      </c>
      <c r="K215" s="10" t="n">
        <v>1986</v>
      </c>
      <c r="L215" s="6" t="n">
        <f aca="false">(10-(LEN(M215)))+1</f>
        <v>7</v>
      </c>
      <c r="M215" s="6" t="n">
        <v>8745</v>
      </c>
      <c r="N215" s="6" t="str">
        <f aca="false">IF($J215="NA","NA",IF(AND($J215&gt;2019,M215&gt;0),"ERRO","OK"))</f>
        <v>OK</v>
      </c>
      <c r="O215" s="6" t="n">
        <f aca="false">(10-(LEN(P215)))+1</f>
        <v>7</v>
      </c>
      <c r="P215" s="6" t="n">
        <v>5248</v>
      </c>
      <c r="Q215" s="6" t="str">
        <f aca="false">IF($J215="NA","NA",IF(AND($J215&gt;2009,P215&gt;0),"ERRO","OK"))</f>
        <v>OK</v>
      </c>
      <c r="R215" s="6" t="n">
        <f aca="false">(10-(LEN(S215)))+1</f>
        <v>7</v>
      </c>
      <c r="S215" s="6" t="n">
        <v>3487</v>
      </c>
      <c r="T215" s="6" t="str">
        <f aca="false">IF($J215="NA","NA",IF(AND($J215&gt;1999,S215&gt;0),"ERRO","OK"))</f>
        <v>OK</v>
      </c>
      <c r="U215" s="6" t="n">
        <f aca="false">(10-(LEN(V215)))+1</f>
        <v>7</v>
      </c>
      <c r="V215" s="6" t="n">
        <v>4323</v>
      </c>
      <c r="W215" s="6" t="str">
        <f aca="false">IF($J215="NA","NA",IF(AND($J215&gt;1989,V215&gt;0),"ERRO","OK"))</f>
        <v>OK</v>
      </c>
      <c r="X215" s="6" t="n">
        <f aca="false">(10-(LEN(Y215)))+1</f>
        <v>7</v>
      </c>
      <c r="Y215" s="6" t="n">
        <v>1980</v>
      </c>
      <c r="Z215" s="6" t="str">
        <f aca="false">IF($J215="NA","NA",IF(AND($J215&gt;1979,Y215&gt;0),"ERRO","OK"))</f>
        <v>OK</v>
      </c>
      <c r="AA215" s="6" t="n">
        <f aca="false">(10-(LEN(AB215)))+1</f>
        <v>7</v>
      </c>
      <c r="AB215" s="6" t="n">
        <v>6739</v>
      </c>
      <c r="AC215" s="6" t="str">
        <f aca="false">IF($J215="NA","NA",IF(AND($J215&gt;1969,AB215&gt;0),"ERRO","OK"))</f>
        <v>OK</v>
      </c>
      <c r="AD215" s="6" t="n">
        <f aca="false">(10-(LEN(AE215)))+1</f>
        <v>7</v>
      </c>
      <c r="AE215" s="6" t="n">
        <v>7894</v>
      </c>
      <c r="AF215" s="6" t="str">
        <f aca="false">IF($J215="NA","NA",IF(AND($J215&gt;1959,AE215&gt;0),"ERRO","OK"))</f>
        <v>OK</v>
      </c>
      <c r="AG215" s="6" t="n">
        <f aca="false">(10-(LEN(AH215)))+1</f>
        <v>8</v>
      </c>
      <c r="AH215" s="6" t="n">
        <v>110</v>
      </c>
      <c r="AI215" s="6" t="str">
        <f aca="false">IF($J215="NA","NA",IF(AND($J215&gt;1949,AH215&gt;0),"ERRO","OK"))</f>
        <v>OK</v>
      </c>
      <c r="AJ215" s="6" t="n">
        <f aca="false">(10-(LEN(AK215)))+1</f>
        <v>7</v>
      </c>
      <c r="AK215" s="6" t="n">
        <v>2507</v>
      </c>
      <c r="AL215" s="6" t="str">
        <f aca="false">IF($J215="NA","NA",IF(AND($J215&gt;1939,AK215&gt;0),"ERRO","OK"))</f>
        <v>OK</v>
      </c>
      <c r="AM215" s="6" t="n">
        <f aca="false">(10-(LEN(AN215)))+1</f>
        <v>10</v>
      </c>
      <c r="AN215" s="6" t="n">
        <v>0</v>
      </c>
      <c r="AO215" s="6" t="str">
        <f aca="false">IF($J215="NA","NA",IF(AND($J215&gt;1929,AN215&gt;0),"ERRO","OK"))</f>
        <v>OK</v>
      </c>
      <c r="AP215" s="6" t="n">
        <f aca="false">(10-(LEN(AQ215)))+1</f>
        <v>8</v>
      </c>
      <c r="AQ215" s="6" t="n">
        <v>300</v>
      </c>
      <c r="AR215" s="6" t="str">
        <f aca="false">IF($J215="NA","NA",IF(AND($J215&gt;1919,AQ215&gt;0),"ERRO","OK"))</f>
        <v>OK</v>
      </c>
      <c r="AS215" s="6" t="n">
        <f aca="false">(10-(LEN(AT215)))+1</f>
        <v>10</v>
      </c>
      <c r="AT215" s="6" t="n">
        <v>0</v>
      </c>
      <c r="AU215" s="6" t="str">
        <f aca="false">IF($J215="NA","NA",IF(AND($J215&gt;1909,AT215&gt;0),"ERRO","OK"))</f>
        <v>OK</v>
      </c>
      <c r="AV215" s="6" t="n">
        <f aca="false">(10-(LEN(AW215)))+1</f>
        <v>10</v>
      </c>
      <c r="AW215" s="6" t="n">
        <v>0</v>
      </c>
      <c r="AX215" s="6" t="str">
        <f aca="false">IF($J215="NA","NA",IF(AND($J215&gt;1899,AW215&gt;0),"ERRO","OK"))</f>
        <v>OK</v>
      </c>
    </row>
    <row r="216" customFormat="false" ht="15" hidden="false" customHeight="false" outlineLevel="0" collapsed="false">
      <c r="A216" s="7" t="n">
        <v>214</v>
      </c>
      <c r="B216" s="0" t="s">
        <v>233</v>
      </c>
      <c r="C216" s="8" t="n">
        <v>45315</v>
      </c>
      <c r="D216" s="6" t="n">
        <v>0</v>
      </c>
      <c r="E216" s="0" t="s">
        <v>16</v>
      </c>
      <c r="F216" s="0" t="s">
        <v>17</v>
      </c>
      <c r="G216" s="9" t="str">
        <f aca="false">IF(OR(N216="ERRO",Q216="ERRO",T216="ERRO",W216="ERRO",Z216="ERRO",AC216="ERRO",AF216="ERRO",AI216="ERRO",AL216="ERRO",AO216="ERRO",AR216="ERRO",AU216="ERRO",AX216="ERRO"),"ERRO","OK")</f>
        <v>OK</v>
      </c>
      <c r="H216" s="9" t="n">
        <f aca="false">COUNTIF(L216:AX216,"ERRO")</f>
        <v>0</v>
      </c>
      <c r="I216" s="9" t="s">
        <v>18</v>
      </c>
      <c r="J216" s="10" t="n">
        <v>1908</v>
      </c>
      <c r="K216" s="10" t="n">
        <v>2009</v>
      </c>
      <c r="L216" s="6" t="n">
        <f aca="false">(10-(LEN(M216)))+1</f>
        <v>7</v>
      </c>
      <c r="M216" s="6" t="n">
        <v>1499</v>
      </c>
      <c r="N216" s="6" t="str">
        <f aca="false">IF($J216="NA","NA",IF(AND($J216&gt;2019,M216&gt;0),"ERRO","OK"))</f>
        <v>OK</v>
      </c>
      <c r="O216" s="6" t="n">
        <f aca="false">(10-(LEN(P216)))+1</f>
        <v>7</v>
      </c>
      <c r="P216" s="6" t="n">
        <v>2847</v>
      </c>
      <c r="Q216" s="6" t="str">
        <f aca="false">IF($J216="NA","NA",IF(AND($J216&gt;2009,P216&gt;0),"ERRO","OK"))</f>
        <v>OK</v>
      </c>
      <c r="R216" s="6" t="n">
        <f aca="false">(10-(LEN(S216)))+1</f>
        <v>7</v>
      </c>
      <c r="S216" s="6" t="n">
        <v>3319</v>
      </c>
      <c r="T216" s="6" t="str">
        <f aca="false">IF($J216="NA","NA",IF(AND($J216&gt;1999,S216&gt;0),"ERRO","OK"))</f>
        <v>OK</v>
      </c>
      <c r="U216" s="6" t="n">
        <f aca="false">(10-(LEN(V216)))+1</f>
        <v>7</v>
      </c>
      <c r="V216" s="6" t="n">
        <v>2576</v>
      </c>
      <c r="W216" s="6" t="str">
        <f aca="false">IF($J216="NA","NA",IF(AND($J216&gt;1989,V216&gt;0),"ERRO","OK"))</f>
        <v>OK</v>
      </c>
      <c r="X216" s="6" t="n">
        <f aca="false">(10-(LEN(Y216)))+1</f>
        <v>7</v>
      </c>
      <c r="Y216" s="6" t="n">
        <v>2087</v>
      </c>
      <c r="Z216" s="6" t="str">
        <f aca="false">IF($J216="NA","NA",IF(AND($J216&gt;1979,Y216&gt;0),"ERRO","OK"))</f>
        <v>OK</v>
      </c>
      <c r="AA216" s="6" t="n">
        <f aca="false">(10-(LEN(AB216)))+1</f>
        <v>7</v>
      </c>
      <c r="AB216" s="6" t="n">
        <v>6973</v>
      </c>
      <c r="AC216" s="6" t="str">
        <f aca="false">IF($J216="NA","NA",IF(AND($J216&gt;1969,AB216&gt;0),"ERRO","OK"))</f>
        <v>OK</v>
      </c>
      <c r="AD216" s="6" t="n">
        <f aca="false">(10-(LEN(AE216)))+1</f>
        <v>6</v>
      </c>
      <c r="AE216" s="6" t="n">
        <v>10765</v>
      </c>
      <c r="AF216" s="6" t="str">
        <f aca="false">IF($J216="NA","NA",IF(AND($J216&gt;1959,AE216&gt;0),"ERRO","OK"))</f>
        <v>OK</v>
      </c>
      <c r="AG216" s="6" t="n">
        <f aca="false">(10-(LEN(AH216)))+1</f>
        <v>7</v>
      </c>
      <c r="AH216" s="6" t="n">
        <v>5617</v>
      </c>
      <c r="AI216" s="6" t="str">
        <f aca="false">IF($J216="NA","NA",IF(AND($J216&gt;1949,AH216&gt;0),"ERRO","OK"))</f>
        <v>OK</v>
      </c>
      <c r="AJ216" s="6" t="n">
        <f aca="false">(10-(LEN(AK216)))+1</f>
        <v>8</v>
      </c>
      <c r="AK216" s="6" t="n">
        <v>557</v>
      </c>
      <c r="AL216" s="6" t="str">
        <f aca="false">IF($J216="NA","NA",IF(AND($J216&gt;1939,AK216&gt;0),"ERRO","OK"))</f>
        <v>OK</v>
      </c>
      <c r="AM216" s="6" t="n">
        <f aca="false">(10-(LEN(AN216)))+1</f>
        <v>10</v>
      </c>
      <c r="AN216" s="6" t="n">
        <v>0</v>
      </c>
      <c r="AO216" s="6" t="str">
        <f aca="false">IF($J216="NA","NA",IF(AND($J216&gt;1929,AN216&gt;0),"ERRO","OK"))</f>
        <v>OK</v>
      </c>
      <c r="AP216" s="6" t="n">
        <f aca="false">(10-(LEN(AQ216)))+1</f>
        <v>8</v>
      </c>
      <c r="AQ216" s="6" t="n">
        <v>100</v>
      </c>
      <c r="AR216" s="6" t="str">
        <f aca="false">IF($J216="NA","NA",IF(AND($J216&gt;1919,AQ216&gt;0),"ERRO","OK"))</f>
        <v>OK</v>
      </c>
      <c r="AS216" s="6" t="n">
        <f aca="false">(10-(LEN(AT216)))+1</f>
        <v>10</v>
      </c>
      <c r="AT216" s="6" t="n">
        <v>0</v>
      </c>
      <c r="AU216" s="6" t="str">
        <f aca="false">IF($J216="NA","NA",IF(AND($J216&gt;1909,AT216&gt;0),"ERRO","OK"))</f>
        <v>OK</v>
      </c>
      <c r="AV216" s="6" t="n">
        <f aca="false">(10-(LEN(AW216)))+1</f>
        <v>10</v>
      </c>
      <c r="AW216" s="6" t="n">
        <v>0</v>
      </c>
      <c r="AX216" s="6" t="str">
        <f aca="false">IF($J216="NA","NA",IF(AND($J216&gt;1899,AW216&gt;0),"ERRO","OK"))</f>
        <v>OK</v>
      </c>
    </row>
    <row r="217" customFormat="false" ht="15" hidden="false" customHeight="false" outlineLevel="0" collapsed="false">
      <c r="A217" s="7" t="n">
        <v>215</v>
      </c>
      <c r="B217" s="0" t="s">
        <v>234</v>
      </c>
      <c r="C217" s="8" t="n">
        <v>45315</v>
      </c>
      <c r="D217" s="6" t="n">
        <v>0</v>
      </c>
      <c r="E217" s="0" t="s">
        <v>16</v>
      </c>
      <c r="F217" s="0" t="s">
        <v>17</v>
      </c>
      <c r="G217" s="9" t="str">
        <f aca="false">IF(OR(N217="ERRO",Q217="ERRO",T217="ERRO",W217="ERRO",Z217="ERRO",AC217="ERRO",AF217="ERRO",AI217="ERRO",AL217="ERRO",AO217="ERRO",AR217="ERRO",AU217="ERRO",AX217="ERRO"),"ERRO","OK")</f>
        <v>OK</v>
      </c>
      <c r="H217" s="9" t="n">
        <f aca="false">COUNTIF(L217:AX217,"ERRO")</f>
        <v>0</v>
      </c>
      <c r="I217" s="9" t="s">
        <v>18</v>
      </c>
      <c r="J217" s="10" t="n">
        <v>1904</v>
      </c>
      <c r="K217" s="10" t="n">
        <v>2003</v>
      </c>
      <c r="L217" s="6" t="n">
        <f aca="false">(10-(LEN(M217)))+1</f>
        <v>8</v>
      </c>
      <c r="M217" s="6" t="n">
        <v>263</v>
      </c>
      <c r="N217" s="6" t="str">
        <f aca="false">IF($J217="NA","NA",IF(AND($J217&gt;2019,M217&gt;0),"ERRO","OK"))</f>
        <v>OK</v>
      </c>
      <c r="O217" s="6" t="n">
        <f aca="false">(10-(LEN(P217)))+1</f>
        <v>9</v>
      </c>
      <c r="P217" s="6" t="n">
        <v>36</v>
      </c>
      <c r="Q217" s="6" t="str">
        <f aca="false">IF($J217="NA","NA",IF(AND($J217&gt;2009,P217&gt;0),"ERRO","OK"))</f>
        <v>OK</v>
      </c>
      <c r="R217" s="6" t="n">
        <f aca="false">(10-(LEN(S217)))+1</f>
        <v>8</v>
      </c>
      <c r="S217" s="6" t="n">
        <v>485</v>
      </c>
      <c r="T217" s="6" t="str">
        <f aca="false">IF($J217="NA","NA",IF(AND($J217&gt;1999,S217&gt;0),"ERRO","OK"))</f>
        <v>OK</v>
      </c>
      <c r="U217" s="6" t="n">
        <f aca="false">(10-(LEN(V217)))+1</f>
        <v>10</v>
      </c>
      <c r="V217" s="6" t="n">
        <v>0</v>
      </c>
      <c r="W217" s="6" t="str">
        <f aca="false">IF($J217="NA","NA",IF(AND($J217&gt;1989,V217&gt;0),"ERRO","OK"))</f>
        <v>OK</v>
      </c>
      <c r="X217" s="6" t="n">
        <f aca="false">(10-(LEN(Y217)))+1</f>
        <v>8</v>
      </c>
      <c r="Y217" s="6" t="n">
        <v>619</v>
      </c>
      <c r="Z217" s="6" t="str">
        <f aca="false">IF($J217="NA","NA",IF(AND($J217&gt;1979,Y217&gt;0),"ERRO","OK"))</f>
        <v>OK</v>
      </c>
      <c r="AA217" s="6" t="n">
        <f aca="false">(10-(LEN(AB217)))+1</f>
        <v>10</v>
      </c>
      <c r="AB217" s="6" t="n">
        <v>0</v>
      </c>
      <c r="AC217" s="6" t="str">
        <f aca="false">IF($J217="NA","NA",IF(AND($J217&gt;1969,AB217&gt;0),"ERRO","OK"))</f>
        <v>OK</v>
      </c>
      <c r="AD217" s="6" t="n">
        <f aca="false">(10-(LEN(AE217)))+1</f>
        <v>10</v>
      </c>
      <c r="AE217" s="6" t="n">
        <v>0</v>
      </c>
      <c r="AF217" s="6" t="str">
        <f aca="false">IF($J217="NA","NA",IF(AND($J217&gt;1959,AE217&gt;0),"ERRO","OK"))</f>
        <v>OK</v>
      </c>
      <c r="AG217" s="6" t="n">
        <f aca="false">(10-(LEN(AH217)))+1</f>
        <v>10</v>
      </c>
      <c r="AH217" s="6" t="n">
        <v>0</v>
      </c>
      <c r="AI217" s="6" t="str">
        <f aca="false">IF($J217="NA","NA",IF(AND($J217&gt;1949,AH217&gt;0),"ERRO","OK"))</f>
        <v>OK</v>
      </c>
      <c r="AJ217" s="6" t="n">
        <f aca="false">(10-(LEN(AK217)))+1</f>
        <v>10</v>
      </c>
      <c r="AK217" s="6" t="n">
        <v>0</v>
      </c>
      <c r="AL217" s="6" t="str">
        <f aca="false">IF($J217="NA","NA",IF(AND($J217&gt;1939,AK217&gt;0),"ERRO","OK"))</f>
        <v>OK</v>
      </c>
      <c r="AM217" s="6" t="n">
        <f aca="false">(10-(LEN(AN217)))+1</f>
        <v>10</v>
      </c>
      <c r="AN217" s="6" t="n">
        <v>0</v>
      </c>
      <c r="AO217" s="6" t="str">
        <f aca="false">IF($J217="NA","NA",IF(AND($J217&gt;1929,AN217&gt;0),"ERRO","OK"))</f>
        <v>OK</v>
      </c>
      <c r="AP217" s="6" t="n">
        <f aca="false">(10-(LEN(AQ217)))+1</f>
        <v>10</v>
      </c>
      <c r="AQ217" s="6" t="n">
        <v>0</v>
      </c>
      <c r="AR217" s="6" t="str">
        <f aca="false">IF($J217="NA","NA",IF(AND($J217&gt;1919,AQ217&gt;0),"ERRO","OK"))</f>
        <v>OK</v>
      </c>
      <c r="AS217" s="6" t="n">
        <f aca="false">(10-(LEN(AT217)))+1</f>
        <v>10</v>
      </c>
      <c r="AT217" s="6" t="n">
        <v>0</v>
      </c>
      <c r="AU217" s="6" t="str">
        <f aca="false">IF($J217="NA","NA",IF(AND($J217&gt;1909,AT217&gt;0),"ERRO","OK"))</f>
        <v>OK</v>
      </c>
      <c r="AV217" s="6" t="n">
        <f aca="false">(10-(LEN(AW217)))+1</f>
        <v>10</v>
      </c>
      <c r="AW217" s="6" t="n">
        <v>0</v>
      </c>
      <c r="AX217" s="6" t="str">
        <f aca="false">IF($J217="NA","NA",IF(AND($J217&gt;1899,AW217&gt;0),"ERRO","OK"))</f>
        <v>OK</v>
      </c>
    </row>
    <row r="218" customFormat="false" ht="15" hidden="false" customHeight="false" outlineLevel="0" collapsed="false">
      <c r="A218" s="7" t="n">
        <v>216</v>
      </c>
      <c r="B218" s="0" t="s">
        <v>235</v>
      </c>
      <c r="C218" s="8" t="n">
        <v>45315</v>
      </c>
      <c r="D218" s="6" t="n">
        <v>0</v>
      </c>
      <c r="E218" s="0" t="s">
        <v>16</v>
      </c>
      <c r="F218" s="0" t="s">
        <v>17</v>
      </c>
      <c r="G218" s="9" t="str">
        <f aca="false">IF(OR(N218="ERRO",Q218="ERRO",T218="ERRO",W218="ERRO",Z218="ERRO",AC218="ERRO",AF218="ERRO",AI218="ERRO",AL218="ERRO",AO218="ERRO",AR218="ERRO",AU218="ERRO",AX218="ERRO"),"ERRO","OK")</f>
        <v>ERRO</v>
      </c>
      <c r="H218" s="9" t="n">
        <f aca="false">COUNTIF(L218:AX218,"ERRO")</f>
        <v>1</v>
      </c>
      <c r="I218" s="9" t="s">
        <v>18</v>
      </c>
      <c r="J218" s="10" t="n">
        <v>1904</v>
      </c>
      <c r="K218" s="10" t="n">
        <v>1974</v>
      </c>
      <c r="L218" s="6" t="n">
        <f aca="false">(10-(LEN(M218)))+1</f>
        <v>7</v>
      </c>
      <c r="M218" s="6" t="n">
        <v>5789</v>
      </c>
      <c r="N218" s="6" t="str">
        <f aca="false">IF($J218="NA","NA",IF(AND($J218&gt;2019,M218&gt;0),"ERRO","OK"))</f>
        <v>OK</v>
      </c>
      <c r="O218" s="6" t="n">
        <f aca="false">(10-(LEN(P218)))+1</f>
        <v>7</v>
      </c>
      <c r="P218" s="6" t="n">
        <v>7375</v>
      </c>
      <c r="Q218" s="6" t="str">
        <f aca="false">IF($J218="NA","NA",IF(AND($J218&gt;2009,P218&gt;0),"ERRO","OK"))</f>
        <v>OK</v>
      </c>
      <c r="R218" s="6" t="n">
        <f aca="false">(10-(LEN(S218)))+1</f>
        <v>7</v>
      </c>
      <c r="S218" s="6" t="n">
        <v>8739</v>
      </c>
      <c r="T218" s="6" t="str">
        <f aca="false">IF($J218="NA","NA",IF(AND($J218&gt;1999,S218&gt;0),"ERRO","OK"))</f>
        <v>OK</v>
      </c>
      <c r="U218" s="6" t="n">
        <f aca="false">(10-(LEN(V218)))+1</f>
        <v>7</v>
      </c>
      <c r="V218" s="6" t="n">
        <v>6393</v>
      </c>
      <c r="W218" s="6" t="str">
        <f aca="false">IF($J218="NA","NA",IF(AND($J218&gt;1989,V218&gt;0),"ERRO","OK"))</f>
        <v>OK</v>
      </c>
      <c r="X218" s="6" t="n">
        <f aca="false">(10-(LEN(Y218)))+1</f>
        <v>7</v>
      </c>
      <c r="Y218" s="6" t="n">
        <v>7277</v>
      </c>
      <c r="Z218" s="6" t="str">
        <f aca="false">IF($J218="NA","NA",IF(AND($J218&gt;1979,Y218&gt;0),"ERRO","OK"))</f>
        <v>OK</v>
      </c>
      <c r="AA218" s="6" t="n">
        <f aca="false">(10-(LEN(AB218)))+1</f>
        <v>6</v>
      </c>
      <c r="AB218" s="6" t="n">
        <v>11309</v>
      </c>
      <c r="AC218" s="6" t="str">
        <f aca="false">IF($J218="NA","NA",IF(AND($J218&gt;1969,AB218&gt;0),"ERRO","OK"))</f>
        <v>OK</v>
      </c>
      <c r="AD218" s="6" t="n">
        <f aca="false">(10-(LEN(AE218)))+1</f>
        <v>6</v>
      </c>
      <c r="AE218" s="6" t="n">
        <v>18479</v>
      </c>
      <c r="AF218" s="6" t="str">
        <f aca="false">IF($J218="NA","NA",IF(AND($J218&gt;1959,AE218&gt;0),"ERRO","OK"))</f>
        <v>OK</v>
      </c>
      <c r="AG218" s="6" t="n">
        <f aca="false">(10-(LEN(AH218)))+1</f>
        <v>6</v>
      </c>
      <c r="AH218" s="6" t="n">
        <v>11124</v>
      </c>
      <c r="AI218" s="6" t="str">
        <f aca="false">IF($J218="NA","NA",IF(AND($J218&gt;1949,AH218&gt;0),"ERRO","OK"))</f>
        <v>OK</v>
      </c>
      <c r="AJ218" s="6" t="n">
        <f aca="false">(10-(LEN(AK218)))+1</f>
        <v>6</v>
      </c>
      <c r="AK218" s="6" t="n">
        <v>11976</v>
      </c>
      <c r="AL218" s="6" t="str">
        <f aca="false">IF($J218="NA","NA",IF(AND($J218&gt;1939,AK218&gt;0),"ERRO","OK"))</f>
        <v>OK</v>
      </c>
      <c r="AM218" s="6" t="n">
        <f aca="false">(10-(LEN(AN218)))+1</f>
        <v>6</v>
      </c>
      <c r="AN218" s="6" t="n">
        <v>16909</v>
      </c>
      <c r="AO218" s="6" t="str">
        <f aca="false">IF($J218="NA","NA",IF(AND($J218&gt;1929,AN218&gt;0),"ERRO","OK"))</f>
        <v>OK</v>
      </c>
      <c r="AP218" s="6" t="n">
        <f aca="false">(10-(LEN(AQ218)))+1</f>
        <v>7</v>
      </c>
      <c r="AQ218" s="6" t="n">
        <v>8812</v>
      </c>
      <c r="AR218" s="6" t="str">
        <f aca="false">IF($J218="NA","NA",IF(AND($J218&gt;1919,AQ218&gt;0),"ERRO","OK"))</f>
        <v>OK</v>
      </c>
      <c r="AS218" s="6" t="n">
        <f aca="false">(10-(LEN(AT218)))+1</f>
        <v>6</v>
      </c>
      <c r="AT218" s="6" t="n">
        <v>21553</v>
      </c>
      <c r="AU218" s="6" t="str">
        <f aca="false">IF($J218="NA","NA",IF(AND($J218&gt;1909,AT218&gt;0),"ERRO","OK"))</f>
        <v>OK</v>
      </c>
      <c r="AV218" s="6" t="n">
        <f aca="false">(10-(LEN(AW218)))+1</f>
        <v>6</v>
      </c>
      <c r="AW218" s="6" t="n">
        <v>15220</v>
      </c>
      <c r="AX218" s="6" t="str">
        <f aca="false">IF($J218="NA","NA",IF(AND($J218&gt;1899,AW218&gt;0),"ERRO","OK"))</f>
        <v>ERRO</v>
      </c>
    </row>
    <row r="219" customFormat="false" ht="15" hidden="false" customHeight="false" outlineLevel="0" collapsed="false">
      <c r="A219" s="7" t="n">
        <v>217</v>
      </c>
      <c r="B219" s="0" t="s">
        <v>236</v>
      </c>
      <c r="C219" s="8" t="n">
        <v>45315</v>
      </c>
      <c r="D219" s="6" t="n">
        <v>0</v>
      </c>
      <c r="E219" s="0" t="s">
        <v>16</v>
      </c>
      <c r="F219" s="0" t="s">
        <v>17</v>
      </c>
      <c r="G219" s="9" t="str">
        <f aca="false">IF(OR(N219="ERRO",Q219="ERRO",T219="ERRO",W219="ERRO",Z219="ERRO",AC219="ERRO",AF219="ERRO",AI219="ERRO",AL219="ERRO",AO219="ERRO",AR219="ERRO",AU219="ERRO",AX219="ERRO"),"ERRO","OK")</f>
        <v>OK</v>
      </c>
      <c r="H219" s="9" t="n">
        <f aca="false">COUNTIF(L219:AX219,"ERRO")</f>
        <v>0</v>
      </c>
      <c r="I219" s="9" t="s">
        <v>18</v>
      </c>
      <c r="J219" s="10" t="n">
        <v>1906</v>
      </c>
      <c r="K219" s="10" t="n">
        <v>1995</v>
      </c>
      <c r="L219" s="6" t="n">
        <f aca="false">(10-(LEN(M219)))+1</f>
        <v>8</v>
      </c>
      <c r="M219" s="6" t="n">
        <v>125</v>
      </c>
      <c r="N219" s="6" t="str">
        <f aca="false">IF($J219="NA","NA",IF(AND($J219&gt;2019,M219&gt;0),"ERRO","OK"))</f>
        <v>OK</v>
      </c>
      <c r="O219" s="6" t="n">
        <f aca="false">(10-(LEN(P219)))+1</f>
        <v>8</v>
      </c>
      <c r="P219" s="6" t="n">
        <v>309</v>
      </c>
      <c r="Q219" s="6" t="str">
        <f aca="false">IF($J219="NA","NA",IF(AND($J219&gt;2009,P219&gt;0),"ERRO","OK"))</f>
        <v>OK</v>
      </c>
      <c r="R219" s="6" t="n">
        <f aca="false">(10-(LEN(S219)))+1</f>
        <v>8</v>
      </c>
      <c r="S219" s="6" t="n">
        <v>504</v>
      </c>
      <c r="T219" s="6" t="str">
        <f aca="false">IF($J219="NA","NA",IF(AND($J219&gt;1999,S219&gt;0),"ERRO","OK"))</f>
        <v>OK</v>
      </c>
      <c r="U219" s="6" t="n">
        <f aca="false">(10-(LEN(V219)))+1</f>
        <v>8</v>
      </c>
      <c r="V219" s="6" t="n">
        <v>506</v>
      </c>
      <c r="W219" s="6" t="str">
        <f aca="false">IF($J219="NA","NA",IF(AND($J219&gt;1989,V219&gt;0),"ERRO","OK"))</f>
        <v>OK</v>
      </c>
      <c r="X219" s="6" t="n">
        <f aca="false">(10-(LEN(Y219)))+1</f>
        <v>10</v>
      </c>
      <c r="Y219" s="6" t="n">
        <v>0</v>
      </c>
      <c r="Z219" s="6" t="str">
        <f aca="false">IF($J219="NA","NA",IF(AND($J219&gt;1979,Y219&gt;0),"ERRO","OK"))</f>
        <v>OK</v>
      </c>
      <c r="AA219" s="6" t="n">
        <f aca="false">(10-(LEN(AB219)))+1</f>
        <v>8</v>
      </c>
      <c r="AB219" s="6" t="n">
        <v>117</v>
      </c>
      <c r="AC219" s="6" t="str">
        <f aca="false">IF($J219="NA","NA",IF(AND($J219&gt;1969,AB219&gt;0),"ERRO","OK"))</f>
        <v>OK</v>
      </c>
      <c r="AD219" s="6" t="n">
        <f aca="false">(10-(LEN(AE219)))+1</f>
        <v>8</v>
      </c>
      <c r="AE219" s="6" t="n">
        <v>179</v>
      </c>
      <c r="AF219" s="6" t="str">
        <f aca="false">IF($J219="NA","NA",IF(AND($J219&gt;1959,AE219&gt;0),"ERRO","OK"))</f>
        <v>OK</v>
      </c>
      <c r="AG219" s="6" t="n">
        <f aca="false">(10-(LEN(AH219)))+1</f>
        <v>10</v>
      </c>
      <c r="AH219" s="6" t="n">
        <v>0</v>
      </c>
      <c r="AI219" s="6" t="str">
        <f aca="false">IF($J219="NA","NA",IF(AND($J219&gt;1949,AH219&gt;0),"ERRO","OK"))</f>
        <v>OK</v>
      </c>
      <c r="AJ219" s="6" t="n">
        <f aca="false">(10-(LEN(AK219)))+1</f>
        <v>10</v>
      </c>
      <c r="AK219" s="6" t="n">
        <v>0</v>
      </c>
      <c r="AL219" s="6" t="str">
        <f aca="false">IF($J219="NA","NA",IF(AND($J219&gt;1939,AK219&gt;0),"ERRO","OK"))</f>
        <v>OK</v>
      </c>
      <c r="AM219" s="6" t="n">
        <f aca="false">(10-(LEN(AN219)))+1</f>
        <v>10</v>
      </c>
      <c r="AN219" s="6" t="n">
        <v>0</v>
      </c>
      <c r="AO219" s="6" t="str">
        <f aca="false">IF($J219="NA","NA",IF(AND($J219&gt;1929,AN219&gt;0),"ERRO","OK"))</f>
        <v>OK</v>
      </c>
      <c r="AP219" s="6" t="n">
        <f aca="false">(10-(LEN(AQ219)))+1</f>
        <v>10</v>
      </c>
      <c r="AQ219" s="6" t="n">
        <v>0</v>
      </c>
      <c r="AR219" s="6" t="str">
        <f aca="false">IF($J219="NA","NA",IF(AND($J219&gt;1919,AQ219&gt;0),"ERRO","OK"))</f>
        <v>OK</v>
      </c>
      <c r="AS219" s="6" t="n">
        <f aca="false">(10-(LEN(AT219)))+1</f>
        <v>10</v>
      </c>
      <c r="AT219" s="6" t="n">
        <v>0</v>
      </c>
      <c r="AU219" s="6" t="str">
        <f aca="false">IF($J219="NA","NA",IF(AND($J219&gt;1909,AT219&gt;0),"ERRO","OK"))</f>
        <v>OK</v>
      </c>
      <c r="AV219" s="6" t="n">
        <f aca="false">(10-(LEN(AW219)))+1</f>
        <v>10</v>
      </c>
      <c r="AW219" s="6" t="n">
        <v>0</v>
      </c>
      <c r="AX219" s="6" t="str">
        <f aca="false">IF($J219="NA","NA",IF(AND($J219&gt;1899,AW219&gt;0),"ERRO","OK"))</f>
        <v>OK</v>
      </c>
    </row>
    <row r="220" customFormat="false" ht="15" hidden="false" customHeight="false" outlineLevel="0" collapsed="false">
      <c r="A220" s="7" t="n">
        <v>218</v>
      </c>
      <c r="B220" s="0" t="s">
        <v>237</v>
      </c>
      <c r="C220" s="8" t="n">
        <v>45315</v>
      </c>
      <c r="D220" s="6" t="n">
        <v>0</v>
      </c>
      <c r="E220" s="0" t="s">
        <v>16</v>
      </c>
      <c r="F220" s="0" t="s">
        <v>17</v>
      </c>
      <c r="G220" s="9" t="str">
        <f aca="false">IF(OR(N220="ERRO",Q220="ERRO",T220="ERRO",W220="ERRO",Z220="ERRO",AC220="ERRO",AF220="ERRO",AI220="ERRO",AL220="ERRO",AO220="ERRO",AR220="ERRO",AU220="ERRO",AX220="ERRO"),"ERRO","OK")</f>
        <v>OK</v>
      </c>
      <c r="H220" s="9" t="n">
        <f aca="false">COUNTIF(L220:AX220,"ERRO")</f>
        <v>0</v>
      </c>
      <c r="I220" s="9" t="s">
        <v>18</v>
      </c>
      <c r="J220" s="10" t="n">
        <v>1884</v>
      </c>
      <c r="K220" s="10" t="n">
        <v>1979</v>
      </c>
      <c r="L220" s="6" t="n">
        <f aca="false">(10-(LEN(M220)))+1</f>
        <v>7</v>
      </c>
      <c r="M220" s="6" t="n">
        <v>6239</v>
      </c>
      <c r="N220" s="6" t="str">
        <f aca="false">IF($J220="NA","NA",IF(AND($J220&gt;2019,M220&gt;0),"ERRO","OK"))</f>
        <v>OK</v>
      </c>
      <c r="O220" s="6" t="n">
        <f aca="false">(10-(LEN(P220)))+1</f>
        <v>7</v>
      </c>
      <c r="P220" s="6" t="n">
        <v>5652</v>
      </c>
      <c r="Q220" s="6" t="str">
        <f aca="false">IF($J220="NA","NA",IF(AND($J220&gt;2009,P220&gt;0),"ERRO","OK"))</f>
        <v>OK</v>
      </c>
      <c r="R220" s="6" t="n">
        <f aca="false">(10-(LEN(S220)))+1</f>
        <v>7</v>
      </c>
      <c r="S220" s="6" t="n">
        <v>4876</v>
      </c>
      <c r="T220" s="6" t="str">
        <f aca="false">IF($J220="NA","NA",IF(AND($J220&gt;1999,S220&gt;0),"ERRO","OK"))</f>
        <v>OK</v>
      </c>
      <c r="U220" s="6" t="n">
        <f aca="false">(10-(LEN(V220)))+1</f>
        <v>7</v>
      </c>
      <c r="V220" s="6" t="n">
        <v>6985</v>
      </c>
      <c r="W220" s="6" t="str">
        <f aca="false">IF($J220="NA","NA",IF(AND($J220&gt;1989,V220&gt;0),"ERRO","OK"))</f>
        <v>OK</v>
      </c>
      <c r="X220" s="6" t="n">
        <f aca="false">(10-(LEN(Y220)))+1</f>
        <v>7</v>
      </c>
      <c r="Y220" s="6" t="n">
        <v>4210</v>
      </c>
      <c r="Z220" s="6" t="str">
        <f aca="false">IF($J220="NA","NA",IF(AND($J220&gt;1979,Y220&gt;0),"ERRO","OK"))</f>
        <v>OK</v>
      </c>
      <c r="AA220" s="6" t="n">
        <f aca="false">(10-(LEN(AB220)))+1</f>
        <v>7</v>
      </c>
      <c r="AB220" s="6" t="n">
        <v>6482</v>
      </c>
      <c r="AC220" s="6" t="str">
        <f aca="false">IF($J220="NA","NA",IF(AND($J220&gt;1969,AB220&gt;0),"ERRO","OK"))</f>
        <v>OK</v>
      </c>
      <c r="AD220" s="6" t="n">
        <f aca="false">(10-(LEN(AE220)))+1</f>
        <v>7</v>
      </c>
      <c r="AE220" s="6" t="n">
        <v>4073</v>
      </c>
      <c r="AF220" s="6" t="str">
        <f aca="false">IF($J220="NA","NA",IF(AND($J220&gt;1959,AE220&gt;0),"ERRO","OK"))</f>
        <v>OK</v>
      </c>
      <c r="AG220" s="6" t="n">
        <f aca="false">(10-(LEN(AH220)))+1</f>
        <v>7</v>
      </c>
      <c r="AH220" s="6" t="n">
        <v>3909</v>
      </c>
      <c r="AI220" s="6" t="str">
        <f aca="false">IF($J220="NA","NA",IF(AND($J220&gt;1949,AH220&gt;0),"ERRO","OK"))</f>
        <v>OK</v>
      </c>
      <c r="AJ220" s="6" t="n">
        <f aca="false">(10-(LEN(AK220)))+1</f>
        <v>8</v>
      </c>
      <c r="AK220" s="6" t="n">
        <v>464</v>
      </c>
      <c r="AL220" s="6" t="str">
        <f aca="false">IF($J220="NA","NA",IF(AND($J220&gt;1939,AK220&gt;0),"ERRO","OK"))</f>
        <v>OK</v>
      </c>
      <c r="AM220" s="6" t="n">
        <f aca="false">(10-(LEN(AN220)))+1</f>
        <v>10</v>
      </c>
      <c r="AN220" s="6" t="n">
        <v>0</v>
      </c>
      <c r="AO220" s="6" t="str">
        <f aca="false">IF($J220="NA","NA",IF(AND($J220&gt;1929,AN220&gt;0),"ERRO","OK"))</f>
        <v>OK</v>
      </c>
      <c r="AP220" s="6" t="n">
        <f aca="false">(10-(LEN(AQ220)))+1</f>
        <v>8</v>
      </c>
      <c r="AQ220" s="6" t="n">
        <v>111</v>
      </c>
      <c r="AR220" s="6" t="str">
        <f aca="false">IF($J220="NA","NA",IF(AND($J220&gt;1919,AQ220&gt;0),"ERRO","OK"))</f>
        <v>OK</v>
      </c>
      <c r="AS220" s="6" t="n">
        <f aca="false">(10-(LEN(AT220)))+1</f>
        <v>10</v>
      </c>
      <c r="AT220" s="6" t="n">
        <v>0</v>
      </c>
      <c r="AU220" s="6" t="str">
        <f aca="false">IF($J220="NA","NA",IF(AND($J220&gt;1909,AT220&gt;0),"ERRO","OK"))</f>
        <v>OK</v>
      </c>
      <c r="AV220" s="6" t="n">
        <f aca="false">(10-(LEN(AW220)))+1</f>
        <v>10</v>
      </c>
      <c r="AW220" s="6" t="n">
        <v>0</v>
      </c>
      <c r="AX220" s="6" t="str">
        <f aca="false">IF($J220="NA","NA",IF(AND($J220&gt;1899,AW220&gt;0),"ERRO","OK"))</f>
        <v>OK</v>
      </c>
    </row>
    <row r="221" customFormat="false" ht="15" hidden="false" customHeight="false" outlineLevel="0" collapsed="false">
      <c r="A221" s="7" t="n">
        <v>219</v>
      </c>
      <c r="B221" s="0" t="s">
        <v>238</v>
      </c>
      <c r="C221" s="8" t="n">
        <v>45315</v>
      </c>
      <c r="D221" s="6" t="n">
        <v>0</v>
      </c>
      <c r="E221" s="0" t="s">
        <v>16</v>
      </c>
      <c r="F221" s="0" t="s">
        <v>17</v>
      </c>
      <c r="G221" s="9" t="str">
        <f aca="false">IF(OR(N221="ERRO",Q221="ERRO",T221="ERRO",W221="ERRO",Z221="ERRO",AC221="ERRO",AF221="ERRO",AI221="ERRO",AL221="ERRO",AO221="ERRO",AR221="ERRO",AU221="ERRO",AX221="ERRO"),"ERRO","OK")</f>
        <v>OK</v>
      </c>
      <c r="H221" s="9" t="n">
        <f aca="false">COUNTIF(L221:AX221,"ERRO")</f>
        <v>0</v>
      </c>
      <c r="I221" s="9" t="s">
        <v>18</v>
      </c>
      <c r="J221" s="10" t="n">
        <v>1914</v>
      </c>
      <c r="K221" s="10" t="n">
        <v>2001</v>
      </c>
      <c r="L221" s="6" t="n">
        <f aca="false">(10-(LEN(M221)))+1</f>
        <v>10</v>
      </c>
      <c r="M221" s="6" t="n">
        <v>0</v>
      </c>
      <c r="N221" s="6" t="str">
        <f aca="false">IF($J221="NA","NA",IF(AND($J221&gt;2019,M221&gt;0),"ERRO","OK"))</f>
        <v>OK</v>
      </c>
      <c r="O221" s="6" t="n">
        <f aca="false">(10-(LEN(P221)))+1</f>
        <v>10</v>
      </c>
      <c r="P221" s="6" t="n">
        <v>0</v>
      </c>
      <c r="Q221" s="6" t="str">
        <f aca="false">IF($J221="NA","NA",IF(AND($J221&gt;2009,P221&gt;0),"ERRO","OK"))</f>
        <v>OK</v>
      </c>
      <c r="R221" s="6" t="n">
        <f aca="false">(10-(LEN(S221)))+1</f>
        <v>8</v>
      </c>
      <c r="S221" s="6" t="n">
        <v>176</v>
      </c>
      <c r="T221" s="6" t="str">
        <f aca="false">IF($J221="NA","NA",IF(AND($J221&gt;1999,S221&gt;0),"ERRO","OK"))</f>
        <v>OK</v>
      </c>
      <c r="U221" s="6" t="n">
        <f aca="false">(10-(LEN(V221)))+1</f>
        <v>10</v>
      </c>
      <c r="V221" s="6" t="n">
        <v>0</v>
      </c>
      <c r="W221" s="6" t="str">
        <f aca="false">IF($J221="NA","NA",IF(AND($J221&gt;1989,V221&gt;0),"ERRO","OK"))</f>
        <v>OK</v>
      </c>
      <c r="X221" s="6" t="n">
        <f aca="false">(10-(LEN(Y221)))+1</f>
        <v>10</v>
      </c>
      <c r="Y221" s="6" t="n">
        <v>0</v>
      </c>
      <c r="Z221" s="6" t="str">
        <f aca="false">IF($J221="NA","NA",IF(AND($J221&gt;1979,Y221&gt;0),"ERRO","OK"))</f>
        <v>OK</v>
      </c>
      <c r="AA221" s="6" t="n">
        <f aca="false">(10-(LEN(AB221)))+1</f>
        <v>10</v>
      </c>
      <c r="AB221" s="6" t="n">
        <v>0</v>
      </c>
      <c r="AC221" s="6" t="str">
        <f aca="false">IF($J221="NA","NA",IF(AND($J221&gt;1969,AB221&gt;0),"ERRO","OK"))</f>
        <v>OK</v>
      </c>
      <c r="AD221" s="6" t="n">
        <f aca="false">(10-(LEN(AE221)))+1</f>
        <v>10</v>
      </c>
      <c r="AE221" s="6" t="n">
        <v>0</v>
      </c>
      <c r="AF221" s="6" t="str">
        <f aca="false">IF($J221="NA","NA",IF(AND($J221&gt;1959,AE221&gt;0),"ERRO","OK"))</f>
        <v>OK</v>
      </c>
      <c r="AG221" s="6" t="n">
        <f aca="false">(10-(LEN(AH221)))+1</f>
        <v>8</v>
      </c>
      <c r="AH221" s="6" t="n">
        <v>232</v>
      </c>
      <c r="AI221" s="6" t="str">
        <f aca="false">IF($J221="NA","NA",IF(AND($J221&gt;1949,AH221&gt;0),"ERRO","OK"))</f>
        <v>OK</v>
      </c>
      <c r="AJ221" s="6" t="n">
        <f aca="false">(10-(LEN(AK221)))+1</f>
        <v>10</v>
      </c>
      <c r="AK221" s="6" t="n">
        <v>0</v>
      </c>
      <c r="AL221" s="6" t="str">
        <f aca="false">IF($J221="NA","NA",IF(AND($J221&gt;1939,AK221&gt;0),"ERRO","OK"))</f>
        <v>OK</v>
      </c>
      <c r="AM221" s="6" t="n">
        <f aca="false">(10-(LEN(AN221)))+1</f>
        <v>10</v>
      </c>
      <c r="AN221" s="6" t="n">
        <v>0</v>
      </c>
      <c r="AO221" s="6" t="str">
        <f aca="false">IF($J221="NA","NA",IF(AND($J221&gt;1929,AN221&gt;0),"ERRO","OK"))</f>
        <v>OK</v>
      </c>
      <c r="AP221" s="6" t="n">
        <f aca="false">(10-(LEN(AQ221)))+1</f>
        <v>10</v>
      </c>
      <c r="AQ221" s="6" t="n">
        <v>0</v>
      </c>
      <c r="AR221" s="6" t="str">
        <f aca="false">IF($J221="NA","NA",IF(AND($J221&gt;1919,AQ221&gt;0),"ERRO","OK"))</f>
        <v>OK</v>
      </c>
      <c r="AS221" s="6" t="n">
        <f aca="false">(10-(LEN(AT221)))+1</f>
        <v>10</v>
      </c>
      <c r="AT221" s="6" t="n">
        <v>0</v>
      </c>
      <c r="AU221" s="6" t="str">
        <f aca="false">IF($J221="NA","NA",IF(AND($J221&gt;1909,AT221&gt;0),"ERRO","OK"))</f>
        <v>OK</v>
      </c>
      <c r="AV221" s="6" t="n">
        <f aca="false">(10-(LEN(AW221)))+1</f>
        <v>10</v>
      </c>
      <c r="AW221" s="6" t="n">
        <v>0</v>
      </c>
      <c r="AX221" s="6" t="str">
        <f aca="false">IF($J221="NA","NA",IF(AND($J221&gt;1899,AW221&gt;0),"ERRO","OK"))</f>
        <v>OK</v>
      </c>
    </row>
    <row r="222" customFormat="false" ht="15" hidden="false" customHeight="false" outlineLevel="0" collapsed="false">
      <c r="A222" s="7" t="n">
        <v>220</v>
      </c>
      <c r="B222" s="0" t="s">
        <v>239</v>
      </c>
      <c r="C222" s="8" t="n">
        <v>45315</v>
      </c>
      <c r="D222" s="6" t="n">
        <v>0</v>
      </c>
      <c r="E222" s="0" t="s">
        <v>16</v>
      </c>
      <c r="F222" s="0" t="s">
        <v>17</v>
      </c>
      <c r="G222" s="9" t="str">
        <f aca="false">IF(OR(N222="ERRO",Q222="ERRO",T222="ERRO",W222="ERRO",Z222="ERRO",AC222="ERRO",AF222="ERRO",AI222="ERRO",AL222="ERRO",AO222="ERRO",AR222="ERRO",AU222="ERRO",AX222="ERRO"),"ERRO","OK")</f>
        <v>OK</v>
      </c>
      <c r="H222" s="9" t="n">
        <f aca="false">COUNTIF(L222:AX222,"ERRO")</f>
        <v>0</v>
      </c>
      <c r="I222" s="9" t="s">
        <v>18</v>
      </c>
      <c r="J222" s="10" t="n">
        <v>1905</v>
      </c>
      <c r="K222" s="10" t="n">
        <v>1974</v>
      </c>
      <c r="L222" s="6" t="n">
        <f aca="false">(10-(LEN(M222)))+1</f>
        <v>7</v>
      </c>
      <c r="M222" s="6" t="n">
        <v>1541</v>
      </c>
      <c r="N222" s="6" t="str">
        <f aca="false">IF($J222="NA","NA",IF(AND($J222&gt;2019,M222&gt;0),"ERRO","OK"))</f>
        <v>OK</v>
      </c>
      <c r="O222" s="6" t="n">
        <f aca="false">(10-(LEN(P222)))+1</f>
        <v>7</v>
      </c>
      <c r="P222" s="6" t="n">
        <v>2573</v>
      </c>
      <c r="Q222" s="6" t="str">
        <f aca="false">IF($J222="NA","NA",IF(AND($J222&gt;2009,P222&gt;0),"ERRO","OK"))</f>
        <v>OK</v>
      </c>
      <c r="R222" s="6" t="n">
        <f aca="false">(10-(LEN(S222)))+1</f>
        <v>7</v>
      </c>
      <c r="S222" s="6" t="n">
        <v>5294</v>
      </c>
      <c r="T222" s="6" t="str">
        <f aca="false">IF($J222="NA","NA",IF(AND($J222&gt;1999,S222&gt;0),"ERRO","OK"))</f>
        <v>OK</v>
      </c>
      <c r="U222" s="6" t="n">
        <f aca="false">(10-(LEN(V222)))+1</f>
        <v>7</v>
      </c>
      <c r="V222" s="6" t="n">
        <v>6163</v>
      </c>
      <c r="W222" s="6" t="str">
        <f aca="false">IF($J222="NA","NA",IF(AND($J222&gt;1989,V222&gt;0),"ERRO","OK"))</f>
        <v>OK</v>
      </c>
      <c r="X222" s="6" t="n">
        <f aca="false">(10-(LEN(Y222)))+1</f>
        <v>7</v>
      </c>
      <c r="Y222" s="6" t="n">
        <v>8294</v>
      </c>
      <c r="Z222" s="6" t="str">
        <f aca="false">IF($J222="NA","NA",IF(AND($J222&gt;1979,Y222&gt;0),"ERRO","OK"))</f>
        <v>OK</v>
      </c>
      <c r="AA222" s="6" t="n">
        <f aca="false">(10-(LEN(AB222)))+1</f>
        <v>6</v>
      </c>
      <c r="AB222" s="6" t="n">
        <v>13477</v>
      </c>
      <c r="AC222" s="6" t="str">
        <f aca="false">IF($J222="NA","NA",IF(AND($J222&gt;1969,AB222&gt;0),"ERRO","OK"))</f>
        <v>OK</v>
      </c>
      <c r="AD222" s="6" t="n">
        <f aca="false">(10-(LEN(AE222)))+1</f>
        <v>6</v>
      </c>
      <c r="AE222" s="6" t="n">
        <v>10226</v>
      </c>
      <c r="AF222" s="6" t="str">
        <f aca="false">IF($J222="NA","NA",IF(AND($J222&gt;1959,AE222&gt;0),"ERRO","OK"))</f>
        <v>OK</v>
      </c>
      <c r="AG222" s="6" t="n">
        <f aca="false">(10-(LEN(AH222)))+1</f>
        <v>8</v>
      </c>
      <c r="AH222" s="6" t="n">
        <v>441</v>
      </c>
      <c r="AI222" s="6" t="str">
        <f aca="false">IF($J222="NA","NA",IF(AND($J222&gt;1949,AH222&gt;0),"ERRO","OK"))</f>
        <v>OK</v>
      </c>
      <c r="AJ222" s="6" t="n">
        <f aca="false">(10-(LEN(AK222)))+1</f>
        <v>8</v>
      </c>
      <c r="AK222" s="6" t="n">
        <v>279</v>
      </c>
      <c r="AL222" s="6" t="str">
        <f aca="false">IF($J222="NA","NA",IF(AND($J222&gt;1939,AK222&gt;0),"ERRO","OK"))</f>
        <v>OK</v>
      </c>
      <c r="AM222" s="6" t="n">
        <f aca="false">(10-(LEN(AN222)))+1</f>
        <v>10</v>
      </c>
      <c r="AN222" s="6" t="n">
        <v>0</v>
      </c>
      <c r="AO222" s="6" t="str">
        <f aca="false">IF($J222="NA","NA",IF(AND($J222&gt;1929,AN222&gt;0),"ERRO","OK"))</f>
        <v>OK</v>
      </c>
      <c r="AP222" s="6" t="n">
        <f aca="false">(10-(LEN(AQ222)))+1</f>
        <v>10</v>
      </c>
      <c r="AQ222" s="6" t="n">
        <v>0</v>
      </c>
      <c r="AR222" s="6" t="str">
        <f aca="false">IF($J222="NA","NA",IF(AND($J222&gt;1919,AQ222&gt;0),"ERRO","OK"))</f>
        <v>OK</v>
      </c>
      <c r="AS222" s="6" t="n">
        <f aca="false">(10-(LEN(AT222)))+1</f>
        <v>10</v>
      </c>
      <c r="AT222" s="6" t="n">
        <v>0</v>
      </c>
      <c r="AU222" s="6" t="str">
        <f aca="false">IF($J222="NA","NA",IF(AND($J222&gt;1909,AT222&gt;0),"ERRO","OK"))</f>
        <v>OK</v>
      </c>
      <c r="AV222" s="6" t="n">
        <f aca="false">(10-(LEN(AW222)))+1</f>
        <v>10</v>
      </c>
      <c r="AW222" s="6" t="n">
        <v>0</v>
      </c>
      <c r="AX222" s="6" t="str">
        <f aca="false">IF($J222="NA","NA",IF(AND($J222&gt;1899,AW222&gt;0),"ERRO","OK"))</f>
        <v>OK</v>
      </c>
    </row>
    <row r="223" customFormat="false" ht="15" hidden="false" customHeight="false" outlineLevel="0" collapsed="false">
      <c r="A223" s="7" t="n">
        <v>221</v>
      </c>
      <c r="B223" s="0" t="s">
        <v>240</v>
      </c>
      <c r="C223" s="8" t="n">
        <v>45316</v>
      </c>
      <c r="D223" s="6" t="n">
        <v>0</v>
      </c>
      <c r="E223" s="0" t="s">
        <v>16</v>
      </c>
      <c r="F223" s="0" t="s">
        <v>17</v>
      </c>
      <c r="G223" s="9" t="str">
        <f aca="false">IF(OR(N223="ERRO",Q223="ERRO",T223="ERRO",W223="ERRO",Z223="ERRO",AC223="ERRO",AF223="ERRO",AI223="ERRO",AL223="ERRO",AO223="ERRO",AR223="ERRO",AU223="ERRO",AX223="ERRO"),"ERRO","OK")</f>
        <v>OK</v>
      </c>
      <c r="H223" s="9" t="n">
        <f aca="false">COUNTIF(L223:AX223,"ERRO")</f>
        <v>0</v>
      </c>
      <c r="I223" s="9" t="s">
        <v>18</v>
      </c>
      <c r="J223" s="10" t="n">
        <v>1917</v>
      </c>
      <c r="K223" s="10" t="n">
        <v>1979</v>
      </c>
      <c r="L223" s="6" t="n">
        <f aca="false">(10-(LEN(M223)))+1</f>
        <v>8</v>
      </c>
      <c r="M223" s="6" t="n">
        <v>208</v>
      </c>
      <c r="N223" s="6" t="str">
        <f aca="false">IF($J223="NA","NA",IF(AND($J223&gt;2019,M223&gt;0),"ERRO","OK"))</f>
        <v>OK</v>
      </c>
      <c r="O223" s="6" t="n">
        <f aca="false">(10-(LEN(P223)))+1</f>
        <v>8</v>
      </c>
      <c r="P223" s="6" t="n">
        <v>480</v>
      </c>
      <c r="Q223" s="6" t="str">
        <f aca="false">IF($J223="NA","NA",IF(AND($J223&gt;2009,P223&gt;0),"ERRO","OK"))</f>
        <v>OK</v>
      </c>
      <c r="R223" s="6" t="n">
        <f aca="false">(10-(LEN(S223)))+1</f>
        <v>8</v>
      </c>
      <c r="S223" s="6" t="n">
        <v>294</v>
      </c>
      <c r="T223" s="6" t="str">
        <f aca="false">IF($J223="NA","NA",IF(AND($J223&gt;1999,S223&gt;0),"ERRO","OK"))</f>
        <v>OK</v>
      </c>
      <c r="U223" s="6" t="n">
        <f aca="false">(10-(LEN(V223)))+1</f>
        <v>9</v>
      </c>
      <c r="V223" s="6" t="n">
        <v>92</v>
      </c>
      <c r="W223" s="6" t="str">
        <f aca="false">IF($J223="NA","NA",IF(AND($J223&gt;1989,V223&gt;0),"ERRO","OK"))</f>
        <v>OK</v>
      </c>
      <c r="X223" s="6" t="n">
        <f aca="false">(10-(LEN(Y223)))+1</f>
        <v>7</v>
      </c>
      <c r="Y223" s="6" t="n">
        <v>1124</v>
      </c>
      <c r="Z223" s="6" t="str">
        <f aca="false">IF($J223="NA","NA",IF(AND($J223&gt;1979,Y223&gt;0),"ERRO","OK"))</f>
        <v>OK</v>
      </c>
      <c r="AA223" s="6" t="n">
        <f aca="false">(10-(LEN(AB223)))+1</f>
        <v>8</v>
      </c>
      <c r="AB223" s="6" t="n">
        <v>879</v>
      </c>
      <c r="AC223" s="6" t="str">
        <f aca="false">IF($J223="NA","NA",IF(AND($J223&gt;1969,AB223&gt;0),"ERRO","OK"))</f>
        <v>OK</v>
      </c>
      <c r="AD223" s="6" t="n">
        <f aca="false">(10-(LEN(AE223)))+1</f>
        <v>10</v>
      </c>
      <c r="AE223" s="6" t="n">
        <v>0</v>
      </c>
      <c r="AF223" s="6" t="str">
        <f aca="false">IF($J223="NA","NA",IF(AND($J223&gt;1959,AE223&gt;0),"ERRO","OK"))</f>
        <v>OK</v>
      </c>
      <c r="AG223" s="6" t="n">
        <f aca="false">(10-(LEN(AH223)))+1</f>
        <v>8</v>
      </c>
      <c r="AH223" s="6" t="n">
        <v>110</v>
      </c>
      <c r="AI223" s="6" t="str">
        <f aca="false">IF($J223="NA","NA",IF(AND($J223&gt;1949,AH223&gt;0),"ERRO","OK"))</f>
        <v>OK</v>
      </c>
      <c r="AJ223" s="6" t="n">
        <f aca="false">(10-(LEN(AK223)))+1</f>
        <v>8</v>
      </c>
      <c r="AK223" s="6" t="n">
        <v>696</v>
      </c>
      <c r="AL223" s="6" t="str">
        <f aca="false">IF($J223="NA","NA",IF(AND($J223&gt;1939,AK223&gt;0),"ERRO","OK"))</f>
        <v>OK</v>
      </c>
      <c r="AM223" s="6" t="n">
        <f aca="false">(10-(LEN(AN223)))+1</f>
        <v>10</v>
      </c>
      <c r="AN223" s="6" t="n">
        <v>0</v>
      </c>
      <c r="AO223" s="6" t="str">
        <f aca="false">IF($J223="NA","NA",IF(AND($J223&gt;1929,AN223&gt;0),"ERRO","OK"))</f>
        <v>OK</v>
      </c>
      <c r="AP223" s="6" t="n">
        <f aca="false">(10-(LEN(AQ223)))+1</f>
        <v>10</v>
      </c>
      <c r="AQ223" s="6" t="n">
        <v>0</v>
      </c>
      <c r="AR223" s="6" t="str">
        <f aca="false">IF($J223="NA","NA",IF(AND($J223&gt;1919,AQ223&gt;0),"ERRO","OK"))</f>
        <v>OK</v>
      </c>
      <c r="AS223" s="6" t="n">
        <f aca="false">(10-(LEN(AT223)))+1</f>
        <v>10</v>
      </c>
      <c r="AT223" s="6" t="n">
        <v>0</v>
      </c>
      <c r="AU223" s="6" t="str">
        <f aca="false">IF($J223="NA","NA",IF(AND($J223&gt;1909,AT223&gt;0),"ERRO","OK"))</f>
        <v>OK</v>
      </c>
      <c r="AV223" s="6" t="n">
        <f aca="false">(10-(LEN(AW223)))+1</f>
        <v>10</v>
      </c>
      <c r="AW223" s="6" t="n">
        <v>0</v>
      </c>
      <c r="AX223" s="6" t="str">
        <f aca="false">IF($J223="NA","NA",IF(AND($J223&gt;1899,AW223&gt;0),"ERRO","OK"))</f>
        <v>OK</v>
      </c>
    </row>
    <row r="224" customFormat="false" ht="15" hidden="false" customHeight="false" outlineLevel="0" collapsed="false">
      <c r="A224" s="7" t="n">
        <v>222</v>
      </c>
      <c r="B224" s="0" t="s">
        <v>241</v>
      </c>
      <c r="C224" s="8" t="n">
        <v>45316</v>
      </c>
      <c r="D224" s="6" t="n">
        <v>0</v>
      </c>
      <c r="E224" s="0" t="s">
        <v>16</v>
      </c>
      <c r="F224" s="0" t="s">
        <v>17</v>
      </c>
      <c r="G224" s="9" t="str">
        <f aca="false">IF(OR(N224="ERRO",Q224="ERRO",T224="ERRO",W224="ERRO",Z224="ERRO",AC224="ERRO",AF224="ERRO",AI224="ERRO",AL224="ERRO",AO224="ERRO",AR224="ERRO",AU224="ERRO",AX224="ERRO"),"ERRO","OK")</f>
        <v>OK</v>
      </c>
      <c r="H224" s="9" t="n">
        <f aca="false">COUNTIF(L224:AX224,"ERRO")</f>
        <v>0</v>
      </c>
      <c r="I224" s="9" t="s">
        <v>18</v>
      </c>
      <c r="J224" s="10" t="n">
        <v>1922</v>
      </c>
      <c r="K224" s="10" t="n">
        <v>1979</v>
      </c>
      <c r="L224" s="6" t="n">
        <f aca="false">(10-(LEN(M224)))+1</f>
        <v>8</v>
      </c>
      <c r="M224" s="6" t="n">
        <v>541</v>
      </c>
      <c r="N224" s="6" t="str">
        <f aca="false">IF($J224="NA","NA",IF(AND($J224&gt;2019,M224&gt;0),"ERRO","OK"))</f>
        <v>OK</v>
      </c>
      <c r="O224" s="6" t="n">
        <f aca="false">(10-(LEN(P224)))+1</f>
        <v>7</v>
      </c>
      <c r="P224" s="6" t="n">
        <v>1063</v>
      </c>
      <c r="Q224" s="6" t="str">
        <f aca="false">IF($J224="NA","NA",IF(AND($J224&gt;2009,P224&gt;0),"ERRO","OK"))</f>
        <v>OK</v>
      </c>
      <c r="R224" s="6" t="n">
        <f aca="false">(10-(LEN(S224)))+1</f>
        <v>8</v>
      </c>
      <c r="S224" s="6" t="n">
        <v>840</v>
      </c>
      <c r="T224" s="6" t="str">
        <f aca="false">IF($J224="NA","NA",IF(AND($J224&gt;1999,S224&gt;0),"ERRO","OK"))</f>
        <v>OK</v>
      </c>
      <c r="U224" s="6" t="n">
        <f aca="false">(10-(LEN(V224)))+1</f>
        <v>8</v>
      </c>
      <c r="V224" s="6" t="n">
        <v>874</v>
      </c>
      <c r="W224" s="6" t="str">
        <f aca="false">IF($J224="NA","NA",IF(AND($J224&gt;1989,V224&gt;0),"ERRO","OK"))</f>
        <v>OK</v>
      </c>
      <c r="X224" s="6" t="n">
        <f aca="false">(10-(LEN(Y224)))+1</f>
        <v>8</v>
      </c>
      <c r="Y224" s="6" t="n">
        <v>535</v>
      </c>
      <c r="Z224" s="6" t="str">
        <f aca="false">IF($J224="NA","NA",IF(AND($J224&gt;1979,Y224&gt;0),"ERRO","OK"))</f>
        <v>OK</v>
      </c>
      <c r="AA224" s="6" t="n">
        <f aca="false">(10-(LEN(AB224)))+1</f>
        <v>7</v>
      </c>
      <c r="AB224" s="6" t="n">
        <v>1172</v>
      </c>
      <c r="AC224" s="6" t="str">
        <f aca="false">IF($J224="NA","NA",IF(AND($J224&gt;1969,AB224&gt;0),"ERRO","OK"))</f>
        <v>OK</v>
      </c>
      <c r="AD224" s="6" t="n">
        <f aca="false">(10-(LEN(AE224)))+1</f>
        <v>10</v>
      </c>
      <c r="AE224" s="6" t="n">
        <v>0</v>
      </c>
      <c r="AF224" s="6" t="str">
        <f aca="false">IF($J224="NA","NA",IF(AND($J224&gt;1959,AE224&gt;0),"ERRO","OK"))</f>
        <v>OK</v>
      </c>
      <c r="AG224" s="6" t="n">
        <f aca="false">(10-(LEN(AH224)))+1</f>
        <v>10</v>
      </c>
      <c r="AH224" s="6" t="n">
        <v>0</v>
      </c>
      <c r="AI224" s="6" t="str">
        <f aca="false">IF($J224="NA","NA",IF(AND($J224&gt;1949,AH224&gt;0),"ERRO","OK"))</f>
        <v>OK</v>
      </c>
      <c r="AJ224" s="6" t="n">
        <f aca="false">(10-(LEN(AK224)))+1</f>
        <v>10</v>
      </c>
      <c r="AK224" s="6" t="n">
        <v>0</v>
      </c>
      <c r="AL224" s="6" t="str">
        <f aca="false">IF($J224="NA","NA",IF(AND($J224&gt;1939,AK224&gt;0),"ERRO","OK"))</f>
        <v>OK</v>
      </c>
      <c r="AM224" s="6" t="n">
        <f aca="false">(10-(LEN(AN224)))+1</f>
        <v>10</v>
      </c>
      <c r="AN224" s="6" t="n">
        <v>0</v>
      </c>
      <c r="AO224" s="6" t="str">
        <f aca="false">IF($J224="NA","NA",IF(AND($J224&gt;1929,AN224&gt;0),"ERRO","OK"))</f>
        <v>OK</v>
      </c>
      <c r="AP224" s="6" t="n">
        <f aca="false">(10-(LEN(AQ224)))+1</f>
        <v>10</v>
      </c>
      <c r="AQ224" s="6" t="n">
        <v>0</v>
      </c>
      <c r="AR224" s="6" t="str">
        <f aca="false">IF($J224="NA","NA",IF(AND($J224&gt;1919,AQ224&gt;0),"ERRO","OK"))</f>
        <v>OK</v>
      </c>
      <c r="AS224" s="6" t="n">
        <f aca="false">(10-(LEN(AT224)))+1</f>
        <v>10</v>
      </c>
      <c r="AT224" s="6" t="n">
        <v>0</v>
      </c>
      <c r="AU224" s="6" t="str">
        <f aca="false">IF($J224="NA","NA",IF(AND($J224&gt;1909,AT224&gt;0),"ERRO","OK"))</f>
        <v>OK</v>
      </c>
      <c r="AV224" s="6" t="n">
        <f aca="false">(10-(LEN(AW224)))+1</f>
        <v>10</v>
      </c>
      <c r="AW224" s="6" t="n">
        <v>0</v>
      </c>
      <c r="AX224" s="6" t="str">
        <f aca="false">IF($J224="NA","NA",IF(AND($J224&gt;1899,AW224&gt;0),"ERRO","OK"))</f>
        <v>OK</v>
      </c>
    </row>
    <row r="225" customFormat="false" ht="15" hidden="false" customHeight="false" outlineLevel="0" collapsed="false">
      <c r="A225" s="7" t="n">
        <v>223</v>
      </c>
      <c r="B225" s="0" t="s">
        <v>242</v>
      </c>
      <c r="C225" s="8" t="n">
        <v>45316</v>
      </c>
      <c r="D225" s="6" t="n">
        <v>0</v>
      </c>
      <c r="E225" s="0" t="s">
        <v>16</v>
      </c>
      <c r="F225" s="0" t="s">
        <v>17</v>
      </c>
      <c r="G225" s="9" t="str">
        <f aca="false">IF(OR(N225="ERRO",Q225="ERRO",T225="ERRO",W225="ERRO",Z225="ERRO",AC225="ERRO",AF225="ERRO",AI225="ERRO",AL225="ERRO",AO225="ERRO",AR225="ERRO",AU225="ERRO",AX225="ERRO"),"ERRO","OK")</f>
        <v>OK</v>
      </c>
      <c r="H225" s="9" t="n">
        <f aca="false">COUNTIF(L225:AX225,"ERRO")</f>
        <v>0</v>
      </c>
      <c r="I225" s="9" t="s">
        <v>18</v>
      </c>
      <c r="J225" s="10" t="n">
        <v>1919</v>
      </c>
      <c r="K225" s="10" t="n">
        <v>1999</v>
      </c>
      <c r="L225" s="6" t="n">
        <f aca="false">(10-(LEN(M225)))+1</f>
        <v>10</v>
      </c>
      <c r="M225" s="6" t="n">
        <v>0</v>
      </c>
      <c r="N225" s="6" t="str">
        <f aca="false">IF($J225="NA","NA",IF(AND($J225&gt;2019,M225&gt;0),"ERRO","OK"))</f>
        <v>OK</v>
      </c>
      <c r="O225" s="6" t="n">
        <f aca="false">(10-(LEN(P225)))+1</f>
        <v>8</v>
      </c>
      <c r="P225" s="6" t="n">
        <v>240</v>
      </c>
      <c r="Q225" s="6" t="str">
        <f aca="false">IF($J225="NA","NA",IF(AND($J225&gt;2009,P225&gt;0),"ERRO","OK"))</f>
        <v>OK</v>
      </c>
      <c r="R225" s="6" t="n">
        <f aca="false">(10-(LEN(S225)))+1</f>
        <v>8</v>
      </c>
      <c r="S225" s="6" t="n">
        <v>546</v>
      </c>
      <c r="T225" s="6" t="str">
        <f aca="false">IF($J225="NA","NA",IF(AND($J225&gt;1999,S225&gt;0),"ERRO","OK"))</f>
        <v>OK</v>
      </c>
      <c r="U225" s="6" t="n">
        <f aca="false">(10-(LEN(V225)))+1</f>
        <v>8</v>
      </c>
      <c r="V225" s="6" t="n">
        <v>460</v>
      </c>
      <c r="W225" s="6" t="str">
        <f aca="false">IF($J225="NA","NA",IF(AND($J225&gt;1989,V225&gt;0),"ERRO","OK"))</f>
        <v>OK</v>
      </c>
      <c r="X225" s="6" t="n">
        <f aca="false">(10-(LEN(Y225)))+1</f>
        <v>8</v>
      </c>
      <c r="Y225" s="6" t="n">
        <v>428</v>
      </c>
      <c r="Z225" s="6" t="str">
        <f aca="false">IF($J225="NA","NA",IF(AND($J225&gt;1979,Y225&gt;0),"ERRO","OK"))</f>
        <v>OK</v>
      </c>
      <c r="AA225" s="6" t="n">
        <f aca="false">(10-(LEN(AB225)))+1</f>
        <v>9</v>
      </c>
      <c r="AB225" s="6" t="n">
        <v>59</v>
      </c>
      <c r="AC225" s="6" t="str">
        <f aca="false">IF($J225="NA","NA",IF(AND($J225&gt;1969,AB225&gt;0),"ERRO","OK"))</f>
        <v>OK</v>
      </c>
      <c r="AD225" s="6" t="n">
        <f aca="false">(10-(LEN(AE225)))+1</f>
        <v>8</v>
      </c>
      <c r="AE225" s="6" t="n">
        <v>538</v>
      </c>
      <c r="AF225" s="6" t="str">
        <f aca="false">IF($J225="NA","NA",IF(AND($J225&gt;1959,AE225&gt;0),"ERRO","OK"))</f>
        <v>OK</v>
      </c>
      <c r="AG225" s="6" t="n">
        <f aca="false">(10-(LEN(AH225)))+1</f>
        <v>10</v>
      </c>
      <c r="AH225" s="6" t="n">
        <v>0</v>
      </c>
      <c r="AI225" s="6" t="str">
        <f aca="false">IF($J225="NA","NA",IF(AND($J225&gt;1949,AH225&gt;0),"ERRO","OK"))</f>
        <v>OK</v>
      </c>
      <c r="AJ225" s="6" t="n">
        <f aca="false">(10-(LEN(AK225)))+1</f>
        <v>10</v>
      </c>
      <c r="AK225" s="6" t="n">
        <v>0</v>
      </c>
      <c r="AL225" s="6" t="str">
        <f aca="false">IF($J225="NA","NA",IF(AND($J225&gt;1939,AK225&gt;0),"ERRO","OK"))</f>
        <v>OK</v>
      </c>
      <c r="AM225" s="6" t="n">
        <f aca="false">(10-(LEN(AN225)))+1</f>
        <v>10</v>
      </c>
      <c r="AN225" s="6" t="n">
        <v>0</v>
      </c>
      <c r="AO225" s="6" t="str">
        <f aca="false">IF($J225="NA","NA",IF(AND($J225&gt;1929,AN225&gt;0),"ERRO","OK"))</f>
        <v>OK</v>
      </c>
      <c r="AP225" s="6" t="n">
        <f aca="false">(10-(LEN(AQ225)))+1</f>
        <v>10</v>
      </c>
      <c r="AQ225" s="6" t="n">
        <v>0</v>
      </c>
      <c r="AR225" s="6" t="str">
        <f aca="false">IF($J225="NA","NA",IF(AND($J225&gt;1919,AQ225&gt;0),"ERRO","OK"))</f>
        <v>OK</v>
      </c>
      <c r="AS225" s="6" t="n">
        <f aca="false">(10-(LEN(AT225)))+1</f>
        <v>10</v>
      </c>
      <c r="AT225" s="6" t="n">
        <v>0</v>
      </c>
      <c r="AU225" s="6" t="str">
        <f aca="false">IF($J225="NA","NA",IF(AND($J225&gt;1909,AT225&gt;0),"ERRO","OK"))</f>
        <v>OK</v>
      </c>
      <c r="AV225" s="6" t="n">
        <f aca="false">(10-(LEN(AW225)))+1</f>
        <v>10</v>
      </c>
      <c r="AW225" s="6" t="n">
        <v>0</v>
      </c>
      <c r="AX225" s="6" t="str">
        <f aca="false">IF($J225="NA","NA",IF(AND($J225&gt;1899,AW225&gt;0),"ERRO","OK"))</f>
        <v>OK</v>
      </c>
    </row>
    <row r="226" customFormat="false" ht="15" hidden="false" customHeight="false" outlineLevel="0" collapsed="false">
      <c r="A226" s="7" t="n">
        <v>224</v>
      </c>
      <c r="B226" s="0" t="s">
        <v>243</v>
      </c>
      <c r="C226" s="8" t="n">
        <v>45316</v>
      </c>
      <c r="D226" s="6" t="n">
        <v>0</v>
      </c>
      <c r="E226" s="0" t="s">
        <v>16</v>
      </c>
      <c r="F226" s="0" t="s">
        <v>17</v>
      </c>
      <c r="G226" s="9" t="str">
        <f aca="false">IF(OR(N226="ERRO",Q226="ERRO",T226="ERRO",W226="ERRO",Z226="ERRO",AC226="ERRO",AF226="ERRO",AI226="ERRO",AL226="ERRO",AO226="ERRO",AR226="ERRO",AU226="ERRO",AX226="ERRO"),"ERRO","OK")</f>
        <v>OK</v>
      </c>
      <c r="H226" s="9" t="n">
        <f aca="false">COUNTIF(L226:AX226,"ERRO")</f>
        <v>0</v>
      </c>
      <c r="I226" s="9" t="s">
        <v>18</v>
      </c>
      <c r="J226" s="10" t="n">
        <v>1904</v>
      </c>
      <c r="K226" s="10" t="n">
        <v>1975</v>
      </c>
      <c r="L226" s="6" t="n">
        <f aca="false">(10-(LEN(M226)))+1</f>
        <v>8</v>
      </c>
      <c r="M226" s="6" t="n">
        <v>458</v>
      </c>
      <c r="N226" s="6" t="str">
        <f aca="false">IF($J226="NA","NA",IF(AND($J226&gt;2019,M226&gt;0),"ERRO","OK"))</f>
        <v>OK</v>
      </c>
      <c r="O226" s="6" t="n">
        <f aca="false">(10-(LEN(P226)))+1</f>
        <v>9</v>
      </c>
      <c r="P226" s="6" t="n">
        <v>69</v>
      </c>
      <c r="Q226" s="6" t="str">
        <f aca="false">IF($J226="NA","NA",IF(AND($J226&gt;2009,P226&gt;0),"ERRO","OK"))</f>
        <v>OK</v>
      </c>
      <c r="R226" s="6" t="n">
        <f aca="false">(10-(LEN(S226)))+1</f>
        <v>10</v>
      </c>
      <c r="S226" s="6" t="n">
        <v>0</v>
      </c>
      <c r="T226" s="6" t="str">
        <f aca="false">IF($J226="NA","NA",IF(AND($J226&gt;1999,S226&gt;0),"ERRO","OK"))</f>
        <v>OK</v>
      </c>
      <c r="U226" s="6" t="n">
        <f aca="false">(10-(LEN(V226)))+1</f>
        <v>9</v>
      </c>
      <c r="V226" s="6" t="n">
        <v>46</v>
      </c>
      <c r="W226" s="6" t="str">
        <f aca="false">IF($J226="NA","NA",IF(AND($J226&gt;1989,V226&gt;0),"ERRO","OK"))</f>
        <v>OK</v>
      </c>
      <c r="X226" s="6" t="n">
        <f aca="false">(10-(LEN(Y226)))+1</f>
        <v>8</v>
      </c>
      <c r="Y226" s="6" t="n">
        <v>910</v>
      </c>
      <c r="Z226" s="6" t="str">
        <f aca="false">IF($J226="NA","NA",IF(AND($J226&gt;1979,Y226&gt;0),"ERRO","OK"))</f>
        <v>OK</v>
      </c>
      <c r="AA226" s="6" t="n">
        <f aca="false">(10-(LEN(AB226)))+1</f>
        <v>7</v>
      </c>
      <c r="AB226" s="6" t="n">
        <v>1992</v>
      </c>
      <c r="AC226" s="6" t="str">
        <f aca="false">IF($J226="NA","NA",IF(AND($J226&gt;1969,AB226&gt;0),"ERRO","OK"))</f>
        <v>OK</v>
      </c>
      <c r="AD226" s="6" t="n">
        <f aca="false">(10-(LEN(AE226)))+1</f>
        <v>10</v>
      </c>
      <c r="AE226" s="6" t="n">
        <v>0</v>
      </c>
      <c r="AF226" s="6" t="str">
        <f aca="false">IF($J226="NA","NA",IF(AND($J226&gt;1959,AE226&gt;0),"ERRO","OK"))</f>
        <v>OK</v>
      </c>
      <c r="AG226" s="6" t="n">
        <f aca="false">(10-(LEN(AH226)))+1</f>
        <v>10</v>
      </c>
      <c r="AH226" s="6" t="n">
        <v>0</v>
      </c>
      <c r="AI226" s="6" t="str">
        <f aca="false">IF($J226="NA","NA",IF(AND($J226&gt;1949,AH226&gt;0),"ERRO","OK"))</f>
        <v>OK</v>
      </c>
      <c r="AJ226" s="6" t="n">
        <f aca="false">(10-(LEN(AK226)))+1</f>
        <v>10</v>
      </c>
      <c r="AK226" s="6" t="n">
        <v>0</v>
      </c>
      <c r="AL226" s="6" t="str">
        <f aca="false">IF($J226="NA","NA",IF(AND($J226&gt;1939,AK226&gt;0),"ERRO","OK"))</f>
        <v>OK</v>
      </c>
      <c r="AM226" s="6" t="n">
        <f aca="false">(10-(LEN(AN226)))+1</f>
        <v>10</v>
      </c>
      <c r="AN226" s="6" t="n">
        <v>0</v>
      </c>
      <c r="AO226" s="6" t="str">
        <f aca="false">IF($J226="NA","NA",IF(AND($J226&gt;1929,AN226&gt;0),"ERRO","OK"))</f>
        <v>OK</v>
      </c>
      <c r="AP226" s="6" t="n">
        <f aca="false">(10-(LEN(AQ226)))+1</f>
        <v>10</v>
      </c>
      <c r="AQ226" s="6" t="n">
        <v>0</v>
      </c>
      <c r="AR226" s="6" t="str">
        <f aca="false">IF($J226="NA","NA",IF(AND($J226&gt;1919,AQ226&gt;0),"ERRO","OK"))</f>
        <v>OK</v>
      </c>
      <c r="AS226" s="6" t="n">
        <f aca="false">(10-(LEN(AT226)))+1</f>
        <v>10</v>
      </c>
      <c r="AT226" s="6" t="n">
        <v>0</v>
      </c>
      <c r="AU226" s="6" t="str">
        <f aca="false">IF($J226="NA","NA",IF(AND($J226&gt;1909,AT226&gt;0),"ERRO","OK"))</f>
        <v>OK</v>
      </c>
      <c r="AV226" s="6" t="n">
        <f aca="false">(10-(LEN(AW226)))+1</f>
        <v>10</v>
      </c>
      <c r="AW226" s="6" t="n">
        <v>0</v>
      </c>
      <c r="AX226" s="6" t="str">
        <f aca="false">IF($J226="NA","NA",IF(AND($J226&gt;1899,AW226&gt;0),"ERRO","OK"))</f>
        <v>OK</v>
      </c>
    </row>
    <row r="227" customFormat="false" ht="15" hidden="false" customHeight="false" outlineLevel="0" collapsed="false">
      <c r="A227" s="7" t="n">
        <v>225</v>
      </c>
      <c r="B227" s="0" t="s">
        <v>244</v>
      </c>
      <c r="C227" s="8" t="n">
        <v>45316</v>
      </c>
      <c r="D227" s="6" t="n">
        <v>0</v>
      </c>
      <c r="E227" s="0" t="s">
        <v>16</v>
      </c>
      <c r="F227" s="0" t="s">
        <v>17</v>
      </c>
      <c r="G227" s="9" t="str">
        <f aca="false">IF(OR(N227="ERRO",Q227="ERRO",T227="ERRO",W227="ERRO",Z227="ERRO",AC227="ERRO",AF227="ERRO",AI227="ERRO",AL227="ERRO",AO227="ERRO",AR227="ERRO",AU227="ERRO",AX227="ERRO"),"ERRO","OK")</f>
        <v>OK</v>
      </c>
      <c r="H227" s="9" t="n">
        <f aca="false">COUNTIF(L227:AX227,"ERRO")</f>
        <v>0</v>
      </c>
      <c r="I227" s="9" t="s">
        <v>18</v>
      </c>
      <c r="J227" s="10" t="n">
        <v>1901</v>
      </c>
      <c r="K227" s="10" t="n">
        <v>1971</v>
      </c>
      <c r="L227" s="6" t="n">
        <f aca="false">(10-(LEN(M227)))+1</f>
        <v>8</v>
      </c>
      <c r="M227" s="6" t="n">
        <v>500</v>
      </c>
      <c r="N227" s="6" t="str">
        <f aca="false">IF($J227="NA","NA",IF(AND($J227&gt;2019,M227&gt;0),"ERRO","OK"))</f>
        <v>OK</v>
      </c>
      <c r="O227" s="6" t="n">
        <f aca="false">(10-(LEN(P227)))+1</f>
        <v>7</v>
      </c>
      <c r="P227" s="6" t="n">
        <v>1372</v>
      </c>
      <c r="Q227" s="6" t="str">
        <f aca="false">IF($J227="NA","NA",IF(AND($J227&gt;2009,P227&gt;0),"ERRO","OK"))</f>
        <v>OK</v>
      </c>
      <c r="R227" s="6" t="n">
        <f aca="false">(10-(LEN(S227)))+1</f>
        <v>7</v>
      </c>
      <c r="S227" s="6" t="n">
        <v>1513</v>
      </c>
      <c r="T227" s="6" t="str">
        <f aca="false">IF($J227="NA","NA",IF(AND($J227&gt;1999,S227&gt;0),"ERRO","OK"))</f>
        <v>OK</v>
      </c>
      <c r="U227" s="6" t="n">
        <f aca="false">(10-(LEN(V227)))+1</f>
        <v>7</v>
      </c>
      <c r="V227" s="6" t="n">
        <v>1472</v>
      </c>
      <c r="W227" s="6" t="str">
        <f aca="false">IF($J227="NA","NA",IF(AND($J227&gt;1989,V227&gt;0),"ERRO","OK"))</f>
        <v>OK</v>
      </c>
      <c r="X227" s="6" t="n">
        <f aca="false">(10-(LEN(Y227)))+1</f>
        <v>7</v>
      </c>
      <c r="Y227" s="6" t="n">
        <v>1764</v>
      </c>
      <c r="Z227" s="6" t="str">
        <f aca="false">IF($J227="NA","NA",IF(AND($J227&gt;1979,Y227&gt;0),"ERRO","OK"))</f>
        <v>OK</v>
      </c>
      <c r="AA227" s="6" t="n">
        <f aca="false">(10-(LEN(AB227)))+1</f>
        <v>7</v>
      </c>
      <c r="AB227" s="6" t="n">
        <v>1699</v>
      </c>
      <c r="AC227" s="6" t="str">
        <f aca="false">IF($J227="NA","NA",IF(AND($J227&gt;1969,AB227&gt;0),"ERRO","OK"))</f>
        <v>OK</v>
      </c>
      <c r="AD227" s="6" t="n">
        <f aca="false">(10-(LEN(AE227)))+1</f>
        <v>7</v>
      </c>
      <c r="AE227" s="6" t="n">
        <v>2601</v>
      </c>
      <c r="AF227" s="6" t="str">
        <f aca="false">IF($J227="NA","NA",IF(AND($J227&gt;1959,AE227&gt;0),"ERRO","OK"))</f>
        <v>OK</v>
      </c>
      <c r="AG227" s="6" t="n">
        <f aca="false">(10-(LEN(AH227)))+1</f>
        <v>7</v>
      </c>
      <c r="AH227" s="6" t="n">
        <v>1982</v>
      </c>
      <c r="AI227" s="6" t="str">
        <f aca="false">IF($J227="NA","NA",IF(AND($J227&gt;1949,AH227&gt;0),"ERRO","OK"))</f>
        <v>OK</v>
      </c>
      <c r="AJ227" s="6" t="n">
        <f aca="false">(10-(LEN(AK227)))+1</f>
        <v>10</v>
      </c>
      <c r="AK227" s="6" t="n">
        <v>0</v>
      </c>
      <c r="AL227" s="6" t="str">
        <f aca="false">IF($J227="NA","NA",IF(AND($J227&gt;1939,AK227&gt;0),"ERRO","OK"))</f>
        <v>OK</v>
      </c>
      <c r="AM227" s="6" t="n">
        <f aca="false">(10-(LEN(AN227)))+1</f>
        <v>10</v>
      </c>
      <c r="AN227" s="6" t="n">
        <v>0</v>
      </c>
      <c r="AO227" s="6" t="str">
        <f aca="false">IF($J227="NA","NA",IF(AND($J227&gt;1929,AN227&gt;0),"ERRO","OK"))</f>
        <v>OK</v>
      </c>
      <c r="AP227" s="6" t="n">
        <f aca="false">(10-(LEN(AQ227)))+1</f>
        <v>10</v>
      </c>
      <c r="AQ227" s="6" t="n">
        <v>0</v>
      </c>
      <c r="AR227" s="6" t="str">
        <f aca="false">IF($J227="NA","NA",IF(AND($J227&gt;1919,AQ227&gt;0),"ERRO","OK"))</f>
        <v>OK</v>
      </c>
      <c r="AS227" s="6" t="n">
        <f aca="false">(10-(LEN(AT227)))+1</f>
        <v>10</v>
      </c>
      <c r="AT227" s="6" t="n">
        <v>0</v>
      </c>
      <c r="AU227" s="6" t="str">
        <f aca="false">IF($J227="NA","NA",IF(AND($J227&gt;1909,AT227&gt;0),"ERRO","OK"))</f>
        <v>OK</v>
      </c>
      <c r="AV227" s="6" t="n">
        <f aca="false">(10-(LEN(AW227)))+1</f>
        <v>10</v>
      </c>
      <c r="AW227" s="6" t="n">
        <v>0</v>
      </c>
      <c r="AX227" s="6" t="str">
        <f aca="false">IF($J227="NA","NA",IF(AND($J227&gt;1899,AW227&gt;0),"ERRO","OK"))</f>
        <v>OK</v>
      </c>
    </row>
    <row r="228" customFormat="false" ht="15" hidden="false" customHeight="false" outlineLevel="0" collapsed="false">
      <c r="A228" s="7" t="n">
        <v>226</v>
      </c>
      <c r="B228" s="0" t="s">
        <v>245</v>
      </c>
      <c r="C228" s="8" t="n">
        <v>45316</v>
      </c>
      <c r="D228" s="6" t="n">
        <v>0</v>
      </c>
      <c r="E228" s="0" t="s">
        <v>16</v>
      </c>
      <c r="F228" s="0" t="s">
        <v>17</v>
      </c>
      <c r="G228" s="9" t="str">
        <f aca="false">IF(OR(N228="ERRO",Q228="ERRO",T228="ERRO",W228="ERRO",Z228="ERRO",AC228="ERRO",AF228="ERRO",AI228="ERRO",AL228="ERRO",AO228="ERRO",AR228="ERRO",AU228="ERRO",AX228="ERRO"),"ERRO","OK")</f>
        <v>OK</v>
      </c>
      <c r="H228" s="9" t="n">
        <f aca="false">COUNTIF(L228:AX228,"ERRO")</f>
        <v>0</v>
      </c>
      <c r="I228" s="9" t="s">
        <v>18</v>
      </c>
      <c r="J228" s="10" t="n">
        <v>1892</v>
      </c>
      <c r="K228" s="10" t="n">
        <v>1982</v>
      </c>
      <c r="L228" s="6" t="n">
        <f aca="false">(10-(LEN(M228)))+1</f>
        <v>6</v>
      </c>
      <c r="M228" s="6" t="n">
        <v>40145</v>
      </c>
      <c r="N228" s="6" t="str">
        <f aca="false">IF($J228="NA","NA",IF(AND($J228&gt;2019,M228&gt;0),"ERRO","OK"))</f>
        <v>OK</v>
      </c>
      <c r="O228" s="6" t="n">
        <f aca="false">(10-(LEN(P228)))+1</f>
        <v>6</v>
      </c>
      <c r="P228" s="6" t="n">
        <v>65075</v>
      </c>
      <c r="Q228" s="6" t="str">
        <f aca="false">IF($J228="NA","NA",IF(AND($J228&gt;2009,P228&gt;0),"ERRO","OK"))</f>
        <v>OK</v>
      </c>
      <c r="R228" s="6" t="n">
        <f aca="false">(10-(LEN(S228)))+1</f>
        <v>6</v>
      </c>
      <c r="S228" s="6" t="n">
        <v>46974</v>
      </c>
      <c r="T228" s="6" t="str">
        <f aca="false">IF($J228="NA","NA",IF(AND($J228&gt;1999,S228&gt;0),"ERRO","OK"))</f>
        <v>OK</v>
      </c>
      <c r="U228" s="6" t="n">
        <f aca="false">(10-(LEN(V228)))+1</f>
        <v>6</v>
      </c>
      <c r="V228" s="6" t="n">
        <v>44382</v>
      </c>
      <c r="W228" s="6" t="str">
        <f aca="false">IF($J228="NA","NA",IF(AND($J228&gt;1989,V228&gt;0),"ERRO","OK"))</f>
        <v>OK</v>
      </c>
      <c r="X228" s="6" t="n">
        <f aca="false">(10-(LEN(Y228)))+1</f>
        <v>6</v>
      </c>
      <c r="Y228" s="6" t="n">
        <v>18354</v>
      </c>
      <c r="Z228" s="6" t="str">
        <f aca="false">IF($J228="NA","NA",IF(AND($J228&gt;1979,Y228&gt;0),"ERRO","OK"))</f>
        <v>OK</v>
      </c>
      <c r="AA228" s="6" t="n">
        <f aca="false">(10-(LEN(AB228)))+1</f>
        <v>6</v>
      </c>
      <c r="AB228" s="6" t="n">
        <v>13243</v>
      </c>
      <c r="AC228" s="6" t="str">
        <f aca="false">IF($J228="NA","NA",IF(AND($J228&gt;1969,AB228&gt;0),"ERRO","OK"))</f>
        <v>OK</v>
      </c>
      <c r="AD228" s="6" t="n">
        <f aca="false">(10-(LEN(AE228)))+1</f>
        <v>6</v>
      </c>
      <c r="AE228" s="6" t="n">
        <v>12110</v>
      </c>
      <c r="AF228" s="6" t="str">
        <f aca="false">IF($J228="NA","NA",IF(AND($J228&gt;1959,AE228&gt;0),"ERRO","OK"))</f>
        <v>OK</v>
      </c>
      <c r="AG228" s="6" t="n">
        <f aca="false">(10-(LEN(AH228)))+1</f>
        <v>7</v>
      </c>
      <c r="AH228" s="6" t="n">
        <v>7600</v>
      </c>
      <c r="AI228" s="6" t="str">
        <f aca="false">IF($J228="NA","NA",IF(AND($J228&gt;1949,AH228&gt;0),"ERRO","OK"))</f>
        <v>OK</v>
      </c>
      <c r="AJ228" s="6" t="n">
        <f aca="false">(10-(LEN(AK228)))+1</f>
        <v>7</v>
      </c>
      <c r="AK228" s="6" t="n">
        <v>5570</v>
      </c>
      <c r="AL228" s="6" t="str">
        <f aca="false">IF($J228="NA","NA",IF(AND($J228&gt;1939,AK228&gt;0),"ERRO","OK"))</f>
        <v>OK</v>
      </c>
      <c r="AM228" s="6" t="n">
        <f aca="false">(10-(LEN(AN228)))+1</f>
        <v>6</v>
      </c>
      <c r="AN228" s="6" t="n">
        <v>10511</v>
      </c>
      <c r="AO228" s="6" t="str">
        <f aca="false">IF($J228="NA","NA",IF(AND($J228&gt;1929,AN228&gt;0),"ERRO","OK"))</f>
        <v>OK</v>
      </c>
      <c r="AP228" s="6" t="n">
        <f aca="false">(10-(LEN(AQ228)))+1</f>
        <v>7</v>
      </c>
      <c r="AQ228" s="6" t="n">
        <v>4206</v>
      </c>
      <c r="AR228" s="6" t="str">
        <f aca="false">IF($J228="NA","NA",IF(AND($J228&gt;1919,AQ228&gt;0),"ERRO","OK"))</f>
        <v>OK</v>
      </c>
      <c r="AS228" s="6" t="n">
        <f aca="false">(10-(LEN(AT228)))+1</f>
        <v>10</v>
      </c>
      <c r="AT228" s="6" t="n">
        <v>0</v>
      </c>
      <c r="AU228" s="6" t="str">
        <f aca="false">IF($J228="NA","NA",IF(AND($J228&gt;1909,AT228&gt;0),"ERRO","OK"))</f>
        <v>OK</v>
      </c>
      <c r="AV228" s="6" t="n">
        <f aca="false">(10-(LEN(AW228)))+1</f>
        <v>10</v>
      </c>
      <c r="AW228" s="6" t="n">
        <v>0</v>
      </c>
      <c r="AX228" s="6" t="str">
        <f aca="false">IF($J228="NA","NA",IF(AND($J228&gt;1899,AW228&gt;0),"ERRO","OK"))</f>
        <v>OK</v>
      </c>
    </row>
    <row r="229" customFormat="false" ht="15" hidden="false" customHeight="false" outlineLevel="0" collapsed="false">
      <c r="A229" s="7" t="n">
        <v>227</v>
      </c>
      <c r="B229" s="0" t="s">
        <v>246</v>
      </c>
      <c r="C229" s="8" t="n">
        <v>45316</v>
      </c>
      <c r="D229" s="6" t="n">
        <v>0</v>
      </c>
      <c r="E229" s="0" t="s">
        <v>16</v>
      </c>
      <c r="F229" s="0" t="s">
        <v>17</v>
      </c>
      <c r="G229" s="9" t="str">
        <f aca="false">IF(OR(N229="ERRO",Q229="ERRO",T229="ERRO",W229="ERRO",Z229="ERRO",AC229="ERRO",AF229="ERRO",AI229="ERRO",AL229="ERRO",AO229="ERRO",AR229="ERRO",AU229="ERRO",AX229="ERRO"),"ERRO","OK")</f>
        <v>OK</v>
      </c>
      <c r="H229" s="9" t="n">
        <f aca="false">COUNTIF(L229:AX229,"ERRO")</f>
        <v>0</v>
      </c>
      <c r="I229" s="9" t="s">
        <v>18</v>
      </c>
      <c r="J229" s="10" t="n">
        <v>1907</v>
      </c>
      <c r="K229" s="10" t="n">
        <v>1976</v>
      </c>
      <c r="L229" s="6" t="n">
        <f aca="false">(10-(LEN(M229)))+1</f>
        <v>8</v>
      </c>
      <c r="M229" s="6" t="n">
        <v>570</v>
      </c>
      <c r="N229" s="6" t="str">
        <f aca="false">IF($J229="NA","NA",IF(AND($J229&gt;2019,M229&gt;0),"ERRO","OK"))</f>
        <v>OK</v>
      </c>
      <c r="O229" s="6" t="n">
        <f aca="false">(10-(LEN(P229)))+1</f>
        <v>8</v>
      </c>
      <c r="P229" s="6" t="n">
        <v>540</v>
      </c>
      <c r="Q229" s="6" t="str">
        <f aca="false">IF($J229="NA","NA",IF(AND($J229&gt;2009,P229&gt;0),"ERRO","OK"))</f>
        <v>OK</v>
      </c>
      <c r="R229" s="6" t="n">
        <f aca="false">(10-(LEN(S229)))+1</f>
        <v>8</v>
      </c>
      <c r="S229" s="6" t="n">
        <v>176</v>
      </c>
      <c r="T229" s="6" t="str">
        <f aca="false">IF($J229="NA","NA",IF(AND($J229&gt;1999,S229&gt;0),"ERRO","OK"))</f>
        <v>OK</v>
      </c>
      <c r="U229" s="6" t="n">
        <f aca="false">(10-(LEN(V229)))+1</f>
        <v>7</v>
      </c>
      <c r="V229" s="6" t="n">
        <v>1451</v>
      </c>
      <c r="W229" s="6" t="str">
        <f aca="false">IF($J229="NA","NA",IF(AND($J229&gt;1989,V229&gt;0),"ERRO","OK"))</f>
        <v>OK</v>
      </c>
      <c r="X229" s="6" t="n">
        <f aca="false">(10-(LEN(Y229)))+1</f>
        <v>8</v>
      </c>
      <c r="Y229" s="6" t="n">
        <v>956</v>
      </c>
      <c r="Z229" s="6" t="str">
        <f aca="false">IF($J229="NA","NA",IF(AND($J229&gt;1979,Y229&gt;0),"ERRO","OK"))</f>
        <v>OK</v>
      </c>
      <c r="AA229" s="6" t="n">
        <f aca="false">(10-(LEN(AB229)))+1</f>
        <v>7</v>
      </c>
      <c r="AB229" s="6" t="n">
        <v>1785</v>
      </c>
      <c r="AC229" s="6" t="str">
        <f aca="false">IF($J229="NA","NA",IF(AND($J229&gt;1969,AB229&gt;0),"ERRO","OK"))</f>
        <v>OK</v>
      </c>
      <c r="AD229" s="6" t="n">
        <f aca="false">(10-(LEN(AE229)))+1</f>
        <v>7</v>
      </c>
      <c r="AE229" s="6" t="n">
        <v>1414</v>
      </c>
      <c r="AF229" s="6" t="str">
        <f aca="false">IF($J229="NA","NA",IF(AND($J229&gt;1959,AE229&gt;0),"ERRO","OK"))</f>
        <v>OK</v>
      </c>
      <c r="AG229" s="6" t="n">
        <f aca="false">(10-(LEN(AH229)))+1</f>
        <v>8</v>
      </c>
      <c r="AH229" s="6" t="n">
        <v>927</v>
      </c>
      <c r="AI229" s="6" t="str">
        <f aca="false">IF($J229="NA","NA",IF(AND($J229&gt;1949,AH229&gt;0),"ERRO","OK"))</f>
        <v>OK</v>
      </c>
      <c r="AJ229" s="6" t="n">
        <f aca="false">(10-(LEN(AK229)))+1</f>
        <v>8</v>
      </c>
      <c r="AK229" s="6" t="n">
        <v>147</v>
      </c>
      <c r="AL229" s="6" t="str">
        <f aca="false">IF($J229="NA","NA",IF(AND($J229&gt;1939,AK229&gt;0),"ERRO","OK"))</f>
        <v>OK</v>
      </c>
      <c r="AM229" s="6" t="n">
        <f aca="false">(10-(LEN(AN229)))+1</f>
        <v>10</v>
      </c>
      <c r="AN229" s="6" t="n">
        <v>0</v>
      </c>
      <c r="AO229" s="6" t="str">
        <f aca="false">IF($J229="NA","NA",IF(AND($J229&gt;1929,AN229&gt;0),"ERRO","OK"))</f>
        <v>OK</v>
      </c>
      <c r="AP229" s="6" t="n">
        <f aca="false">(10-(LEN(AQ229)))+1</f>
        <v>8</v>
      </c>
      <c r="AQ229" s="6" t="n">
        <v>421</v>
      </c>
      <c r="AR229" s="6" t="str">
        <f aca="false">IF($J229="NA","NA",IF(AND($J229&gt;1919,AQ229&gt;0),"ERRO","OK"))</f>
        <v>OK</v>
      </c>
      <c r="AS229" s="6" t="n">
        <f aca="false">(10-(LEN(AT229)))+1</f>
        <v>10</v>
      </c>
      <c r="AT229" s="6" t="n">
        <v>0</v>
      </c>
      <c r="AU229" s="6" t="str">
        <f aca="false">IF($J229="NA","NA",IF(AND($J229&gt;1909,AT229&gt;0),"ERRO","OK"))</f>
        <v>OK</v>
      </c>
      <c r="AV229" s="6" t="n">
        <f aca="false">(10-(LEN(AW229)))+1</f>
        <v>10</v>
      </c>
      <c r="AW229" s="6" t="n">
        <v>0</v>
      </c>
      <c r="AX229" s="6" t="str">
        <f aca="false">IF($J229="NA","NA",IF(AND($J229&gt;1899,AW229&gt;0),"ERRO","OK"))</f>
        <v>OK</v>
      </c>
    </row>
    <row r="230" customFormat="false" ht="15" hidden="false" customHeight="false" outlineLevel="0" collapsed="false">
      <c r="A230" s="7" t="n">
        <v>228</v>
      </c>
      <c r="B230" s="0" t="s">
        <v>247</v>
      </c>
      <c r="C230" s="8" t="n">
        <v>45316</v>
      </c>
      <c r="D230" s="6" t="n">
        <v>0</v>
      </c>
      <c r="E230" s="0" t="s">
        <v>16</v>
      </c>
      <c r="F230" s="0" t="s">
        <v>17</v>
      </c>
      <c r="G230" s="9" t="str">
        <f aca="false">IF(OR(N230="ERRO",Q230="ERRO",T230="ERRO",W230="ERRO",Z230="ERRO",AC230="ERRO",AF230="ERRO",AI230="ERRO",AL230="ERRO",AO230="ERRO",AR230="ERRO",AU230="ERRO",AX230="ERRO"),"ERRO","OK")</f>
        <v>ERRO</v>
      </c>
      <c r="H230" s="9" t="n">
        <f aca="false">COUNTIF(L230:AX230,"ERRO")</f>
        <v>3</v>
      </c>
      <c r="I230" s="9" t="s">
        <v>104</v>
      </c>
      <c r="J230" s="10" t="n">
        <v>1922</v>
      </c>
      <c r="K230" s="10" t="n">
        <v>2011</v>
      </c>
      <c r="L230" s="6" t="n">
        <f aca="false">(10-(LEN(M230)))+1</f>
        <v>6</v>
      </c>
      <c r="M230" s="6" t="n">
        <v>24954</v>
      </c>
      <c r="N230" s="6" t="str">
        <f aca="false">IF($J230="NA","NA",IF(AND($J230&gt;2019,M230&gt;0),"ERRO","OK"))</f>
        <v>OK</v>
      </c>
      <c r="O230" s="6" t="n">
        <f aca="false">(10-(LEN(P230)))+1</f>
        <v>6</v>
      </c>
      <c r="P230" s="6" t="n">
        <v>37288</v>
      </c>
      <c r="Q230" s="6" t="str">
        <f aca="false">IF($J230="NA","NA",IF(AND($J230&gt;2009,P230&gt;0),"ERRO","OK"))</f>
        <v>OK</v>
      </c>
      <c r="R230" s="6" t="n">
        <f aca="false">(10-(LEN(S230)))+1</f>
        <v>6</v>
      </c>
      <c r="S230" s="6" t="n">
        <v>55083</v>
      </c>
      <c r="T230" s="6" t="str">
        <f aca="false">IF($J230="NA","NA",IF(AND($J230&gt;1999,S230&gt;0),"ERRO","OK"))</f>
        <v>OK</v>
      </c>
      <c r="U230" s="6" t="n">
        <f aca="false">(10-(LEN(V230)))+1</f>
        <v>6</v>
      </c>
      <c r="V230" s="6" t="n">
        <v>42543</v>
      </c>
      <c r="W230" s="6" t="str">
        <f aca="false">IF($J230="NA","NA",IF(AND($J230&gt;1989,V230&gt;0),"ERRO","OK"))</f>
        <v>OK</v>
      </c>
      <c r="X230" s="6" t="n">
        <f aca="false">(10-(LEN(Y230)))+1</f>
        <v>6</v>
      </c>
      <c r="Y230" s="6" t="n">
        <v>30500</v>
      </c>
      <c r="Z230" s="6" t="str">
        <f aca="false">IF($J230="NA","NA",IF(AND($J230&gt;1979,Y230&gt;0),"ERRO","OK"))</f>
        <v>OK</v>
      </c>
      <c r="AA230" s="6" t="n">
        <f aca="false">(10-(LEN(AB230)))+1</f>
        <v>6</v>
      </c>
      <c r="AB230" s="6" t="n">
        <v>38323</v>
      </c>
      <c r="AC230" s="6" t="str">
        <f aca="false">IF($J230="NA","NA",IF(AND($J230&gt;1969,AB230&gt;0),"ERRO","OK"))</f>
        <v>OK</v>
      </c>
      <c r="AD230" s="6" t="n">
        <f aca="false">(10-(LEN(AE230)))+1</f>
        <v>6</v>
      </c>
      <c r="AE230" s="6" t="n">
        <v>14801</v>
      </c>
      <c r="AF230" s="6" t="str">
        <f aca="false">IF($J230="NA","NA",IF(AND($J230&gt;1959,AE230&gt;0),"ERRO","OK"))</f>
        <v>OK</v>
      </c>
      <c r="AG230" s="6" t="n">
        <f aca="false">(10-(LEN(AH230)))+1</f>
        <v>6</v>
      </c>
      <c r="AH230" s="6" t="n">
        <v>11344</v>
      </c>
      <c r="AI230" s="6" t="str">
        <f aca="false">IF($J230="NA","NA",IF(AND($J230&gt;1949,AH230&gt;0),"ERRO","OK"))</f>
        <v>OK</v>
      </c>
      <c r="AJ230" s="6" t="n">
        <f aca="false">(10-(LEN(AK230)))+1</f>
        <v>6</v>
      </c>
      <c r="AK230" s="6" t="n">
        <v>16572</v>
      </c>
      <c r="AL230" s="6" t="str">
        <f aca="false">IF($J230="NA","NA",IF(AND($J230&gt;1939,AK230&gt;0),"ERRO","OK"))</f>
        <v>OK</v>
      </c>
      <c r="AM230" s="6" t="n">
        <f aca="false">(10-(LEN(AN230)))+1</f>
        <v>7</v>
      </c>
      <c r="AN230" s="6" t="n">
        <v>9749</v>
      </c>
      <c r="AO230" s="6" t="str">
        <f aca="false">IF($J230="NA","NA",IF(AND($J230&gt;1929,AN230&gt;0),"ERRO","OK"))</f>
        <v>OK</v>
      </c>
      <c r="AP230" s="6" t="n">
        <f aca="false">(10-(LEN(AQ230)))+1</f>
        <v>6</v>
      </c>
      <c r="AQ230" s="6" t="n">
        <v>11315</v>
      </c>
      <c r="AR230" s="6" t="str">
        <f aca="false">IF($J230="NA","NA",IF(AND($J230&gt;1919,AQ230&gt;0),"ERRO","OK"))</f>
        <v>ERRO</v>
      </c>
      <c r="AS230" s="6" t="n">
        <f aca="false">(10-(LEN(AT230)))+1</f>
        <v>6</v>
      </c>
      <c r="AT230" s="6" t="n">
        <v>16397</v>
      </c>
      <c r="AU230" s="6" t="str">
        <f aca="false">IF($J230="NA","NA",IF(AND($J230&gt;1909,AT230&gt;0),"ERRO","OK"))</f>
        <v>ERRO</v>
      </c>
      <c r="AV230" s="6" t="n">
        <f aca="false">(10-(LEN(AW230)))+1</f>
        <v>6</v>
      </c>
      <c r="AW230" s="6" t="n">
        <v>26055</v>
      </c>
      <c r="AX230" s="6" t="str">
        <f aca="false">IF($J230="NA","NA",IF(AND($J230&gt;1899,AW230&gt;0),"ERRO","OK"))</f>
        <v>ERRO</v>
      </c>
    </row>
    <row r="231" customFormat="false" ht="15" hidden="false" customHeight="false" outlineLevel="0" collapsed="false">
      <c r="A231" s="7" t="n">
        <v>229</v>
      </c>
      <c r="B231" s="0" t="s">
        <v>248</v>
      </c>
      <c r="C231" s="8" t="n">
        <v>45316</v>
      </c>
      <c r="D231" s="6" t="n">
        <v>0</v>
      </c>
      <c r="E231" s="0" t="s">
        <v>16</v>
      </c>
      <c r="F231" s="0" t="s">
        <v>17</v>
      </c>
      <c r="G231" s="9" t="str">
        <f aca="false">IF(OR(N231="ERRO",Q231="ERRO",T231="ERRO",W231="ERRO",Z231="ERRO",AC231="ERRO",AF231="ERRO",AI231="ERRO",AL231="ERRO",AO231="ERRO",AR231="ERRO",AU231="ERRO",AX231="ERRO"),"ERRO","OK")</f>
        <v>ERRO</v>
      </c>
      <c r="H231" s="9" t="n">
        <f aca="false">COUNTIF(L231:AX231,"ERRO")</f>
        <v>4</v>
      </c>
      <c r="I231" s="9" t="s">
        <v>104</v>
      </c>
      <c r="J231" s="10" t="n">
        <v>1934</v>
      </c>
      <c r="K231" s="10" t="s">
        <v>22</v>
      </c>
      <c r="L231" s="6" t="n">
        <f aca="false">(10-(LEN(M231)))+1</f>
        <v>7</v>
      </c>
      <c r="M231" s="6" t="n">
        <v>2957</v>
      </c>
      <c r="N231" s="6" t="str">
        <f aca="false">IF($J231="NA","NA",IF(AND($J231&gt;2019,M231&gt;0),"ERRO","OK"))</f>
        <v>OK</v>
      </c>
      <c r="O231" s="6" t="n">
        <f aca="false">(10-(LEN(P231)))+1</f>
        <v>7</v>
      </c>
      <c r="P231" s="6" t="n">
        <v>5694</v>
      </c>
      <c r="Q231" s="6" t="str">
        <f aca="false">IF($J231="NA","NA",IF(AND($J231&gt;2009,P231&gt;0),"ERRO","OK"))</f>
        <v>OK</v>
      </c>
      <c r="R231" s="6" t="n">
        <f aca="false">(10-(LEN(S231)))+1</f>
        <v>7</v>
      </c>
      <c r="S231" s="6" t="n">
        <v>5630</v>
      </c>
      <c r="T231" s="6" t="str">
        <f aca="false">IF($J231="NA","NA",IF(AND($J231&gt;1999,S231&gt;0),"ERRO","OK"))</f>
        <v>OK</v>
      </c>
      <c r="U231" s="6" t="n">
        <f aca="false">(10-(LEN(V231)))+1</f>
        <v>7</v>
      </c>
      <c r="V231" s="6" t="n">
        <v>2714</v>
      </c>
      <c r="W231" s="6" t="str">
        <f aca="false">IF($J231="NA","NA",IF(AND($J231&gt;1989,V231&gt;0),"ERRO","OK"))</f>
        <v>OK</v>
      </c>
      <c r="X231" s="6" t="n">
        <f aca="false">(10-(LEN(Y231)))+1</f>
        <v>7</v>
      </c>
      <c r="Y231" s="6" t="n">
        <v>1231</v>
      </c>
      <c r="Z231" s="6" t="str">
        <f aca="false">IF($J231="NA","NA",IF(AND($J231&gt;1979,Y231&gt;0),"ERRO","OK"))</f>
        <v>OK</v>
      </c>
      <c r="AA231" s="6" t="n">
        <f aca="false">(10-(LEN(AB231)))+1</f>
        <v>8</v>
      </c>
      <c r="AB231" s="6" t="n">
        <v>586</v>
      </c>
      <c r="AC231" s="6" t="str">
        <f aca="false">IF($J231="NA","NA",IF(AND($J231&gt;1969,AB231&gt;0),"ERRO","OK"))</f>
        <v>OK</v>
      </c>
      <c r="AD231" s="6" t="n">
        <f aca="false">(10-(LEN(AE231)))+1</f>
        <v>7</v>
      </c>
      <c r="AE231" s="6" t="n">
        <v>1256</v>
      </c>
      <c r="AF231" s="6" t="str">
        <f aca="false">IF($J231="NA","NA",IF(AND($J231&gt;1959,AE231&gt;0),"ERRO","OK"))</f>
        <v>OK</v>
      </c>
      <c r="AG231" s="6" t="n">
        <f aca="false">(10-(LEN(AH231)))+1</f>
        <v>8</v>
      </c>
      <c r="AH231" s="6" t="n">
        <v>220</v>
      </c>
      <c r="AI231" s="6" t="str">
        <f aca="false">IF($J231="NA","NA",IF(AND($J231&gt;1949,AH231&gt;0),"ERRO","OK"))</f>
        <v>OK</v>
      </c>
      <c r="AJ231" s="6" t="n">
        <f aca="false">(10-(LEN(AK231)))+1</f>
        <v>7</v>
      </c>
      <c r="AK231" s="6" t="n">
        <v>1253</v>
      </c>
      <c r="AL231" s="6" t="str">
        <f aca="false">IF($J231="NA","NA",IF(AND($J231&gt;1939,AK231&gt;0),"ERRO","OK"))</f>
        <v>OK</v>
      </c>
      <c r="AM231" s="6" t="n">
        <f aca="false">(10-(LEN(AN231)))+1</f>
        <v>7</v>
      </c>
      <c r="AN231" s="6" t="n">
        <v>1066</v>
      </c>
      <c r="AO231" s="6" t="str">
        <f aca="false">IF($J231="NA","NA",IF(AND($J231&gt;1929,AN231&gt;0),"ERRO","OK"))</f>
        <v>ERRO</v>
      </c>
      <c r="AP231" s="6" t="n">
        <f aca="false">(10-(LEN(AQ231)))+1</f>
        <v>8</v>
      </c>
      <c r="AQ231" s="6" t="n">
        <v>701</v>
      </c>
      <c r="AR231" s="6" t="str">
        <f aca="false">IF($J231="NA","NA",IF(AND($J231&gt;1919,AQ231&gt;0),"ERRO","OK"))</f>
        <v>ERRO</v>
      </c>
      <c r="AS231" s="6" t="n">
        <f aca="false">(10-(LEN(AT231)))+1</f>
        <v>7</v>
      </c>
      <c r="AT231" s="6" t="n">
        <v>2372</v>
      </c>
      <c r="AU231" s="6" t="str">
        <f aca="false">IF($J231="NA","NA",IF(AND($J231&gt;1909,AT231&gt;0),"ERRO","OK"))</f>
        <v>ERRO</v>
      </c>
      <c r="AV231" s="6" t="n">
        <f aca="false">(10-(LEN(AW231)))+1</f>
        <v>7</v>
      </c>
      <c r="AW231" s="6" t="n">
        <v>1290</v>
      </c>
      <c r="AX231" s="6" t="str">
        <f aca="false">IF($J231="NA","NA",IF(AND($J231&gt;1899,AW231&gt;0),"ERRO","OK"))</f>
        <v>ERRO</v>
      </c>
    </row>
    <row r="232" customFormat="false" ht="15" hidden="false" customHeight="false" outlineLevel="0" collapsed="false">
      <c r="A232" s="7" t="n">
        <v>230</v>
      </c>
      <c r="B232" s="0" t="s">
        <v>249</v>
      </c>
      <c r="C232" s="8" t="n">
        <v>45316</v>
      </c>
      <c r="D232" s="6" t="n">
        <v>0</v>
      </c>
      <c r="E232" s="0" t="s">
        <v>16</v>
      </c>
      <c r="F232" s="0" t="s">
        <v>17</v>
      </c>
      <c r="G232" s="9" t="str">
        <f aca="false">IF(OR(N232="ERRO",Q232="ERRO",T232="ERRO",W232="ERRO",Z232="ERRO",AC232="ERRO",AF232="ERRO",AI232="ERRO",AL232="ERRO",AO232="ERRO",AR232="ERRO",AU232="ERRO",AX232="ERRO"),"ERRO","OK")</f>
        <v>OK</v>
      </c>
      <c r="H232" s="9" t="n">
        <f aca="false">COUNTIF(L232:AX232,"ERRO")</f>
        <v>0</v>
      </c>
      <c r="I232" s="9" t="s">
        <v>18</v>
      </c>
      <c r="J232" s="10" t="n">
        <v>1913</v>
      </c>
      <c r="K232" s="10" t="n">
        <v>1985</v>
      </c>
      <c r="L232" s="6" t="n">
        <f aca="false">(10-(LEN(M232)))+1</f>
        <v>7</v>
      </c>
      <c r="M232" s="6" t="n">
        <v>5913</v>
      </c>
      <c r="N232" s="6" t="str">
        <f aca="false">IF($J232="NA","NA",IF(AND($J232&gt;2019,M232&gt;0),"ERRO","OK"))</f>
        <v>OK</v>
      </c>
      <c r="O232" s="6" t="n">
        <f aca="false">(10-(LEN(P232)))+1</f>
        <v>7</v>
      </c>
      <c r="P232" s="6" t="n">
        <v>1647</v>
      </c>
      <c r="Q232" s="6" t="str">
        <f aca="false">IF($J232="NA","NA",IF(AND($J232&gt;2009,P232&gt;0),"ERRO","OK"))</f>
        <v>OK</v>
      </c>
      <c r="R232" s="6" t="n">
        <f aca="false">(10-(LEN(S232)))+1</f>
        <v>7</v>
      </c>
      <c r="S232" s="6" t="n">
        <v>1891</v>
      </c>
      <c r="T232" s="6" t="str">
        <f aca="false">IF($J232="NA","NA",IF(AND($J232&gt;1999,S232&gt;0),"ERRO","OK"))</f>
        <v>OK</v>
      </c>
      <c r="U232" s="6" t="n">
        <f aca="false">(10-(LEN(V232)))+1</f>
        <v>7</v>
      </c>
      <c r="V232" s="6" t="n">
        <v>3679</v>
      </c>
      <c r="W232" s="6" t="str">
        <f aca="false">IF($J232="NA","NA",IF(AND($J232&gt;1989,V232&gt;0),"ERRO","OK"))</f>
        <v>OK</v>
      </c>
      <c r="X232" s="6" t="n">
        <f aca="false">(10-(LEN(Y232)))+1</f>
        <v>7</v>
      </c>
      <c r="Y232" s="6" t="n">
        <v>2782</v>
      </c>
      <c r="Z232" s="6" t="str">
        <f aca="false">IF($J232="NA","NA",IF(AND($J232&gt;1979,Y232&gt;0),"ERRO","OK"))</f>
        <v>OK</v>
      </c>
      <c r="AA232" s="6" t="n">
        <f aca="false">(10-(LEN(AB232)))+1</f>
        <v>7</v>
      </c>
      <c r="AB232" s="6" t="n">
        <v>4219</v>
      </c>
      <c r="AC232" s="6" t="str">
        <f aca="false">IF($J232="NA","NA",IF(AND($J232&gt;1969,AB232&gt;0),"ERRO","OK"))</f>
        <v>OK</v>
      </c>
      <c r="AD232" s="6" t="n">
        <f aca="false">(10-(LEN(AE232)))+1</f>
        <v>7</v>
      </c>
      <c r="AE232" s="6" t="n">
        <v>1166</v>
      </c>
      <c r="AF232" s="6" t="str">
        <f aca="false">IF($J232="NA","NA",IF(AND($J232&gt;1959,AE232&gt;0),"ERRO","OK"))</f>
        <v>OK</v>
      </c>
      <c r="AG232" s="6" t="n">
        <f aca="false">(10-(LEN(AH232)))+1</f>
        <v>8</v>
      </c>
      <c r="AH232" s="6" t="n">
        <v>110</v>
      </c>
      <c r="AI232" s="6" t="str">
        <f aca="false">IF($J232="NA","NA",IF(AND($J232&gt;1949,AH232&gt;0),"ERRO","OK"))</f>
        <v>OK</v>
      </c>
      <c r="AJ232" s="6" t="n">
        <f aca="false">(10-(LEN(AK232)))+1</f>
        <v>10</v>
      </c>
      <c r="AK232" s="6" t="n">
        <v>0</v>
      </c>
      <c r="AL232" s="6" t="str">
        <f aca="false">IF($J232="NA","NA",IF(AND($J232&gt;1939,AK232&gt;0),"ERRO","OK"))</f>
        <v>OK</v>
      </c>
      <c r="AM232" s="6" t="n">
        <f aca="false">(10-(LEN(AN232)))+1</f>
        <v>10</v>
      </c>
      <c r="AN232" s="6" t="n">
        <v>0</v>
      </c>
      <c r="AO232" s="6" t="str">
        <f aca="false">IF($J232="NA","NA",IF(AND($J232&gt;1929,AN232&gt;0),"ERRO","OK"))</f>
        <v>OK</v>
      </c>
      <c r="AP232" s="6" t="n">
        <f aca="false">(10-(LEN(AQ232)))+1</f>
        <v>10</v>
      </c>
      <c r="AQ232" s="6" t="n">
        <v>0</v>
      </c>
      <c r="AR232" s="6" t="str">
        <f aca="false">IF($J232="NA","NA",IF(AND($J232&gt;1919,AQ232&gt;0),"ERRO","OK"))</f>
        <v>OK</v>
      </c>
      <c r="AS232" s="6" t="n">
        <f aca="false">(10-(LEN(AT232)))+1</f>
        <v>10</v>
      </c>
      <c r="AT232" s="6" t="n">
        <v>0</v>
      </c>
      <c r="AU232" s="6" t="str">
        <f aca="false">IF($J232="NA","NA",IF(AND($J232&gt;1909,AT232&gt;0),"ERRO","OK"))</f>
        <v>OK</v>
      </c>
      <c r="AV232" s="6" t="n">
        <f aca="false">(10-(LEN(AW232)))+1</f>
        <v>10</v>
      </c>
      <c r="AW232" s="6" t="n">
        <v>0</v>
      </c>
      <c r="AX232" s="6" t="str">
        <f aca="false">IF($J232="NA","NA",IF(AND($J232&gt;1899,AW232&gt;0),"ERRO","OK"))</f>
        <v>OK</v>
      </c>
    </row>
    <row r="233" customFormat="false" ht="15" hidden="false" customHeight="false" outlineLevel="0" collapsed="false">
      <c r="A233" s="7" t="n">
        <v>231</v>
      </c>
      <c r="B233" s="0" t="s">
        <v>250</v>
      </c>
      <c r="C233" s="8" t="n">
        <v>45316</v>
      </c>
      <c r="D233" s="6" t="n">
        <v>0</v>
      </c>
      <c r="E233" s="0" t="s">
        <v>16</v>
      </c>
      <c r="F233" s="0" t="s">
        <v>17</v>
      </c>
      <c r="G233" s="9" t="str">
        <f aca="false">IF(OR(N233="ERRO",Q233="ERRO",T233="ERRO",W233="ERRO",Z233="ERRO",AC233="ERRO",AF233="ERRO",AI233="ERRO",AL233="ERRO",AO233="ERRO",AR233="ERRO",AU233="ERRO",AX233="ERRO"),"ERRO","OK")</f>
        <v>ERRO</v>
      </c>
      <c r="H233" s="9" t="n">
        <f aca="false">COUNTIF(L233:AX233,"ERRO")</f>
        <v>1</v>
      </c>
      <c r="I233" s="9" t="s">
        <v>18</v>
      </c>
      <c r="J233" s="10" t="n">
        <v>1906</v>
      </c>
      <c r="K233" s="10" t="n">
        <v>1989</v>
      </c>
      <c r="L233" s="6" t="n">
        <f aca="false">(10-(LEN(M233)))+1</f>
        <v>5</v>
      </c>
      <c r="M233" s="6" t="n">
        <v>225503</v>
      </c>
      <c r="N233" s="6" t="str">
        <f aca="false">IF($J233="NA","NA",IF(AND($J233&gt;2019,M233&gt;0),"ERRO","OK"))</f>
        <v>OK</v>
      </c>
      <c r="O233" s="6" t="n">
        <f aca="false">(10-(LEN(P233)))+1</f>
        <v>5</v>
      </c>
      <c r="P233" s="6" t="n">
        <v>359882</v>
      </c>
      <c r="Q233" s="6" t="str">
        <f aca="false">IF($J233="NA","NA",IF(AND($J233&gt;2009,P233&gt;0),"ERRO","OK"))</f>
        <v>OK</v>
      </c>
      <c r="R233" s="6" t="n">
        <f aca="false">(10-(LEN(S233)))+1</f>
        <v>5</v>
      </c>
      <c r="S233" s="6" t="n">
        <v>301421</v>
      </c>
      <c r="T233" s="6" t="str">
        <f aca="false">IF($J233="NA","NA",IF(AND($J233&gt;1999,S233&gt;0),"ERRO","OK"))</f>
        <v>OK</v>
      </c>
      <c r="U233" s="6" t="n">
        <f aca="false">(10-(LEN(V233)))+1</f>
        <v>5</v>
      </c>
      <c r="V233" s="6" t="n">
        <v>295039</v>
      </c>
      <c r="W233" s="6" t="str">
        <f aca="false">IF($J233="NA","NA",IF(AND($J233&gt;1989,V233&gt;0),"ERRO","OK"))</f>
        <v>OK</v>
      </c>
      <c r="X233" s="6" t="n">
        <f aca="false">(10-(LEN(Y233)))+1</f>
        <v>5</v>
      </c>
      <c r="Y233" s="6" t="n">
        <v>235601</v>
      </c>
      <c r="Z233" s="6" t="str">
        <f aca="false">IF($J233="NA","NA",IF(AND($J233&gt;1979,Y233&gt;0),"ERRO","OK"))</f>
        <v>OK</v>
      </c>
      <c r="AA233" s="6" t="n">
        <f aca="false">(10-(LEN(AB233)))+1</f>
        <v>5</v>
      </c>
      <c r="AB233" s="6" t="n">
        <v>195423</v>
      </c>
      <c r="AC233" s="6" t="str">
        <f aca="false">IF($J233="NA","NA",IF(AND($J233&gt;1969,AB233&gt;0),"ERRO","OK"))</f>
        <v>OK</v>
      </c>
      <c r="AD233" s="6" t="n">
        <f aca="false">(10-(LEN(AE233)))+1</f>
        <v>6</v>
      </c>
      <c r="AE233" s="6" t="n">
        <v>96163</v>
      </c>
      <c r="AF233" s="6" t="str">
        <f aca="false">IF($J233="NA","NA",IF(AND($J233&gt;1959,AE233&gt;0),"ERRO","OK"))</f>
        <v>OK</v>
      </c>
      <c r="AG233" s="6" t="n">
        <f aca="false">(10-(LEN(AH233)))+1</f>
        <v>6</v>
      </c>
      <c r="AH233" s="6" t="n">
        <v>13437</v>
      </c>
      <c r="AI233" s="6" t="str">
        <f aca="false">IF($J233="NA","NA",IF(AND($J233&gt;1949,AH233&gt;0),"ERRO","OK"))</f>
        <v>OK</v>
      </c>
      <c r="AJ233" s="6" t="n">
        <f aca="false">(10-(LEN(AK233)))+1</f>
        <v>7</v>
      </c>
      <c r="AK233" s="6" t="n">
        <v>6963</v>
      </c>
      <c r="AL233" s="6" t="str">
        <f aca="false">IF($J233="NA","NA",IF(AND($J233&gt;1939,AK233&gt;0),"ERRO","OK"))</f>
        <v>OK</v>
      </c>
      <c r="AM233" s="6" t="n">
        <f aca="false">(10-(LEN(AN233)))+1</f>
        <v>7</v>
      </c>
      <c r="AN233" s="6" t="n">
        <v>3047</v>
      </c>
      <c r="AO233" s="6" t="str">
        <f aca="false">IF($J233="NA","NA",IF(AND($J233&gt;1929,AN233&gt;0),"ERRO","OK"))</f>
        <v>OK</v>
      </c>
      <c r="AP233" s="6" t="n">
        <f aca="false">(10-(LEN(AQ233)))+1</f>
        <v>8</v>
      </c>
      <c r="AQ233" s="6" t="n">
        <v>200</v>
      </c>
      <c r="AR233" s="6" t="str">
        <f aca="false">IF($J233="NA","NA",IF(AND($J233&gt;1919,AQ233&gt;0),"ERRO","OK"))</f>
        <v>OK</v>
      </c>
      <c r="AS233" s="6" t="n">
        <f aca="false">(10-(LEN(AT233)))+1</f>
        <v>8</v>
      </c>
      <c r="AT233" s="6" t="n">
        <v>413</v>
      </c>
      <c r="AU233" s="6" t="str">
        <f aca="false">IF($J233="NA","NA",IF(AND($J233&gt;1909,AT233&gt;0),"ERRO","OK"))</f>
        <v>OK</v>
      </c>
      <c r="AV233" s="6" t="n">
        <f aca="false">(10-(LEN(AW233)))+1</f>
        <v>7</v>
      </c>
      <c r="AW233" s="6" t="n">
        <v>1161</v>
      </c>
      <c r="AX233" s="6" t="str">
        <f aca="false">IF($J233="NA","NA",IF(AND($J233&gt;1899,AW233&gt;0),"ERRO","OK"))</f>
        <v>ERRO</v>
      </c>
    </row>
    <row r="234" customFormat="false" ht="15" hidden="false" customHeight="false" outlineLevel="0" collapsed="false">
      <c r="A234" s="7" t="n">
        <v>232</v>
      </c>
      <c r="B234" s="0" t="s">
        <v>251</v>
      </c>
      <c r="C234" s="8" t="n">
        <v>45317</v>
      </c>
      <c r="D234" s="6" t="n">
        <v>0</v>
      </c>
      <c r="E234" s="0" t="s">
        <v>16</v>
      </c>
      <c r="F234" s="0" t="s">
        <v>17</v>
      </c>
      <c r="G234" s="9" t="str">
        <f aca="false">IF(OR(N234="ERRO",Q234="ERRO",T234="ERRO",W234="ERRO",Z234="ERRO",AC234="ERRO",AF234="ERRO",AI234="ERRO",AL234="ERRO",AO234="ERRO",AR234="ERRO",AU234="ERRO",AX234="ERRO"),"ERRO","OK")</f>
        <v>OK</v>
      </c>
      <c r="H234" s="9" t="n">
        <f aca="false">COUNTIF(L234:AX234,"ERRO")</f>
        <v>0</v>
      </c>
      <c r="I234" s="9" t="s">
        <v>18</v>
      </c>
      <c r="J234" s="10" t="n">
        <v>1916</v>
      </c>
      <c r="K234" s="10" t="n">
        <v>2017</v>
      </c>
      <c r="L234" s="6" t="n">
        <f aca="false">(10-(LEN(M234)))+1</f>
        <v>6</v>
      </c>
      <c r="M234" s="6" t="n">
        <v>57511</v>
      </c>
      <c r="N234" s="6" t="str">
        <f aca="false">IF($J234="NA","NA",IF(AND($J234&gt;2019,M234&gt;0),"ERRO","OK"))</f>
        <v>OK</v>
      </c>
      <c r="O234" s="6" t="n">
        <f aca="false">(10-(LEN(P234)))+1</f>
        <v>6</v>
      </c>
      <c r="P234" s="6" t="n">
        <v>81094</v>
      </c>
      <c r="Q234" s="6" t="str">
        <f aca="false">IF($J234="NA","NA",IF(AND($J234&gt;2009,P234&gt;0),"ERRO","OK"))</f>
        <v>OK</v>
      </c>
      <c r="R234" s="6" t="n">
        <f aca="false">(10-(LEN(S234)))+1</f>
        <v>6</v>
      </c>
      <c r="S234" s="6" t="n">
        <v>89157</v>
      </c>
      <c r="T234" s="6" t="str">
        <f aca="false">IF($J234="NA","NA",IF(AND($J234&gt;1999,S234&gt;0),"ERRO","OK"))</f>
        <v>OK</v>
      </c>
      <c r="U234" s="6" t="n">
        <f aca="false">(10-(LEN(V234)))+1</f>
        <v>6</v>
      </c>
      <c r="V234" s="6" t="n">
        <v>87477</v>
      </c>
      <c r="W234" s="6" t="str">
        <f aca="false">IF($J234="NA","NA",IF(AND($J234&gt;1989,V234&gt;0),"ERRO","OK"))</f>
        <v>OK</v>
      </c>
      <c r="X234" s="6" t="n">
        <f aca="false">(10-(LEN(Y234)))+1</f>
        <v>5</v>
      </c>
      <c r="Y234" s="6" t="n">
        <v>133345</v>
      </c>
      <c r="Z234" s="6" t="str">
        <f aca="false">IF($J234="NA","NA",IF(AND($J234&gt;1979,Y234&gt;0),"ERRO","OK"))</f>
        <v>OK</v>
      </c>
      <c r="AA234" s="6" t="n">
        <f aca="false">(10-(LEN(AB234)))+1</f>
        <v>5</v>
      </c>
      <c r="AB234" s="6" t="n">
        <v>104714</v>
      </c>
      <c r="AC234" s="6" t="str">
        <f aca="false">IF($J234="NA","NA",IF(AND($J234&gt;1969,AB234&gt;0),"ERRO","OK"))</f>
        <v>OK</v>
      </c>
      <c r="AD234" s="6" t="n">
        <f aca="false">(10-(LEN(AE234)))+1</f>
        <v>6</v>
      </c>
      <c r="AE234" s="6" t="n">
        <v>47274</v>
      </c>
      <c r="AF234" s="6" t="str">
        <f aca="false">IF($J234="NA","NA",IF(AND($J234&gt;1959,AE234&gt;0),"ERRO","OK"))</f>
        <v>OK</v>
      </c>
      <c r="AG234" s="6" t="n">
        <f aca="false">(10-(LEN(AH234)))+1</f>
        <v>7</v>
      </c>
      <c r="AH234" s="6" t="n">
        <v>2643</v>
      </c>
      <c r="AI234" s="6" t="str">
        <f aca="false">IF($J234="NA","NA",IF(AND($J234&gt;1949,AH234&gt;0),"ERRO","OK"))</f>
        <v>OK</v>
      </c>
      <c r="AJ234" s="6" t="n">
        <f aca="false">(10-(LEN(AK234)))+1</f>
        <v>7</v>
      </c>
      <c r="AK234" s="6" t="n">
        <v>2228</v>
      </c>
      <c r="AL234" s="6" t="str">
        <f aca="false">IF($J234="NA","NA",IF(AND($J234&gt;1939,AK234&gt;0),"ERRO","OK"))</f>
        <v>OK</v>
      </c>
      <c r="AM234" s="6" t="n">
        <f aca="false">(10-(LEN(AN234)))+1</f>
        <v>8</v>
      </c>
      <c r="AN234" s="6" t="n">
        <v>152</v>
      </c>
      <c r="AO234" s="6" t="str">
        <f aca="false">IF($J234="NA","NA",IF(AND($J234&gt;1929,AN234&gt;0),"ERRO","OK"))</f>
        <v>OK</v>
      </c>
      <c r="AP234" s="6" t="n">
        <f aca="false">(10-(LEN(AQ234)))+1</f>
        <v>7</v>
      </c>
      <c r="AQ234" s="6" t="n">
        <v>1402</v>
      </c>
      <c r="AR234" s="6" t="str">
        <f aca="false">IF($J234="NA","NA",IF(AND($J234&gt;1919,AQ234&gt;0),"ERRO","OK"))</f>
        <v>OK</v>
      </c>
      <c r="AS234" s="6" t="n">
        <f aca="false">(10-(LEN(AT234)))+1</f>
        <v>10</v>
      </c>
      <c r="AT234" s="6" t="n">
        <v>0</v>
      </c>
      <c r="AU234" s="6" t="str">
        <f aca="false">IF($J234="NA","NA",IF(AND($J234&gt;1909,AT234&gt;0),"ERRO","OK"))</f>
        <v>OK</v>
      </c>
      <c r="AV234" s="6" t="n">
        <f aca="false">(10-(LEN(AW234)))+1</f>
        <v>10</v>
      </c>
      <c r="AW234" s="6" t="n">
        <v>0</v>
      </c>
      <c r="AX234" s="6" t="str">
        <f aca="false">IF($J234="NA","NA",IF(AND($J234&gt;1899,AW234&gt;0),"ERRO","OK"))</f>
        <v>OK</v>
      </c>
    </row>
    <row r="235" customFormat="false" ht="15" hidden="false" customHeight="false" outlineLevel="0" collapsed="false">
      <c r="A235" s="7" t="n">
        <v>233</v>
      </c>
      <c r="B235" s="0" t="s">
        <v>252</v>
      </c>
      <c r="C235" s="8" t="n">
        <v>45317</v>
      </c>
      <c r="D235" s="6" t="n">
        <v>0</v>
      </c>
      <c r="E235" s="0" t="s">
        <v>16</v>
      </c>
      <c r="F235" s="0" t="s">
        <v>17</v>
      </c>
      <c r="G235" s="9" t="str">
        <f aca="false">IF(OR(N235="ERRO",Q235="ERRO",T235="ERRO",W235="ERRO",Z235="ERRO",AC235="ERRO",AF235="ERRO",AI235="ERRO",AL235="ERRO",AO235="ERRO",AR235="ERRO",AU235="ERRO",AX235="ERRO"),"ERRO","OK")</f>
        <v>ERRO</v>
      </c>
      <c r="H235" s="9" t="n">
        <f aca="false">COUNTIF(L235:AX235,"ERRO")</f>
        <v>2</v>
      </c>
      <c r="I235" s="9" t="s">
        <v>104</v>
      </c>
      <c r="J235" s="10" t="n">
        <v>1921</v>
      </c>
      <c r="K235" s="10" t="n">
        <v>2007</v>
      </c>
      <c r="L235" s="6" t="n">
        <f aca="false">(10-(LEN(M235)))+1</f>
        <v>9</v>
      </c>
      <c r="M235" s="6" t="n">
        <v>83</v>
      </c>
      <c r="N235" s="6" t="str">
        <f aca="false">IF($J235="NA","NA",IF(AND($J235&gt;2019,M235&gt;0),"ERRO","OK"))</f>
        <v>OK</v>
      </c>
      <c r="O235" s="6" t="n">
        <f aca="false">(10-(LEN(P235)))+1</f>
        <v>10</v>
      </c>
      <c r="P235" s="6" t="n">
        <v>0</v>
      </c>
      <c r="Q235" s="6" t="str">
        <f aca="false">IF($J235="NA","NA",IF(AND($J235&gt;2009,P235&gt;0),"ERRO","OK"))</f>
        <v>OK</v>
      </c>
      <c r="R235" s="6" t="n">
        <f aca="false">(10-(LEN(S235)))+1</f>
        <v>9</v>
      </c>
      <c r="S235" s="6" t="n">
        <v>84</v>
      </c>
      <c r="T235" s="6" t="str">
        <f aca="false">IF($J235="NA","NA",IF(AND($J235&gt;1999,S235&gt;0),"ERRO","OK"))</f>
        <v>OK</v>
      </c>
      <c r="U235" s="6" t="n">
        <f aca="false">(10-(LEN(V235)))+1</f>
        <v>8</v>
      </c>
      <c r="V235" s="6" t="n">
        <v>138</v>
      </c>
      <c r="W235" s="6" t="str">
        <f aca="false">IF($J235="NA","NA",IF(AND($J235&gt;1989,V235&gt;0),"ERRO","OK"))</f>
        <v>OK</v>
      </c>
      <c r="X235" s="6" t="n">
        <f aca="false">(10-(LEN(Y235)))+1</f>
        <v>8</v>
      </c>
      <c r="Y235" s="6" t="n">
        <v>321</v>
      </c>
      <c r="Z235" s="6" t="str">
        <f aca="false">IF($J235="NA","NA",IF(AND($J235&gt;1979,Y235&gt;0),"ERRO","OK"))</f>
        <v>OK</v>
      </c>
      <c r="AA235" s="6" t="n">
        <f aca="false">(10-(LEN(AB235)))+1</f>
        <v>7</v>
      </c>
      <c r="AB235" s="6" t="n">
        <v>1465</v>
      </c>
      <c r="AC235" s="6" t="str">
        <f aca="false">IF($J235="NA","NA",IF(AND($J235&gt;1969,AB235&gt;0),"ERRO","OK"))</f>
        <v>OK</v>
      </c>
      <c r="AD235" s="6" t="n">
        <f aca="false">(10-(LEN(AE235)))+1</f>
        <v>8</v>
      </c>
      <c r="AE235" s="6" t="n">
        <v>987</v>
      </c>
      <c r="AF235" s="6" t="str">
        <f aca="false">IF($J235="NA","NA",IF(AND($J235&gt;1959,AE235&gt;0),"ERRO","OK"))</f>
        <v>OK</v>
      </c>
      <c r="AG235" s="6" t="n">
        <f aca="false">(10-(LEN(AH235)))+1</f>
        <v>8</v>
      </c>
      <c r="AH235" s="6" t="n">
        <v>220</v>
      </c>
      <c r="AI235" s="6" t="str">
        <f aca="false">IF($J235="NA","NA",IF(AND($J235&gt;1949,AH235&gt;0),"ERRO","OK"))</f>
        <v>OK</v>
      </c>
      <c r="AJ235" s="6" t="n">
        <f aca="false">(10-(LEN(AK235)))+1</f>
        <v>10</v>
      </c>
      <c r="AK235" s="6" t="n">
        <v>0</v>
      </c>
      <c r="AL235" s="6" t="str">
        <f aca="false">IF($J235="NA","NA",IF(AND($J235&gt;1939,AK235&gt;0),"ERRO","OK"))</f>
        <v>OK</v>
      </c>
      <c r="AM235" s="6" t="n">
        <f aca="false">(10-(LEN(AN235)))+1</f>
        <v>8</v>
      </c>
      <c r="AN235" s="6" t="n">
        <v>305</v>
      </c>
      <c r="AO235" s="6" t="str">
        <f aca="false">IF($J235="NA","NA",IF(AND($J235&gt;1929,AN235&gt;0),"ERRO","OK"))</f>
        <v>OK</v>
      </c>
      <c r="AP235" s="6" t="n">
        <f aca="false">(10-(LEN(AQ235)))+1</f>
        <v>8</v>
      </c>
      <c r="AQ235" s="6" t="n">
        <v>300</v>
      </c>
      <c r="AR235" s="6" t="str">
        <f aca="false">IF($J235="NA","NA",IF(AND($J235&gt;1919,AQ235&gt;0),"ERRO","OK"))</f>
        <v>ERRO</v>
      </c>
      <c r="AS235" s="6" t="n">
        <f aca="false">(10-(LEN(AT235)))+1</f>
        <v>8</v>
      </c>
      <c r="AT235" s="6" t="n">
        <v>928</v>
      </c>
      <c r="AU235" s="6" t="str">
        <f aca="false">IF($J235="NA","NA",IF(AND($J235&gt;1909,AT235&gt;0),"ERRO","OK"))</f>
        <v>ERRO</v>
      </c>
      <c r="AV235" s="6" t="n">
        <f aca="false">(10-(LEN(AW235)))+1</f>
        <v>10</v>
      </c>
      <c r="AW235" s="6" t="n">
        <v>0</v>
      </c>
      <c r="AX235" s="6" t="str">
        <f aca="false">IF($J235="NA","NA",IF(AND($J235&gt;1899,AW235&gt;0),"ERRO","OK"))</f>
        <v>OK</v>
      </c>
    </row>
    <row r="236" customFormat="false" ht="15" hidden="false" customHeight="false" outlineLevel="0" collapsed="false">
      <c r="A236" s="7" t="n">
        <v>234</v>
      </c>
      <c r="B236" s="0" t="s">
        <v>253</v>
      </c>
      <c r="C236" s="8" t="n">
        <v>45317</v>
      </c>
      <c r="D236" s="6" t="n">
        <v>0</v>
      </c>
      <c r="E236" s="0" t="s">
        <v>16</v>
      </c>
      <c r="F236" s="0" t="s">
        <v>17</v>
      </c>
      <c r="G236" s="9" t="str">
        <f aca="false">IF(OR(N236="ERRO",Q236="ERRO",T236="ERRO",W236="ERRO",Z236="ERRO",AC236="ERRO",AF236="ERRO",AI236="ERRO",AL236="ERRO",AO236="ERRO",AR236="ERRO",AU236="ERRO",AX236="ERRO"),"ERRO","OK")</f>
        <v>OK</v>
      </c>
      <c r="H236" s="9" t="n">
        <f aca="false">COUNTIF(L236:AX236,"ERRO")</f>
        <v>0</v>
      </c>
      <c r="I236" s="9" t="s">
        <v>18</v>
      </c>
      <c r="J236" s="10" t="n">
        <v>1921</v>
      </c>
      <c r="K236" s="10" t="n">
        <v>1993</v>
      </c>
      <c r="L236" s="6" t="n">
        <f aca="false">(10-(LEN(M236)))+1</f>
        <v>10</v>
      </c>
      <c r="M236" s="6" t="n">
        <v>0</v>
      </c>
      <c r="N236" s="6" t="str">
        <f aca="false">IF($J236="NA","NA",IF(AND($J236&gt;2019,M236&gt;0),"ERRO","OK"))</f>
        <v>OK</v>
      </c>
      <c r="O236" s="6" t="n">
        <f aca="false">(10-(LEN(P236)))+1</f>
        <v>10</v>
      </c>
      <c r="P236" s="6" t="n">
        <v>0</v>
      </c>
      <c r="Q236" s="6" t="str">
        <f aca="false">IF($J236="NA","NA",IF(AND($J236&gt;2009,P236&gt;0),"ERRO","OK"))</f>
        <v>OK</v>
      </c>
      <c r="R236" s="6" t="n">
        <f aca="false">(10-(LEN(S236)))+1</f>
        <v>10</v>
      </c>
      <c r="S236" s="6" t="n">
        <v>0</v>
      </c>
      <c r="T236" s="6" t="str">
        <f aca="false">IF($J236="NA","NA",IF(AND($J236&gt;1999,S236&gt;0),"ERRO","OK"))</f>
        <v>OK</v>
      </c>
      <c r="U236" s="6" t="n">
        <f aca="false">(10-(LEN(V236)))+1</f>
        <v>10</v>
      </c>
      <c r="V236" s="6" t="n">
        <v>0</v>
      </c>
      <c r="W236" s="6" t="str">
        <f aca="false">IF($J236="NA","NA",IF(AND($J236&gt;1989,V236&gt;0),"ERRO","OK"))</f>
        <v>OK</v>
      </c>
      <c r="X236" s="6" t="n">
        <f aca="false">(10-(LEN(Y236)))+1</f>
        <v>10</v>
      </c>
      <c r="Y236" s="6" t="n">
        <v>0</v>
      </c>
      <c r="Z236" s="6" t="str">
        <f aca="false">IF($J236="NA","NA",IF(AND($J236&gt;1979,Y236&gt;0),"ERRO","OK"))</f>
        <v>OK</v>
      </c>
      <c r="AA236" s="6" t="n">
        <f aca="false">(10-(LEN(AB236)))+1</f>
        <v>10</v>
      </c>
      <c r="AB236" s="6" t="n">
        <v>0</v>
      </c>
      <c r="AC236" s="6" t="str">
        <f aca="false">IF($J236="NA","NA",IF(AND($J236&gt;1969,AB236&gt;0),"ERRO","OK"))</f>
        <v>OK</v>
      </c>
      <c r="AD236" s="6" t="n">
        <f aca="false">(10-(LEN(AE236)))+1</f>
        <v>10</v>
      </c>
      <c r="AE236" s="6" t="n">
        <v>0</v>
      </c>
      <c r="AF236" s="6" t="str">
        <f aca="false">IF($J236="NA","NA",IF(AND($J236&gt;1959,AE236&gt;0),"ERRO","OK"))</f>
        <v>OK</v>
      </c>
      <c r="AG236" s="6" t="n">
        <f aca="false">(10-(LEN(AH236)))+1</f>
        <v>10</v>
      </c>
      <c r="AH236" s="6" t="n">
        <v>0</v>
      </c>
      <c r="AI236" s="6" t="str">
        <f aca="false">IF($J236="NA","NA",IF(AND($J236&gt;1949,AH236&gt;0),"ERRO","OK"))</f>
        <v>OK</v>
      </c>
      <c r="AJ236" s="6" t="n">
        <f aca="false">(10-(LEN(AK236)))+1</f>
        <v>10</v>
      </c>
      <c r="AK236" s="6" t="n">
        <v>0</v>
      </c>
      <c r="AL236" s="6" t="str">
        <f aca="false">IF($J236="NA","NA",IF(AND($J236&gt;1939,AK236&gt;0),"ERRO","OK"))</f>
        <v>OK</v>
      </c>
      <c r="AM236" s="6" t="n">
        <f aca="false">(10-(LEN(AN236)))+1</f>
        <v>10</v>
      </c>
      <c r="AN236" s="6" t="n">
        <v>0</v>
      </c>
      <c r="AO236" s="6" t="str">
        <f aca="false">IF($J236="NA","NA",IF(AND($J236&gt;1929,AN236&gt;0),"ERRO","OK"))</f>
        <v>OK</v>
      </c>
      <c r="AP236" s="6" t="n">
        <f aca="false">(10-(LEN(AQ236)))+1</f>
        <v>10</v>
      </c>
      <c r="AQ236" s="6" t="n">
        <v>0</v>
      </c>
      <c r="AR236" s="6" t="str">
        <f aca="false">IF($J236="NA","NA",IF(AND($J236&gt;1919,AQ236&gt;0),"ERRO","OK"))</f>
        <v>OK</v>
      </c>
      <c r="AS236" s="6" t="n">
        <f aca="false">(10-(LEN(AT236)))+1</f>
        <v>10</v>
      </c>
      <c r="AT236" s="6" t="n">
        <v>0</v>
      </c>
      <c r="AU236" s="6" t="str">
        <f aca="false">IF($J236="NA","NA",IF(AND($J236&gt;1909,AT236&gt;0),"ERRO","OK"))</f>
        <v>OK</v>
      </c>
      <c r="AV236" s="6" t="n">
        <f aca="false">(10-(LEN(AW236)))+1</f>
        <v>10</v>
      </c>
      <c r="AW236" s="6" t="n">
        <v>0</v>
      </c>
      <c r="AX236" s="6" t="str">
        <f aca="false">IF($J236="NA","NA",IF(AND($J236&gt;1899,AW236&gt;0),"ERRO","OK"))</f>
        <v>OK</v>
      </c>
    </row>
    <row r="237" customFormat="false" ht="15" hidden="false" customHeight="false" outlineLevel="0" collapsed="false">
      <c r="A237" s="7" t="n">
        <v>235</v>
      </c>
      <c r="B237" s="0" t="s">
        <v>254</v>
      </c>
      <c r="C237" s="8" t="n">
        <v>45317</v>
      </c>
      <c r="D237" s="6" t="n">
        <v>0</v>
      </c>
      <c r="E237" s="0" t="s">
        <v>16</v>
      </c>
      <c r="F237" s="0" t="s">
        <v>17</v>
      </c>
      <c r="G237" s="9" t="str">
        <f aca="false">IF(OR(N237="ERRO",Q237="ERRO",T237="ERRO",W237="ERRO",Z237="ERRO",AC237="ERRO",AF237="ERRO",AI237="ERRO",AL237="ERRO",AO237="ERRO",AR237="ERRO",AU237="ERRO",AX237="ERRO"),"ERRO","OK")</f>
        <v>OK</v>
      </c>
      <c r="H237" s="9" t="n">
        <f aca="false">COUNTIF(L237:AX237,"ERRO")</f>
        <v>0</v>
      </c>
      <c r="I237" s="9" t="s">
        <v>18</v>
      </c>
      <c r="J237" s="10" t="s">
        <v>22</v>
      </c>
      <c r="K237" s="10" t="n">
        <v>2013</v>
      </c>
      <c r="L237" s="6" t="n">
        <f aca="false">(10-(LEN(M237)))+1</f>
        <v>9</v>
      </c>
      <c r="M237" s="6" t="n">
        <v>83</v>
      </c>
      <c r="N237" s="6" t="str">
        <f aca="false">IF($J237="NA","NA",IF(AND($J237&gt;2019,M237&gt;0),"ERRO","OK"))</f>
        <v>NA</v>
      </c>
      <c r="O237" s="6" t="n">
        <f aca="false">(10-(LEN(P237)))+1</f>
        <v>10</v>
      </c>
      <c r="P237" s="6" t="n">
        <v>0</v>
      </c>
      <c r="Q237" s="6" t="str">
        <f aca="false">IF($J237="NA","NA",IF(AND($J237&gt;2009,P237&gt;0),"ERRO","OK"))</f>
        <v>NA</v>
      </c>
      <c r="R237" s="6" t="n">
        <f aca="false">(10-(LEN(S237)))+1</f>
        <v>9</v>
      </c>
      <c r="S237" s="6" t="n">
        <v>84</v>
      </c>
      <c r="T237" s="6" t="str">
        <f aca="false">IF($J237="NA","NA",IF(AND($J237&gt;1999,S237&gt;0),"ERRO","OK"))</f>
        <v>NA</v>
      </c>
      <c r="U237" s="6" t="n">
        <f aca="false">(10-(LEN(V237)))+1</f>
        <v>7</v>
      </c>
      <c r="V237" s="6" t="n">
        <v>1380</v>
      </c>
      <c r="W237" s="6" t="str">
        <f aca="false">IF($J237="NA","NA",IF(AND($J237&gt;1989,V237&gt;0),"ERRO","OK"))</f>
        <v>NA</v>
      </c>
      <c r="X237" s="6" t="n">
        <f aca="false">(10-(LEN(Y237)))+1</f>
        <v>8</v>
      </c>
      <c r="Y237" s="6" t="n">
        <v>214</v>
      </c>
      <c r="Z237" s="6" t="str">
        <f aca="false">IF($J237="NA","NA",IF(AND($J237&gt;1979,Y237&gt;0),"ERRO","OK"))</f>
        <v>NA</v>
      </c>
      <c r="AA237" s="6" t="n">
        <f aca="false">(10-(LEN(AB237)))+1</f>
        <v>8</v>
      </c>
      <c r="AB237" s="6" t="n">
        <v>234</v>
      </c>
      <c r="AC237" s="6" t="str">
        <f aca="false">IF($J237="NA","NA",IF(AND($J237&gt;1969,AB237&gt;0),"ERRO","OK"))</f>
        <v>NA</v>
      </c>
      <c r="AD237" s="6" t="n">
        <f aca="false">(10-(LEN(AE237)))+1</f>
        <v>10</v>
      </c>
      <c r="AE237" s="6" t="n">
        <v>0</v>
      </c>
      <c r="AF237" s="6" t="str">
        <f aca="false">IF($J237="NA","NA",IF(AND($J237&gt;1959,AE237&gt;0),"ERRO","OK"))</f>
        <v>NA</v>
      </c>
      <c r="AG237" s="6" t="n">
        <f aca="false">(10-(LEN(AH237)))+1</f>
        <v>10</v>
      </c>
      <c r="AH237" s="6" t="n">
        <v>0</v>
      </c>
      <c r="AI237" s="6" t="str">
        <f aca="false">IF($J237="NA","NA",IF(AND($J237&gt;1949,AH237&gt;0),"ERRO","OK"))</f>
        <v>NA</v>
      </c>
      <c r="AJ237" s="6" t="n">
        <f aca="false">(10-(LEN(AK237)))+1</f>
        <v>8</v>
      </c>
      <c r="AK237" s="6" t="n">
        <v>139</v>
      </c>
      <c r="AL237" s="6" t="str">
        <f aca="false">IF($J237="NA","NA",IF(AND($J237&gt;1939,AK237&gt;0),"ERRO","OK"))</f>
        <v>NA</v>
      </c>
      <c r="AM237" s="6" t="n">
        <f aca="false">(10-(LEN(AN237)))+1</f>
        <v>10</v>
      </c>
      <c r="AN237" s="6" t="n">
        <v>0</v>
      </c>
      <c r="AO237" s="6" t="str">
        <f aca="false">IF($J237="NA","NA",IF(AND($J237&gt;1929,AN237&gt;0),"ERRO","OK"))</f>
        <v>NA</v>
      </c>
      <c r="AP237" s="6" t="n">
        <f aca="false">(10-(LEN(AQ237)))+1</f>
        <v>10</v>
      </c>
      <c r="AQ237" s="6" t="n">
        <v>0</v>
      </c>
      <c r="AR237" s="6" t="str">
        <f aca="false">IF($J237="NA","NA",IF(AND($J237&gt;1919,AQ237&gt;0),"ERRO","OK"))</f>
        <v>NA</v>
      </c>
      <c r="AS237" s="6" t="n">
        <f aca="false">(10-(LEN(AT237)))+1</f>
        <v>10</v>
      </c>
      <c r="AT237" s="6" t="n">
        <v>0</v>
      </c>
      <c r="AU237" s="6" t="str">
        <f aca="false">IF($J237="NA","NA",IF(AND($J237&gt;1909,AT237&gt;0),"ERRO","OK"))</f>
        <v>NA</v>
      </c>
      <c r="AV237" s="6" t="n">
        <f aca="false">(10-(LEN(AW237)))+1</f>
        <v>10</v>
      </c>
      <c r="AW237" s="6" t="n">
        <v>0</v>
      </c>
      <c r="AX237" s="6" t="str">
        <f aca="false">IF($J237="NA","NA",IF(AND($J237&gt;1899,AW237&gt;0),"ERRO","OK"))</f>
        <v>NA</v>
      </c>
    </row>
    <row r="238" customFormat="false" ht="15" hidden="false" customHeight="false" outlineLevel="0" collapsed="false">
      <c r="A238" s="7" t="n">
        <v>236</v>
      </c>
      <c r="B238" s="0" t="s">
        <v>255</v>
      </c>
      <c r="C238" s="8" t="n">
        <v>45317</v>
      </c>
      <c r="D238" s="6" t="n">
        <v>0</v>
      </c>
      <c r="E238" s="0" t="s">
        <v>16</v>
      </c>
      <c r="F238" s="0" t="s">
        <v>17</v>
      </c>
      <c r="G238" s="9" t="str">
        <f aca="false">IF(OR(N238="ERRO",Q238="ERRO",T238="ERRO",W238="ERRO",Z238="ERRO",AC238="ERRO",AF238="ERRO",AI238="ERRO",AL238="ERRO",AO238="ERRO",AR238="ERRO",AU238="ERRO",AX238="ERRO"),"ERRO","OK")</f>
        <v>OK</v>
      </c>
      <c r="H238" s="9" t="n">
        <f aca="false">COUNTIF(L238:AX238,"ERRO")</f>
        <v>0</v>
      </c>
      <c r="I238" s="9" t="s">
        <v>18</v>
      </c>
      <c r="J238" s="10" t="n">
        <v>1905</v>
      </c>
      <c r="K238" s="10" t="n">
        <v>1979</v>
      </c>
      <c r="L238" s="6" t="n">
        <f aca="false">(10-(LEN(M238)))+1</f>
        <v>10</v>
      </c>
      <c r="M238" s="6" t="n">
        <v>0</v>
      </c>
      <c r="N238" s="6" t="str">
        <f aca="false">IF($J238="NA","NA",IF(AND($J238&gt;2019,M238&gt;0),"ERRO","OK"))</f>
        <v>OK</v>
      </c>
      <c r="O238" s="6" t="n">
        <f aca="false">(10-(LEN(P238)))+1</f>
        <v>8</v>
      </c>
      <c r="P238" s="6" t="n">
        <v>652</v>
      </c>
      <c r="Q238" s="6" t="str">
        <f aca="false">IF($J238="NA","NA",IF(AND($J238&gt;2009,P238&gt;0),"ERRO","OK"))</f>
        <v>OK</v>
      </c>
      <c r="R238" s="6" t="n">
        <f aca="false">(10-(LEN(S238)))+1</f>
        <v>8</v>
      </c>
      <c r="S238" s="6" t="n">
        <v>252</v>
      </c>
      <c r="T238" s="6" t="str">
        <f aca="false">IF($J238="NA","NA",IF(AND($J238&gt;1999,S238&gt;0),"ERRO","OK"))</f>
        <v>OK</v>
      </c>
      <c r="U238" s="6" t="n">
        <f aca="false">(10-(LEN(V238)))+1</f>
        <v>8</v>
      </c>
      <c r="V238" s="6" t="n">
        <v>184</v>
      </c>
      <c r="W238" s="6" t="str">
        <f aca="false">IF($J238="NA","NA",IF(AND($J238&gt;1989,V238&gt;0),"ERRO","OK"))</f>
        <v>OK</v>
      </c>
      <c r="X238" s="6" t="n">
        <f aca="false">(10-(LEN(Y238)))+1</f>
        <v>8</v>
      </c>
      <c r="Y238" s="6" t="n">
        <v>749</v>
      </c>
      <c r="Z238" s="6" t="str">
        <f aca="false">IF($J238="NA","NA",IF(AND($J238&gt;1979,Y238&gt;0),"ERRO","OK"))</f>
        <v>OK</v>
      </c>
      <c r="AA238" s="6" t="n">
        <f aca="false">(10-(LEN(AB238)))+1</f>
        <v>8</v>
      </c>
      <c r="AB238" s="6" t="n">
        <v>938</v>
      </c>
      <c r="AC238" s="6" t="str">
        <f aca="false">IF($J238="NA","NA",IF(AND($J238&gt;1969,AB238&gt;0),"ERRO","OK"))</f>
        <v>OK</v>
      </c>
      <c r="AD238" s="6" t="n">
        <f aca="false">(10-(LEN(AE238)))+1</f>
        <v>7</v>
      </c>
      <c r="AE238" s="6" t="n">
        <v>6369</v>
      </c>
      <c r="AF238" s="6" t="str">
        <f aca="false">IF($J238="NA","NA",IF(AND($J238&gt;1959,AE238&gt;0),"ERRO","OK"))</f>
        <v>OK</v>
      </c>
      <c r="AG238" s="6" t="n">
        <f aca="false">(10-(LEN(AH238)))+1</f>
        <v>7</v>
      </c>
      <c r="AH238" s="6" t="n">
        <v>8811</v>
      </c>
      <c r="AI238" s="6" t="str">
        <f aca="false">IF($J238="NA","NA",IF(AND($J238&gt;1949,AH238&gt;0),"ERRO","OK"))</f>
        <v>OK</v>
      </c>
      <c r="AJ238" s="6" t="n">
        <f aca="false">(10-(LEN(AK238)))+1</f>
        <v>7</v>
      </c>
      <c r="AK238" s="6" t="n">
        <v>7102</v>
      </c>
      <c r="AL238" s="6" t="str">
        <f aca="false">IF($J238="NA","NA",IF(AND($J238&gt;1939,AK238&gt;0),"ERRO","OK"))</f>
        <v>OK</v>
      </c>
      <c r="AM238" s="6" t="n">
        <f aca="false">(10-(LEN(AN238)))+1</f>
        <v>8</v>
      </c>
      <c r="AN238" s="6" t="n">
        <v>152</v>
      </c>
      <c r="AO238" s="6" t="str">
        <f aca="false">IF($J238="NA","NA",IF(AND($J238&gt;1929,AN238&gt;0),"ERRO","OK"))</f>
        <v>OK</v>
      </c>
      <c r="AP238" s="6" t="n">
        <f aca="false">(10-(LEN(AQ238)))+1</f>
        <v>10</v>
      </c>
      <c r="AQ238" s="6" t="n">
        <v>0</v>
      </c>
      <c r="AR238" s="6" t="str">
        <f aca="false">IF($J238="NA","NA",IF(AND($J238&gt;1919,AQ238&gt;0),"ERRO","OK"))</f>
        <v>OK</v>
      </c>
      <c r="AS238" s="6" t="n">
        <f aca="false">(10-(LEN(AT238)))+1</f>
        <v>10</v>
      </c>
      <c r="AT238" s="6" t="n">
        <v>0</v>
      </c>
      <c r="AU238" s="6" t="str">
        <f aca="false">IF($J238="NA","NA",IF(AND($J238&gt;1909,AT238&gt;0),"ERRO","OK"))</f>
        <v>OK</v>
      </c>
      <c r="AV238" s="6" t="n">
        <f aca="false">(10-(LEN(AW238)))+1</f>
        <v>10</v>
      </c>
      <c r="AW238" s="6" t="n">
        <v>0</v>
      </c>
      <c r="AX238" s="6" t="str">
        <f aca="false">IF($J238="NA","NA",IF(AND($J238&gt;1899,AW238&gt;0),"ERRO","OK"))</f>
        <v>OK</v>
      </c>
    </row>
    <row r="239" customFormat="false" ht="15" hidden="false" customHeight="false" outlineLevel="0" collapsed="false">
      <c r="A239" s="7" t="n">
        <v>237</v>
      </c>
      <c r="B239" s="0" t="s">
        <v>256</v>
      </c>
      <c r="C239" s="8" t="n">
        <v>45317</v>
      </c>
      <c r="D239" s="6" t="n">
        <v>0</v>
      </c>
      <c r="E239" s="0" t="s">
        <v>16</v>
      </c>
      <c r="F239" s="0" t="s">
        <v>17</v>
      </c>
      <c r="G239" s="9" t="str">
        <f aca="false">IF(OR(N239="ERRO",Q239="ERRO",T239="ERRO",W239="ERRO",Z239="ERRO",AC239="ERRO",AF239="ERRO",AI239="ERRO",AL239="ERRO",AO239="ERRO",AR239="ERRO",AU239="ERRO",AX239="ERRO"),"ERRO","OK")</f>
        <v>OK</v>
      </c>
      <c r="H239" s="9" t="n">
        <f aca="false">COUNTIF(L239:AX239,"ERRO")</f>
        <v>0</v>
      </c>
      <c r="I239" s="9" t="s">
        <v>18</v>
      </c>
      <c r="J239" s="10" t="n">
        <v>1920</v>
      </c>
      <c r="K239" s="10" t="n">
        <v>1999</v>
      </c>
      <c r="L239" s="6" t="n">
        <f aca="false">(10-(LEN(M239)))+1</f>
        <v>9</v>
      </c>
      <c r="M239" s="6" t="n">
        <v>42</v>
      </c>
      <c r="N239" s="6" t="str">
        <f aca="false">IF($J239="NA","NA",IF(AND($J239&gt;2019,M239&gt;0),"ERRO","OK"))</f>
        <v>OK</v>
      </c>
      <c r="O239" s="6" t="n">
        <f aca="false">(10-(LEN(P239)))+1</f>
        <v>10</v>
      </c>
      <c r="P239" s="6" t="n">
        <v>0</v>
      </c>
      <c r="Q239" s="6" t="str">
        <f aca="false">IF($J239="NA","NA",IF(AND($J239&gt;2009,P239&gt;0),"ERRO","OK"))</f>
        <v>OK</v>
      </c>
      <c r="R239" s="6" t="n">
        <f aca="false">(10-(LEN(S239)))+1</f>
        <v>8</v>
      </c>
      <c r="S239" s="6" t="n">
        <v>126</v>
      </c>
      <c r="T239" s="6" t="str">
        <f aca="false">IF($J239="NA","NA",IF(AND($J239&gt;1999,S239&gt;0),"ERRO","OK"))</f>
        <v>OK</v>
      </c>
      <c r="U239" s="6" t="n">
        <f aca="false">(10-(LEN(V239)))+1</f>
        <v>6</v>
      </c>
      <c r="V239" s="6" t="n">
        <v>13798</v>
      </c>
      <c r="W239" s="6" t="str">
        <f aca="false">IF($J239="NA","NA",IF(AND($J239&gt;1989,V239&gt;0),"ERRO","OK"))</f>
        <v>OK</v>
      </c>
      <c r="X239" s="6" t="n">
        <f aca="false">(10-(LEN(Y239)))+1</f>
        <v>9</v>
      </c>
      <c r="Y239" s="6" t="n">
        <v>54</v>
      </c>
      <c r="Z239" s="6" t="str">
        <f aca="false">IF($J239="NA","NA",IF(AND($J239&gt;1979,Y239&gt;0),"ERRO","OK"))</f>
        <v>OK</v>
      </c>
      <c r="AA239" s="6" t="n">
        <f aca="false">(10-(LEN(AB239)))+1</f>
        <v>10</v>
      </c>
      <c r="AB239" s="6" t="n">
        <v>0</v>
      </c>
      <c r="AC239" s="6" t="str">
        <f aca="false">IF($J239="NA","NA",IF(AND($J239&gt;1969,AB239&gt;0),"ERRO","OK"))</f>
        <v>OK</v>
      </c>
      <c r="AD239" s="6" t="n">
        <f aca="false">(10-(LEN(AE239)))+1</f>
        <v>8</v>
      </c>
      <c r="AE239" s="6" t="n">
        <v>179</v>
      </c>
      <c r="AF239" s="6" t="str">
        <f aca="false">IF($J239="NA","NA",IF(AND($J239&gt;1959,AE239&gt;0),"ERRO","OK"))</f>
        <v>OK</v>
      </c>
      <c r="AG239" s="6" t="n">
        <f aca="false">(10-(LEN(AH239)))+1</f>
        <v>10</v>
      </c>
      <c r="AH239" s="6" t="n">
        <v>0</v>
      </c>
      <c r="AI239" s="6" t="str">
        <f aca="false">IF($J239="NA","NA",IF(AND($J239&gt;1949,AH239&gt;0),"ERRO","OK"))</f>
        <v>OK</v>
      </c>
      <c r="AJ239" s="6" t="n">
        <f aca="false">(10-(LEN(AK239)))+1</f>
        <v>10</v>
      </c>
      <c r="AK239" s="6" t="n">
        <v>0</v>
      </c>
      <c r="AL239" s="6" t="str">
        <f aca="false">IF($J239="NA","NA",IF(AND($J239&gt;1939,AK239&gt;0),"ERRO","OK"))</f>
        <v>OK</v>
      </c>
      <c r="AM239" s="6" t="n">
        <f aca="false">(10-(LEN(AN239)))+1</f>
        <v>10</v>
      </c>
      <c r="AN239" s="6" t="n">
        <v>0</v>
      </c>
      <c r="AO239" s="6" t="str">
        <f aca="false">IF($J239="NA","NA",IF(AND($J239&gt;1929,AN239&gt;0),"ERRO","OK"))</f>
        <v>OK</v>
      </c>
      <c r="AP239" s="6" t="n">
        <f aca="false">(10-(LEN(AQ239)))+1</f>
        <v>10</v>
      </c>
      <c r="AQ239" s="6" t="n">
        <v>0</v>
      </c>
      <c r="AR239" s="6" t="str">
        <f aca="false">IF($J239="NA","NA",IF(AND($J239&gt;1919,AQ239&gt;0),"ERRO","OK"))</f>
        <v>OK</v>
      </c>
      <c r="AS239" s="6" t="n">
        <f aca="false">(10-(LEN(AT239)))+1</f>
        <v>10</v>
      </c>
      <c r="AT239" s="6" t="n">
        <v>0</v>
      </c>
      <c r="AU239" s="6" t="str">
        <f aca="false">IF($J239="NA","NA",IF(AND($J239&gt;1909,AT239&gt;0),"ERRO","OK"))</f>
        <v>OK</v>
      </c>
      <c r="AV239" s="6" t="n">
        <f aca="false">(10-(LEN(AW239)))+1</f>
        <v>10</v>
      </c>
      <c r="AW239" s="6" t="n">
        <v>0</v>
      </c>
      <c r="AX239" s="6" t="str">
        <f aca="false">IF($J239="NA","NA",IF(AND($J239&gt;1899,AW239&gt;0),"ERRO","OK"))</f>
        <v>OK</v>
      </c>
    </row>
    <row r="240" customFormat="false" ht="15" hidden="false" customHeight="false" outlineLevel="0" collapsed="false">
      <c r="A240" s="7" t="n">
        <v>238</v>
      </c>
      <c r="B240" s="0" t="s">
        <v>257</v>
      </c>
      <c r="C240" s="8" t="n">
        <v>45317</v>
      </c>
      <c r="D240" s="6" t="n">
        <v>0</v>
      </c>
      <c r="E240" s="0" t="s">
        <v>16</v>
      </c>
      <c r="F240" s="0" t="s">
        <v>17</v>
      </c>
      <c r="G240" s="9" t="str">
        <f aca="false">IF(OR(N240="ERRO",Q240="ERRO",T240="ERRO",W240="ERRO",Z240="ERRO",AC240="ERRO",AF240="ERRO",AI240="ERRO",AL240="ERRO",AO240="ERRO",AR240="ERRO",AU240="ERRO",AX240="ERRO"),"ERRO","OK")</f>
        <v>OK</v>
      </c>
      <c r="H240" s="9" t="n">
        <f aca="false">COUNTIF(L240:AX240,"ERRO")</f>
        <v>0</v>
      </c>
      <c r="I240" s="9" t="s">
        <v>18</v>
      </c>
      <c r="J240" s="10" t="n">
        <v>1922</v>
      </c>
      <c r="K240" s="10" t="n">
        <v>1991</v>
      </c>
      <c r="L240" s="6" t="n">
        <f aca="false">(10-(LEN(M240)))+1</f>
        <v>8</v>
      </c>
      <c r="M240" s="6" t="n">
        <v>833</v>
      </c>
      <c r="N240" s="6" t="str">
        <f aca="false">IF($J240="NA","NA",IF(AND($J240&gt;2019,M240&gt;0),"ERRO","OK"))</f>
        <v>OK</v>
      </c>
      <c r="O240" s="6" t="n">
        <f aca="false">(10-(LEN(P240)))+1</f>
        <v>8</v>
      </c>
      <c r="P240" s="6" t="n">
        <v>377</v>
      </c>
      <c r="Q240" s="6" t="str">
        <f aca="false">IF($J240="NA","NA",IF(AND($J240&gt;2009,P240&gt;0),"ERRO","OK"))</f>
        <v>OK</v>
      </c>
      <c r="R240" s="6" t="n">
        <f aca="false">(10-(LEN(S240)))+1</f>
        <v>10</v>
      </c>
      <c r="S240" s="6" t="n">
        <v>0</v>
      </c>
      <c r="T240" s="6" t="str">
        <f aca="false">IF($J240="NA","NA",IF(AND($J240&gt;1999,S240&gt;0),"ERRO","OK"))</f>
        <v>OK</v>
      </c>
      <c r="U240" s="6" t="n">
        <f aca="false">(10-(LEN(V240)))+1</f>
        <v>10</v>
      </c>
      <c r="V240" s="6" t="n">
        <v>0</v>
      </c>
      <c r="W240" s="6" t="str">
        <f aca="false">IF($J240="NA","NA",IF(AND($J240&gt;1989,V240&gt;0),"ERRO","OK"))</f>
        <v>OK</v>
      </c>
      <c r="X240" s="6" t="n">
        <f aca="false">(10-(LEN(Y240)))+1</f>
        <v>10</v>
      </c>
      <c r="Y240" s="6" t="n">
        <v>0</v>
      </c>
      <c r="Z240" s="6" t="str">
        <f aca="false">IF($J240="NA","NA",IF(AND($J240&gt;1979,Y240&gt;0),"ERRO","OK"))</f>
        <v>OK</v>
      </c>
      <c r="AA240" s="6" t="n">
        <f aca="false">(10-(LEN(AB240)))+1</f>
        <v>8</v>
      </c>
      <c r="AB240" s="6" t="n">
        <v>469</v>
      </c>
      <c r="AC240" s="6" t="str">
        <f aca="false">IF($J240="NA","NA",IF(AND($J240&gt;1969,AB240&gt;0),"ERRO","OK"))</f>
        <v>OK</v>
      </c>
      <c r="AD240" s="6" t="n">
        <f aca="false">(10-(LEN(AE240)))+1</f>
        <v>10</v>
      </c>
      <c r="AE240" s="6" t="n">
        <v>0</v>
      </c>
      <c r="AF240" s="6" t="str">
        <f aca="false">IF($J240="NA","NA",IF(AND($J240&gt;1959,AE240&gt;0),"ERRO","OK"))</f>
        <v>OK</v>
      </c>
      <c r="AG240" s="6" t="n">
        <f aca="false">(10-(LEN(AH240)))+1</f>
        <v>10</v>
      </c>
      <c r="AH240" s="6" t="n">
        <v>0</v>
      </c>
      <c r="AI240" s="6" t="str">
        <f aca="false">IF($J240="NA","NA",IF(AND($J240&gt;1949,AH240&gt;0),"ERRO","OK"))</f>
        <v>OK</v>
      </c>
      <c r="AJ240" s="6" t="n">
        <f aca="false">(10-(LEN(AK240)))+1</f>
        <v>10</v>
      </c>
      <c r="AK240" s="6" t="n">
        <v>0</v>
      </c>
      <c r="AL240" s="6" t="str">
        <f aca="false">IF($J240="NA","NA",IF(AND($J240&gt;1939,AK240&gt;0),"ERRO","OK"))</f>
        <v>OK</v>
      </c>
      <c r="AM240" s="6" t="n">
        <f aca="false">(10-(LEN(AN240)))+1</f>
        <v>10</v>
      </c>
      <c r="AN240" s="6" t="n">
        <v>0</v>
      </c>
      <c r="AO240" s="6" t="str">
        <f aca="false">IF($J240="NA","NA",IF(AND($J240&gt;1929,AN240&gt;0),"ERRO","OK"))</f>
        <v>OK</v>
      </c>
      <c r="AP240" s="6" t="n">
        <f aca="false">(10-(LEN(AQ240)))+1</f>
        <v>10</v>
      </c>
      <c r="AQ240" s="6" t="n">
        <v>0</v>
      </c>
      <c r="AR240" s="6" t="str">
        <f aca="false">IF($J240="NA","NA",IF(AND($J240&gt;1919,AQ240&gt;0),"ERRO","OK"))</f>
        <v>OK</v>
      </c>
      <c r="AS240" s="6" t="n">
        <f aca="false">(10-(LEN(AT240)))+1</f>
        <v>10</v>
      </c>
      <c r="AT240" s="6" t="n">
        <v>0</v>
      </c>
      <c r="AU240" s="6" t="str">
        <f aca="false">IF($J240="NA","NA",IF(AND($J240&gt;1909,AT240&gt;0),"ERRO","OK"))</f>
        <v>OK</v>
      </c>
      <c r="AV240" s="6" t="n">
        <f aca="false">(10-(LEN(AW240)))+1</f>
        <v>10</v>
      </c>
      <c r="AW240" s="6" t="n">
        <v>0</v>
      </c>
      <c r="AX240" s="6" t="str">
        <f aca="false">IF($J240="NA","NA",IF(AND($J240&gt;1899,AW240&gt;0),"ERRO","OK"))</f>
        <v>OK</v>
      </c>
    </row>
    <row r="241" customFormat="false" ht="15" hidden="false" customHeight="false" outlineLevel="0" collapsed="false">
      <c r="A241" s="7" t="n">
        <v>239</v>
      </c>
      <c r="B241" s="0" t="s">
        <v>258</v>
      </c>
      <c r="C241" s="8" t="n">
        <v>45317</v>
      </c>
      <c r="D241" s="6" t="n">
        <v>0</v>
      </c>
      <c r="E241" s="0" t="s">
        <v>16</v>
      </c>
      <c r="F241" s="0" t="s">
        <v>17</v>
      </c>
      <c r="G241" s="9" t="str">
        <f aca="false">IF(OR(N241="ERRO",Q241="ERRO",T241="ERRO",W241="ERRO",Z241="ERRO",AC241="ERRO",AF241="ERRO",AI241="ERRO",AL241="ERRO",AO241="ERRO",AR241="ERRO",AU241="ERRO",AX241="ERRO"),"ERRO","OK")</f>
        <v>OK</v>
      </c>
      <c r="H241" s="9" t="n">
        <f aca="false">COUNTIF(L241:AX241,"ERRO")</f>
        <v>0</v>
      </c>
      <c r="I241" s="9" t="s">
        <v>18</v>
      </c>
      <c r="J241" s="10" t="n">
        <v>1907</v>
      </c>
      <c r="K241" s="10" t="n">
        <v>1973</v>
      </c>
      <c r="L241" s="6" t="n">
        <f aca="false">(10-(LEN(M241)))+1</f>
        <v>7</v>
      </c>
      <c r="M241" s="6" t="n">
        <v>4498</v>
      </c>
      <c r="N241" s="6" t="str">
        <f aca="false">IF($J241="NA","NA",IF(AND($J241&gt;2019,M241&gt;0),"ERRO","OK"))</f>
        <v>OK</v>
      </c>
      <c r="O241" s="6" t="n">
        <f aca="false">(10-(LEN(P241)))+1</f>
        <v>7</v>
      </c>
      <c r="P241" s="6" t="n">
        <v>7821</v>
      </c>
      <c r="Q241" s="6" t="str">
        <f aca="false">IF($J241="NA","NA",IF(AND($J241&gt;2009,P241&gt;0),"ERRO","OK"))</f>
        <v>OK</v>
      </c>
      <c r="R241" s="6" t="n">
        <f aca="false">(10-(LEN(S241)))+1</f>
        <v>7</v>
      </c>
      <c r="S241" s="6" t="n">
        <v>8403</v>
      </c>
      <c r="T241" s="6" t="str">
        <f aca="false">IF($J241="NA","NA",IF(AND($J241&gt;1999,S241&gt;0),"ERRO","OK"))</f>
        <v>OK</v>
      </c>
      <c r="U241" s="6" t="n">
        <f aca="false">(10-(LEN(V241)))+1</f>
        <v>6</v>
      </c>
      <c r="V241" s="6" t="n">
        <v>10808</v>
      </c>
      <c r="W241" s="6" t="str">
        <f aca="false">IF($J241="NA","NA",IF(AND($J241&gt;1989,V241&gt;0),"ERRO","OK"))</f>
        <v>OK</v>
      </c>
      <c r="X241" s="6" t="n">
        <f aca="false">(10-(LEN(Y241)))+1</f>
        <v>6</v>
      </c>
      <c r="Y241" s="6" t="n">
        <v>14876</v>
      </c>
      <c r="Z241" s="6" t="str">
        <f aca="false">IF($J241="NA","NA",IF(AND($J241&gt;1979,Y241&gt;0),"ERRO","OK"))</f>
        <v>OK</v>
      </c>
      <c r="AA241" s="6" t="n">
        <f aca="false">(10-(LEN(AB241)))+1</f>
        <v>7</v>
      </c>
      <c r="AB241" s="6" t="n">
        <v>8262</v>
      </c>
      <c r="AC241" s="6" t="str">
        <f aca="false">IF($J241="NA","NA",IF(AND($J241&gt;1969,AB241&gt;0),"ERRO","OK"))</f>
        <v>OK</v>
      </c>
      <c r="AD241" s="6" t="n">
        <f aca="false">(10-(LEN(AE241)))+1</f>
        <v>6</v>
      </c>
      <c r="AE241" s="6" t="n">
        <v>10944</v>
      </c>
      <c r="AF241" s="6" t="str">
        <f aca="false">IF($J241="NA","NA",IF(AND($J241&gt;1959,AE241&gt;0),"ERRO","OK"))</f>
        <v>OK</v>
      </c>
      <c r="AG241" s="6" t="n">
        <f aca="false">(10-(LEN(AH241)))+1</f>
        <v>7</v>
      </c>
      <c r="AH241" s="6" t="n">
        <v>8921</v>
      </c>
      <c r="AI241" s="6" t="str">
        <f aca="false">IF($J241="NA","NA",IF(AND($J241&gt;1949,AH241&gt;0),"ERRO","OK"))</f>
        <v>OK</v>
      </c>
      <c r="AJ241" s="6" t="n">
        <f aca="false">(10-(LEN(AK241)))+1</f>
        <v>8</v>
      </c>
      <c r="AK241" s="6" t="n">
        <v>975</v>
      </c>
      <c r="AL241" s="6" t="str">
        <f aca="false">IF($J241="NA","NA",IF(AND($J241&gt;1939,AK241&gt;0),"ERRO","OK"))</f>
        <v>OK</v>
      </c>
      <c r="AM241" s="6" t="n">
        <f aca="false">(10-(LEN(AN241)))+1</f>
        <v>10</v>
      </c>
      <c r="AN241" s="6" t="n">
        <v>0</v>
      </c>
      <c r="AO241" s="6" t="str">
        <f aca="false">IF($J241="NA","NA",IF(AND($J241&gt;1929,AN241&gt;0),"ERRO","OK"))</f>
        <v>OK</v>
      </c>
      <c r="AP241" s="6" t="n">
        <f aca="false">(10-(LEN(AQ241)))+1</f>
        <v>8</v>
      </c>
      <c r="AQ241" s="6" t="n">
        <v>100</v>
      </c>
      <c r="AR241" s="6" t="str">
        <f aca="false">IF($J241="NA","NA",IF(AND($J241&gt;1919,AQ241&gt;0),"ERRO","OK"))</f>
        <v>OK</v>
      </c>
      <c r="AS241" s="6" t="n">
        <f aca="false">(10-(LEN(AT241)))+1</f>
        <v>10</v>
      </c>
      <c r="AT241" s="6" t="n">
        <v>0</v>
      </c>
      <c r="AU241" s="6" t="str">
        <f aca="false">IF($J241="NA","NA",IF(AND($J241&gt;1909,AT241&gt;0),"ERRO","OK"))</f>
        <v>OK</v>
      </c>
      <c r="AV241" s="6" t="n">
        <f aca="false">(10-(LEN(AW241)))+1</f>
        <v>10</v>
      </c>
      <c r="AW241" s="6" t="n">
        <v>0</v>
      </c>
      <c r="AX241" s="6" t="str">
        <f aca="false">IF($J241="NA","NA",IF(AND($J241&gt;1899,AW241&gt;0),"ERRO","OK"))</f>
        <v>OK</v>
      </c>
    </row>
    <row r="242" customFormat="false" ht="15" hidden="false" customHeight="false" outlineLevel="0" collapsed="false">
      <c r="A242" s="7" t="n">
        <v>240</v>
      </c>
      <c r="B242" s="0" t="s">
        <v>259</v>
      </c>
      <c r="C242" s="8" t="n">
        <v>45317</v>
      </c>
      <c r="D242" s="6" t="n">
        <v>0</v>
      </c>
      <c r="E242" s="0" t="s">
        <v>16</v>
      </c>
      <c r="F242" s="0" t="s">
        <v>17</v>
      </c>
      <c r="G242" s="9" t="str">
        <f aca="false">IF(OR(N242="ERRO",Q242="ERRO",T242="ERRO",W242="ERRO",Z242="ERRO",AC242="ERRO",AF242="ERRO",AI242="ERRO",AL242="ERRO",AO242="ERRO",AR242="ERRO",AU242="ERRO",AX242="ERRO"),"ERRO","OK")</f>
        <v>ERRO</v>
      </c>
      <c r="H242" s="9" t="n">
        <f aca="false">COUNTIF(L242:AX242,"ERRO")</f>
        <v>1</v>
      </c>
      <c r="I242" s="9" t="s">
        <v>18</v>
      </c>
      <c r="J242" s="10" t="n">
        <v>1931</v>
      </c>
      <c r="K242" s="10" t="n">
        <v>2021</v>
      </c>
      <c r="L242" s="6" t="n">
        <f aca="false">(10-(LEN(M242)))+1</f>
        <v>9</v>
      </c>
      <c r="M242" s="6" t="n">
        <v>42</v>
      </c>
      <c r="N242" s="6" t="str">
        <f aca="false">IF($J242="NA","NA",IF(AND($J242&gt;2019,M242&gt;0),"ERRO","OK"))</f>
        <v>OK</v>
      </c>
      <c r="O242" s="6" t="n">
        <f aca="false">(10-(LEN(P242)))+1</f>
        <v>8</v>
      </c>
      <c r="P242" s="6" t="n">
        <v>926</v>
      </c>
      <c r="Q242" s="6" t="str">
        <f aca="false">IF($J242="NA","NA",IF(AND($J242&gt;2009,P242&gt;0),"ERRO","OK"))</f>
        <v>OK</v>
      </c>
      <c r="R242" s="6" t="n">
        <f aca="false">(10-(LEN(S242)))+1</f>
        <v>8</v>
      </c>
      <c r="S242" s="6" t="n">
        <v>966</v>
      </c>
      <c r="T242" s="6" t="str">
        <f aca="false">IF($J242="NA","NA",IF(AND($J242&gt;1999,S242&gt;0),"ERRO","OK"))</f>
        <v>OK</v>
      </c>
      <c r="U242" s="6" t="n">
        <f aca="false">(10-(LEN(V242)))+1</f>
        <v>8</v>
      </c>
      <c r="V242" s="6" t="n">
        <v>138</v>
      </c>
      <c r="W242" s="6" t="str">
        <f aca="false">IF($J242="NA","NA",IF(AND($J242&gt;1989,V242&gt;0),"ERRO","OK"))</f>
        <v>OK</v>
      </c>
      <c r="X242" s="6" t="n">
        <f aca="false">(10-(LEN(Y242)))+1</f>
        <v>9</v>
      </c>
      <c r="Y242" s="6" t="n">
        <v>54</v>
      </c>
      <c r="Z242" s="6" t="str">
        <f aca="false">IF($J242="NA","NA",IF(AND($J242&gt;1979,Y242&gt;0),"ERRO","OK"))</f>
        <v>OK</v>
      </c>
      <c r="AA242" s="6" t="n">
        <f aca="false">(10-(LEN(AB242)))+1</f>
        <v>10</v>
      </c>
      <c r="AB242" s="6" t="n">
        <v>0</v>
      </c>
      <c r="AC242" s="6" t="str">
        <f aca="false">IF($J242="NA","NA",IF(AND($J242&gt;1969,AB242&gt;0),"ERRO","OK"))</f>
        <v>OK</v>
      </c>
      <c r="AD242" s="6" t="n">
        <f aca="false">(10-(LEN(AE242)))+1</f>
        <v>10</v>
      </c>
      <c r="AE242" s="6" t="n">
        <v>0</v>
      </c>
      <c r="AF242" s="6" t="str">
        <f aca="false">IF($J242="NA","NA",IF(AND($J242&gt;1959,AE242&gt;0),"ERRO","OK"))</f>
        <v>OK</v>
      </c>
      <c r="AG242" s="6" t="n">
        <f aca="false">(10-(LEN(AH242)))+1</f>
        <v>10</v>
      </c>
      <c r="AH242" s="6" t="n">
        <v>0</v>
      </c>
      <c r="AI242" s="6" t="str">
        <f aca="false">IF($J242="NA","NA",IF(AND($J242&gt;1949,AH242&gt;0),"ERRO","OK"))</f>
        <v>OK</v>
      </c>
      <c r="AJ242" s="6" t="n">
        <f aca="false">(10-(LEN(AK242)))+1</f>
        <v>10</v>
      </c>
      <c r="AK242" s="6" t="n">
        <v>0</v>
      </c>
      <c r="AL242" s="6" t="str">
        <f aca="false">IF($J242="NA","NA",IF(AND($J242&gt;1939,AK242&gt;0),"ERRO","OK"))</f>
        <v>OK</v>
      </c>
      <c r="AM242" s="6" t="n">
        <f aca="false">(10-(LEN(AN242)))+1</f>
        <v>10</v>
      </c>
      <c r="AN242" s="6" t="n">
        <v>0</v>
      </c>
      <c r="AO242" s="6" t="str">
        <f aca="false">IF($J242="NA","NA",IF(AND($J242&gt;1929,AN242&gt;0),"ERRO","OK"))</f>
        <v>OK</v>
      </c>
      <c r="AP242" s="6" t="n">
        <f aca="false">(10-(LEN(AQ242)))+1</f>
        <v>8</v>
      </c>
      <c r="AQ242" s="6" t="n">
        <v>100</v>
      </c>
      <c r="AR242" s="6" t="str">
        <f aca="false">IF($J242="NA","NA",IF(AND($J242&gt;1919,AQ242&gt;0),"ERRO","OK"))</f>
        <v>ERRO</v>
      </c>
      <c r="AS242" s="6" t="n">
        <f aca="false">(10-(LEN(AT242)))+1</f>
        <v>10</v>
      </c>
      <c r="AT242" s="6" t="n">
        <v>0</v>
      </c>
      <c r="AU242" s="6" t="str">
        <f aca="false">IF($J242="NA","NA",IF(AND($J242&gt;1909,AT242&gt;0),"ERRO","OK"))</f>
        <v>OK</v>
      </c>
      <c r="AV242" s="6" t="n">
        <f aca="false">(10-(LEN(AW242)))+1</f>
        <v>10</v>
      </c>
      <c r="AW242" s="6" t="n">
        <v>0</v>
      </c>
      <c r="AX242" s="6" t="str">
        <f aca="false">IF($J242="NA","NA",IF(AND($J242&gt;1899,AW242&gt;0),"ERRO","OK"))</f>
        <v>OK</v>
      </c>
    </row>
    <row r="243" customFormat="false" ht="15" hidden="false" customHeight="false" outlineLevel="0" collapsed="false">
      <c r="A243" s="7" t="n">
        <v>241</v>
      </c>
      <c r="B243" s="0" t="s">
        <v>260</v>
      </c>
      <c r="C243" s="8" t="n">
        <v>45317</v>
      </c>
      <c r="D243" s="6" t="n">
        <v>0</v>
      </c>
      <c r="E243" s="0" t="s">
        <v>16</v>
      </c>
      <c r="F243" s="0" t="s">
        <v>17</v>
      </c>
      <c r="G243" s="9" t="str">
        <f aca="false">IF(OR(N243="ERRO",Q243="ERRO",T243="ERRO",W243="ERRO",Z243="ERRO",AC243="ERRO",AF243="ERRO",AI243="ERRO",AL243="ERRO",AO243="ERRO",AR243="ERRO",AU243="ERRO",AX243="ERRO"),"ERRO","OK")</f>
        <v>ERRO</v>
      </c>
      <c r="H243" s="9" t="n">
        <f aca="false">COUNTIF(L243:AX243,"ERRO")</f>
        <v>1</v>
      </c>
      <c r="I243" s="9" t="s">
        <v>18</v>
      </c>
      <c r="J243" s="10" t="n">
        <v>1924</v>
      </c>
      <c r="K243" s="10" t="n">
        <v>2021</v>
      </c>
      <c r="L243" s="6" t="n">
        <f aca="false">(10-(LEN(M243)))+1</f>
        <v>7</v>
      </c>
      <c r="M243" s="6" t="n">
        <v>4373</v>
      </c>
      <c r="N243" s="6" t="str">
        <f aca="false">IF($J243="NA","NA",IF(AND($J243&gt;2019,M243&gt;0),"ERRO","OK"))</f>
        <v>OK</v>
      </c>
      <c r="O243" s="6" t="n">
        <f aca="false">(10-(LEN(P243)))+1</f>
        <v>7</v>
      </c>
      <c r="P243" s="6" t="n">
        <v>7890</v>
      </c>
      <c r="Q243" s="6" t="str">
        <f aca="false">IF($J243="NA","NA",IF(AND($J243&gt;2009,P243&gt;0),"ERRO","OK"))</f>
        <v>OK</v>
      </c>
      <c r="R243" s="6" t="n">
        <f aca="false">(10-(LEN(S243)))+1</f>
        <v>6</v>
      </c>
      <c r="S243" s="6" t="n">
        <v>10336</v>
      </c>
      <c r="T243" s="6" t="str">
        <f aca="false">IF($J243="NA","NA",IF(AND($J243&gt;1999,S243&gt;0),"ERRO","OK"))</f>
        <v>OK</v>
      </c>
      <c r="U243" s="6" t="n">
        <f aca="false">(10-(LEN(V243)))+1</f>
        <v>7</v>
      </c>
      <c r="V243" s="6" t="n">
        <v>8463</v>
      </c>
      <c r="W243" s="6" t="str">
        <f aca="false">IF($J243="NA","NA",IF(AND($J243&gt;1989,V243&gt;0),"ERRO","OK"))</f>
        <v>OK</v>
      </c>
      <c r="X243" s="6" t="n">
        <f aca="false">(10-(LEN(Y243)))+1</f>
        <v>7</v>
      </c>
      <c r="Y243" s="6" t="n">
        <v>4816</v>
      </c>
      <c r="Z243" s="6" t="str">
        <f aca="false">IF($J243="NA","NA",IF(AND($J243&gt;1979,Y243&gt;0),"ERRO","OK"))</f>
        <v>OK</v>
      </c>
      <c r="AA243" s="6" t="n">
        <f aca="false">(10-(LEN(AB243)))+1</f>
        <v>7</v>
      </c>
      <c r="AB243" s="6" t="n">
        <v>8438</v>
      </c>
      <c r="AC243" s="6" t="str">
        <f aca="false">IF($J243="NA","NA",IF(AND($J243&gt;1969,AB243&gt;0),"ERRO","OK"))</f>
        <v>OK</v>
      </c>
      <c r="AD243" s="6" t="n">
        <f aca="false">(10-(LEN(AE243)))+1</f>
        <v>8</v>
      </c>
      <c r="AE243" s="6" t="n">
        <v>449</v>
      </c>
      <c r="AF243" s="6" t="str">
        <f aca="false">IF($J243="NA","NA",IF(AND($J243&gt;1959,AE243&gt;0),"ERRO","OK"))</f>
        <v>OK</v>
      </c>
      <c r="AG243" s="6" t="n">
        <f aca="false">(10-(LEN(AH243)))+1</f>
        <v>10</v>
      </c>
      <c r="AH243" s="6" t="n">
        <v>0</v>
      </c>
      <c r="AI243" s="6" t="str">
        <f aca="false">IF($J243="NA","NA",IF(AND($J243&gt;1949,AH243&gt;0),"ERRO","OK"))</f>
        <v>OK</v>
      </c>
      <c r="AJ243" s="6" t="n">
        <f aca="false">(10-(LEN(AK243)))+1</f>
        <v>7</v>
      </c>
      <c r="AK243" s="6" t="n">
        <v>1114</v>
      </c>
      <c r="AL243" s="6" t="str">
        <f aca="false">IF($J243="NA","NA",IF(AND($J243&gt;1939,AK243&gt;0),"ERRO","OK"))</f>
        <v>OK</v>
      </c>
      <c r="AM243" s="6" t="n">
        <f aca="false">(10-(LEN(AN243)))+1</f>
        <v>10</v>
      </c>
      <c r="AN243" s="6" t="n">
        <v>0</v>
      </c>
      <c r="AO243" s="6" t="str">
        <f aca="false">IF($J243="NA","NA",IF(AND($J243&gt;1929,AN243&gt;0),"ERRO","OK"))</f>
        <v>OK</v>
      </c>
      <c r="AP243" s="6" t="n">
        <f aca="false">(10-(LEN(AQ243)))+1</f>
        <v>8</v>
      </c>
      <c r="AQ243" s="6" t="n">
        <v>801</v>
      </c>
      <c r="AR243" s="6" t="str">
        <f aca="false">IF($J243="NA","NA",IF(AND($J243&gt;1919,AQ243&gt;0),"ERRO","OK"))</f>
        <v>ERRO</v>
      </c>
      <c r="AS243" s="6" t="n">
        <f aca="false">(10-(LEN(AT243)))+1</f>
        <v>10</v>
      </c>
      <c r="AT243" s="6" t="n">
        <v>0</v>
      </c>
      <c r="AU243" s="6" t="str">
        <f aca="false">IF($J243="NA","NA",IF(AND($J243&gt;1909,AT243&gt;0),"ERRO","OK"))</f>
        <v>OK</v>
      </c>
      <c r="AV243" s="6" t="n">
        <f aca="false">(10-(LEN(AW243)))+1</f>
        <v>10</v>
      </c>
      <c r="AW243" s="6" t="n">
        <v>0</v>
      </c>
      <c r="AX243" s="6" t="str">
        <f aca="false">IF($J243="NA","NA",IF(AND($J243&gt;1899,AW243&gt;0),"ERRO","OK"))</f>
        <v>OK</v>
      </c>
    </row>
    <row r="244" customFormat="false" ht="15" hidden="false" customHeight="false" outlineLevel="0" collapsed="false">
      <c r="A244" s="7" t="n">
        <v>242</v>
      </c>
      <c r="B244" s="0" t="s">
        <v>261</v>
      </c>
      <c r="C244" s="8" t="n">
        <v>45317</v>
      </c>
      <c r="D244" s="6" t="n">
        <v>0</v>
      </c>
      <c r="E244" s="0" t="s">
        <v>16</v>
      </c>
      <c r="F244" s="0" t="s">
        <v>17</v>
      </c>
      <c r="G244" s="9" t="str">
        <f aca="false">IF(OR(N244="ERRO",Q244="ERRO",T244="ERRO",W244="ERRO",Z244="ERRO",AC244="ERRO",AF244="ERRO",AI244="ERRO",AL244="ERRO",AO244="ERRO",AR244="ERRO",AU244="ERRO",AX244="ERRO"),"ERRO","OK")</f>
        <v>OK</v>
      </c>
      <c r="H244" s="9" t="n">
        <f aca="false">COUNTIF(L244:AX244,"ERRO")</f>
        <v>0</v>
      </c>
      <c r="I244" s="9" t="s">
        <v>18</v>
      </c>
      <c r="J244" s="10" t="n">
        <v>1929</v>
      </c>
      <c r="K244" s="10" t="n">
        <v>2015</v>
      </c>
      <c r="L244" s="6" t="n">
        <f aca="false">(10-(LEN(M244)))+1</f>
        <v>9</v>
      </c>
      <c r="M244" s="6" t="n">
        <v>92</v>
      </c>
      <c r="N244" s="6" t="str">
        <f aca="false">IF($J244="NA","NA",IF(AND($J244&gt;2019,M244&gt;0),"ERRO","OK"))</f>
        <v>OK</v>
      </c>
      <c r="O244" s="6" t="n">
        <f aca="false">(10-(LEN(P244)))+1</f>
        <v>8</v>
      </c>
      <c r="P244" s="6" t="n">
        <v>569</v>
      </c>
      <c r="Q244" s="6" t="str">
        <f aca="false">IF($J244="NA","NA",IF(AND($J244&gt;2009,P244&gt;0),"ERRO","OK"))</f>
        <v>OK</v>
      </c>
      <c r="R244" s="6" t="n">
        <f aca="false">(10-(LEN(S244)))+1</f>
        <v>8</v>
      </c>
      <c r="S244" s="6" t="n">
        <v>464</v>
      </c>
      <c r="T244" s="6" t="str">
        <f aca="false">IF($J244="NA","NA",IF(AND($J244&gt;1999,S244&gt;0),"ERRO","OK"))</f>
        <v>OK</v>
      </c>
      <c r="U244" s="6" t="n">
        <f aca="false">(10-(LEN(V244)))+1</f>
        <v>8</v>
      </c>
      <c r="V244" s="6" t="n">
        <v>510</v>
      </c>
      <c r="W244" s="6" t="str">
        <f aca="false">IF($J244="NA","NA",IF(AND($J244&gt;1989,V244&gt;0),"ERRO","OK"))</f>
        <v>OK</v>
      </c>
      <c r="X244" s="6" t="n">
        <f aca="false">(10-(LEN(Y244)))+1</f>
        <v>9</v>
      </c>
      <c r="Y244" s="6" t="n">
        <v>59</v>
      </c>
      <c r="Z244" s="6" t="str">
        <f aca="false">IF($J244="NA","NA",IF(AND($J244&gt;1979,Y244&gt;0),"ERRO","OK"))</f>
        <v>OK</v>
      </c>
      <c r="AA244" s="6" t="n">
        <f aca="false">(10-(LEN(AB244)))+1</f>
        <v>8</v>
      </c>
      <c r="AB244" s="6" t="n">
        <v>194</v>
      </c>
      <c r="AC244" s="6" t="str">
        <f aca="false">IF($J244="NA","NA",IF(AND($J244&gt;1969,AB244&gt;0),"ERRO","OK"))</f>
        <v>OK</v>
      </c>
      <c r="AD244" s="6" t="n">
        <f aca="false">(10-(LEN(AE244)))+1</f>
        <v>10</v>
      </c>
      <c r="AE244" s="6" t="n">
        <v>0</v>
      </c>
      <c r="AF244" s="6" t="str">
        <f aca="false">IF($J244="NA","NA",IF(AND($J244&gt;1959,AE244&gt;0),"ERRO","OK"))</f>
        <v>OK</v>
      </c>
      <c r="AG244" s="6" t="n">
        <f aca="false">(10-(LEN(AH244)))+1</f>
        <v>10</v>
      </c>
      <c r="AH244" s="6" t="n">
        <v>0</v>
      </c>
      <c r="AI244" s="6" t="str">
        <f aca="false">IF($J244="NA","NA",IF(AND($J244&gt;1949,AH244&gt;0),"ERRO","OK"))</f>
        <v>OK</v>
      </c>
      <c r="AJ244" s="6" t="n">
        <f aca="false">(10-(LEN(AK244)))+1</f>
        <v>10</v>
      </c>
      <c r="AK244" s="6" t="n">
        <v>0</v>
      </c>
      <c r="AL244" s="6" t="str">
        <f aca="false">IF($J244="NA","NA",IF(AND($J244&gt;1939,AK244&gt;0),"ERRO","OK"))</f>
        <v>OK</v>
      </c>
      <c r="AM244" s="6" t="n">
        <f aca="false">(10-(LEN(AN244)))+1</f>
        <v>10</v>
      </c>
      <c r="AN244" s="6" t="n">
        <v>0</v>
      </c>
      <c r="AO244" s="6" t="str">
        <f aca="false">IF($J244="NA","NA",IF(AND($J244&gt;1929,AN244&gt;0),"ERRO","OK"))</f>
        <v>OK</v>
      </c>
      <c r="AP244" s="6" t="n">
        <f aca="false">(10-(LEN(AQ244)))+1</f>
        <v>10</v>
      </c>
      <c r="AQ244" s="6" t="n">
        <v>0</v>
      </c>
      <c r="AR244" s="6" t="str">
        <f aca="false">IF($J244="NA","NA",IF(AND($J244&gt;1919,AQ244&gt;0),"ERRO","OK"))</f>
        <v>OK</v>
      </c>
      <c r="AS244" s="6" t="n">
        <f aca="false">(10-(LEN(AT244)))+1</f>
        <v>10</v>
      </c>
      <c r="AT244" s="6" t="n">
        <v>0</v>
      </c>
      <c r="AU244" s="6" t="str">
        <f aca="false">IF($J244="NA","NA",IF(AND($J244&gt;1909,AT244&gt;0),"ERRO","OK"))</f>
        <v>OK</v>
      </c>
      <c r="AV244" s="6" t="n">
        <f aca="false">(10-(LEN(AW244)))+1</f>
        <v>10</v>
      </c>
      <c r="AW244" s="6" t="n">
        <v>0</v>
      </c>
      <c r="AX244" s="6" t="str">
        <f aca="false">IF($J244="NA","NA",IF(AND($J244&gt;1899,AW244&gt;0),"ERRO","OK"))</f>
        <v>OK</v>
      </c>
    </row>
    <row r="245" customFormat="false" ht="15" hidden="false" customHeight="false" outlineLevel="0" collapsed="false">
      <c r="A245" s="7" t="n">
        <v>243</v>
      </c>
      <c r="B245" s="0" t="s">
        <v>262</v>
      </c>
      <c r="C245" s="8" t="n">
        <v>45317</v>
      </c>
      <c r="D245" s="6" t="n">
        <v>0</v>
      </c>
      <c r="E245" s="0" t="s">
        <v>16</v>
      </c>
      <c r="F245" s="0" t="s">
        <v>17</v>
      </c>
      <c r="G245" s="9" t="str">
        <f aca="false">IF(OR(N245="ERRO",Q245="ERRO",T245="ERRO",W245="ERRO",Z245="ERRO",AC245="ERRO",AF245="ERRO",AI245="ERRO",AL245="ERRO",AO245="ERRO",AR245="ERRO",AU245="ERRO",AX245="ERRO"),"ERRO","OK")</f>
        <v>OK</v>
      </c>
      <c r="H245" s="9" t="n">
        <f aca="false">COUNTIF(L245:AX245,"ERRO")</f>
        <v>0</v>
      </c>
      <c r="I245" s="9" t="s">
        <v>18</v>
      </c>
      <c r="J245" s="10" t="n">
        <v>1910</v>
      </c>
      <c r="K245" s="10" t="n">
        <v>1999</v>
      </c>
      <c r="L245" s="6" t="n">
        <f aca="false">(10-(LEN(M245)))+1</f>
        <v>8</v>
      </c>
      <c r="M245" s="6" t="n">
        <v>375</v>
      </c>
      <c r="N245" s="6" t="str">
        <f aca="false">IF($J245="NA","NA",IF(AND($J245&gt;2019,M245&gt;0),"ERRO","OK"))</f>
        <v>OK</v>
      </c>
      <c r="O245" s="6" t="n">
        <f aca="false">(10-(LEN(P245)))+1</f>
        <v>8</v>
      </c>
      <c r="P245" s="6" t="n">
        <v>137</v>
      </c>
      <c r="Q245" s="6" t="str">
        <f aca="false">IF($J245="NA","NA",IF(AND($J245&gt;2009,P245&gt;0),"ERRO","OK"))</f>
        <v>OK</v>
      </c>
      <c r="R245" s="6" t="n">
        <f aca="false">(10-(LEN(S245)))+1</f>
        <v>8</v>
      </c>
      <c r="S245" s="6" t="n">
        <v>336</v>
      </c>
      <c r="T245" s="6" t="str">
        <f aca="false">IF($J245="NA","NA",IF(AND($J245&gt;1999,S245&gt;0),"ERRO","OK"))</f>
        <v>OK</v>
      </c>
      <c r="U245" s="6" t="n">
        <f aca="false">(10-(LEN(V245)))+1</f>
        <v>8</v>
      </c>
      <c r="V245" s="6" t="n">
        <v>138</v>
      </c>
      <c r="W245" s="6" t="str">
        <f aca="false">IF($J245="NA","NA",IF(AND($J245&gt;1989,V245&gt;0),"ERRO","OK"))</f>
        <v>OK</v>
      </c>
      <c r="X245" s="6" t="n">
        <f aca="false">(10-(LEN(Y245)))+1</f>
        <v>8</v>
      </c>
      <c r="Y245" s="6" t="n">
        <v>161</v>
      </c>
      <c r="Z245" s="6" t="str">
        <f aca="false">IF($J245="NA","NA",IF(AND($J245&gt;1979,Y245&gt;0),"ERRO","OK"))</f>
        <v>OK</v>
      </c>
      <c r="AA245" s="6" t="n">
        <f aca="false">(10-(LEN(AB245)))+1</f>
        <v>8</v>
      </c>
      <c r="AB245" s="6" t="n">
        <v>117</v>
      </c>
      <c r="AC245" s="6" t="str">
        <f aca="false">IF($J245="NA","NA",IF(AND($J245&gt;1969,AB245&gt;0),"ERRO","OK"))</f>
        <v>OK</v>
      </c>
      <c r="AD245" s="6" t="n">
        <f aca="false">(10-(LEN(AE245)))+1</f>
        <v>8</v>
      </c>
      <c r="AE245" s="6" t="n">
        <v>449</v>
      </c>
      <c r="AF245" s="6" t="str">
        <f aca="false">IF($J245="NA","NA",IF(AND($J245&gt;1959,AE245&gt;0),"ERRO","OK"))</f>
        <v>OK</v>
      </c>
      <c r="AG245" s="6" t="n">
        <f aca="false">(10-(LEN(AH245)))+1</f>
        <v>8</v>
      </c>
      <c r="AH245" s="6" t="n">
        <v>110</v>
      </c>
      <c r="AI245" s="6" t="str">
        <f aca="false">IF($J245="NA","NA",IF(AND($J245&gt;1949,AH245&gt;0),"ERRO","OK"))</f>
        <v>OK</v>
      </c>
      <c r="AJ245" s="6" t="n">
        <f aca="false">(10-(LEN(AK245)))+1</f>
        <v>10</v>
      </c>
      <c r="AK245" s="6" t="n">
        <v>0</v>
      </c>
      <c r="AL245" s="6" t="str">
        <f aca="false">IF($J245="NA","NA",IF(AND($J245&gt;1939,AK245&gt;0),"ERRO","OK"))</f>
        <v>OK</v>
      </c>
      <c r="AM245" s="6" t="n">
        <f aca="false">(10-(LEN(AN245)))+1</f>
        <v>10</v>
      </c>
      <c r="AN245" s="6" t="n">
        <v>0</v>
      </c>
      <c r="AO245" s="6" t="str">
        <f aca="false">IF($J245="NA","NA",IF(AND($J245&gt;1929,AN245&gt;0),"ERRO","OK"))</f>
        <v>OK</v>
      </c>
      <c r="AP245" s="6" t="n">
        <f aca="false">(10-(LEN(AQ245)))+1</f>
        <v>10</v>
      </c>
      <c r="AQ245" s="6" t="n">
        <v>0</v>
      </c>
      <c r="AR245" s="6" t="str">
        <f aca="false">IF($J245="NA","NA",IF(AND($J245&gt;1919,AQ245&gt;0),"ERRO","OK"))</f>
        <v>OK</v>
      </c>
      <c r="AS245" s="6" t="n">
        <f aca="false">(10-(LEN(AT245)))+1</f>
        <v>10</v>
      </c>
      <c r="AT245" s="6" t="n">
        <v>0</v>
      </c>
      <c r="AU245" s="6" t="str">
        <f aca="false">IF($J245="NA","NA",IF(AND($J245&gt;1909,AT245&gt;0),"ERRO","OK"))</f>
        <v>OK</v>
      </c>
      <c r="AV245" s="6" t="n">
        <f aca="false">(10-(LEN(AW245)))+1</f>
        <v>10</v>
      </c>
      <c r="AW245" s="6" t="n">
        <v>0</v>
      </c>
      <c r="AX245" s="6" t="str">
        <f aca="false">IF($J245="NA","NA",IF(AND($J245&gt;1899,AW245&gt;0),"ERRO","OK"))</f>
        <v>OK</v>
      </c>
    </row>
    <row r="246" customFormat="false" ht="15" hidden="false" customHeight="false" outlineLevel="0" collapsed="false">
      <c r="A246" s="7" t="n">
        <v>244</v>
      </c>
      <c r="B246" s="0" t="s">
        <v>263</v>
      </c>
      <c r="C246" s="8" t="n">
        <v>45317</v>
      </c>
      <c r="D246" s="6" t="n">
        <v>0</v>
      </c>
      <c r="E246" s="0" t="s">
        <v>16</v>
      </c>
      <c r="F246" s="0" t="s">
        <v>17</v>
      </c>
      <c r="G246" s="9" t="str">
        <f aca="false">IF(OR(N246="ERRO",Q246="ERRO",T246="ERRO",W246="ERRO",Z246="ERRO",AC246="ERRO",AF246="ERRO",AI246="ERRO",AL246="ERRO",AO246="ERRO",AR246="ERRO",AU246="ERRO",AX246="ERRO"),"ERRO","OK")</f>
        <v>OK</v>
      </c>
      <c r="H246" s="9" t="n">
        <f aca="false">COUNTIF(L246:AX246,"ERRO")</f>
        <v>0</v>
      </c>
      <c r="I246" s="9" t="s">
        <v>18</v>
      </c>
      <c r="J246" s="10" t="n">
        <v>1908</v>
      </c>
      <c r="K246" s="10" t="n">
        <v>1996</v>
      </c>
      <c r="L246" s="6" t="n">
        <f aca="false">(10-(LEN(M246)))+1</f>
        <v>8</v>
      </c>
      <c r="M246" s="6" t="n">
        <v>208</v>
      </c>
      <c r="N246" s="6" t="str">
        <f aca="false">IF($J246="NA","NA",IF(AND($J246&gt;2019,M246&gt;0),"ERRO","OK"))</f>
        <v>OK</v>
      </c>
      <c r="O246" s="6" t="n">
        <f aca="false">(10-(LEN(P246)))+1</f>
        <v>8</v>
      </c>
      <c r="P246" s="6" t="n">
        <v>274</v>
      </c>
      <c r="Q246" s="6" t="str">
        <f aca="false">IF($J246="NA","NA",IF(AND($J246&gt;2009,P246&gt;0),"ERRO","OK"))</f>
        <v>OK</v>
      </c>
      <c r="R246" s="6" t="n">
        <f aca="false">(10-(LEN(S246)))+1</f>
        <v>8</v>
      </c>
      <c r="S246" s="6" t="n">
        <v>378</v>
      </c>
      <c r="T246" s="6" t="str">
        <f aca="false">IF($J246="NA","NA",IF(AND($J246&gt;1999,S246&gt;0),"ERRO","OK"))</f>
        <v>OK</v>
      </c>
      <c r="U246" s="6" t="n">
        <f aca="false">(10-(LEN(V246)))+1</f>
        <v>8</v>
      </c>
      <c r="V246" s="6" t="n">
        <v>184</v>
      </c>
      <c r="W246" s="6" t="str">
        <f aca="false">IF($J246="NA","NA",IF(AND($J246&gt;1989,V246&gt;0),"ERRO","OK"))</f>
        <v>OK</v>
      </c>
      <c r="X246" s="6" t="n">
        <f aca="false">(10-(LEN(Y246)))+1</f>
        <v>8</v>
      </c>
      <c r="Y246" s="6" t="n">
        <v>375</v>
      </c>
      <c r="Z246" s="6" t="str">
        <f aca="false">IF($J246="NA","NA",IF(AND($J246&gt;1979,Y246&gt;0),"ERRO","OK"))</f>
        <v>OK</v>
      </c>
      <c r="AA246" s="6" t="n">
        <f aca="false">(10-(LEN(AB246)))+1</f>
        <v>8</v>
      </c>
      <c r="AB246" s="6" t="n">
        <v>352</v>
      </c>
      <c r="AC246" s="6" t="str">
        <f aca="false">IF($J246="NA","NA",IF(AND($J246&gt;1969,AB246&gt;0),"ERRO","OK"))</f>
        <v>OK</v>
      </c>
      <c r="AD246" s="6" t="n">
        <f aca="false">(10-(LEN(AE246)))+1</f>
        <v>10</v>
      </c>
      <c r="AE246" s="6" t="n">
        <v>0</v>
      </c>
      <c r="AF246" s="6" t="str">
        <f aca="false">IF($J246="NA","NA",IF(AND($J246&gt;1959,AE246&gt;0),"ERRO","OK"))</f>
        <v>OK</v>
      </c>
      <c r="AG246" s="6" t="n">
        <f aca="false">(10-(LEN(AH246)))+1</f>
        <v>10</v>
      </c>
      <c r="AH246" s="6" t="n">
        <v>0</v>
      </c>
      <c r="AI246" s="6" t="str">
        <f aca="false">IF($J246="NA","NA",IF(AND($J246&gt;1949,AH246&gt;0),"ERRO","OK"))</f>
        <v>OK</v>
      </c>
      <c r="AJ246" s="6" t="n">
        <f aca="false">(10-(LEN(AK246)))+1</f>
        <v>8</v>
      </c>
      <c r="AK246" s="6" t="n">
        <v>279</v>
      </c>
      <c r="AL246" s="6" t="str">
        <f aca="false">IF($J246="NA","NA",IF(AND($J246&gt;1939,AK246&gt;0),"ERRO","OK"))</f>
        <v>OK</v>
      </c>
      <c r="AM246" s="6" t="n">
        <f aca="false">(10-(LEN(AN246)))+1</f>
        <v>10</v>
      </c>
      <c r="AN246" s="6" t="n">
        <v>0</v>
      </c>
      <c r="AO246" s="6" t="str">
        <f aca="false">IF($J246="NA","NA",IF(AND($J246&gt;1929,AN246&gt;0),"ERRO","OK"))</f>
        <v>OK</v>
      </c>
      <c r="AP246" s="6" t="n">
        <f aca="false">(10-(LEN(AQ246)))+1</f>
        <v>8</v>
      </c>
      <c r="AQ246" s="6" t="n">
        <v>100</v>
      </c>
      <c r="AR246" s="6" t="str">
        <f aca="false">IF($J246="NA","NA",IF(AND($J246&gt;1919,AQ246&gt;0),"ERRO","OK"))</f>
        <v>OK</v>
      </c>
      <c r="AS246" s="6" t="n">
        <f aca="false">(10-(LEN(AT246)))+1</f>
        <v>10</v>
      </c>
      <c r="AT246" s="6" t="n">
        <v>0</v>
      </c>
      <c r="AU246" s="6" t="str">
        <f aca="false">IF($J246="NA","NA",IF(AND($J246&gt;1909,AT246&gt;0),"ERRO","OK"))</f>
        <v>OK</v>
      </c>
      <c r="AV246" s="6" t="n">
        <f aca="false">(10-(LEN(AW246)))+1</f>
        <v>10</v>
      </c>
      <c r="AW246" s="6" t="n">
        <v>0</v>
      </c>
      <c r="AX246" s="6" t="str">
        <f aca="false">IF($J246="NA","NA",IF(AND($J246&gt;1899,AW246&gt;0),"ERRO","OK"))</f>
        <v>OK</v>
      </c>
    </row>
    <row r="247" customFormat="false" ht="15" hidden="false" customHeight="false" outlineLevel="0" collapsed="false">
      <c r="A247" s="7" t="n">
        <v>245</v>
      </c>
      <c r="B247" s="0" t="s">
        <v>264</v>
      </c>
      <c r="C247" s="8" t="n">
        <v>45317</v>
      </c>
      <c r="D247" s="6" t="n">
        <v>0</v>
      </c>
      <c r="E247" s="0" t="s">
        <v>16</v>
      </c>
      <c r="F247" s="0" t="s">
        <v>17</v>
      </c>
      <c r="G247" s="9" t="str">
        <f aca="false">IF(OR(N247="ERRO",Q247="ERRO",T247="ERRO",W247="ERRO",Z247="ERRO",AC247="ERRO",AF247="ERRO",AI247="ERRO",AL247="ERRO",AO247="ERRO",AR247="ERRO",AU247="ERRO",AX247="ERRO"),"ERRO","OK")</f>
        <v>OK</v>
      </c>
      <c r="H247" s="9" t="n">
        <f aca="false">COUNTIF(L247:AX247,"ERRO")</f>
        <v>0</v>
      </c>
      <c r="I247" s="9" t="s">
        <v>18</v>
      </c>
      <c r="J247" s="10" t="n">
        <v>1908</v>
      </c>
      <c r="K247" s="10" t="n">
        <v>1989</v>
      </c>
      <c r="L247" s="6" t="n">
        <f aca="false">(10-(LEN(M247)))+1</f>
        <v>8</v>
      </c>
      <c r="M247" s="6" t="n">
        <v>208</v>
      </c>
      <c r="N247" s="6" t="str">
        <f aca="false">IF($J247="NA","NA",IF(AND($J247&gt;2019,M247&gt;0),"ERRO","OK"))</f>
        <v>OK</v>
      </c>
      <c r="O247" s="6" t="n">
        <f aca="false">(10-(LEN(P247)))+1</f>
        <v>9</v>
      </c>
      <c r="P247" s="6" t="n">
        <v>69</v>
      </c>
      <c r="Q247" s="6" t="str">
        <f aca="false">IF($J247="NA","NA",IF(AND($J247&gt;2009,P247&gt;0),"ERRO","OK"))</f>
        <v>OK</v>
      </c>
      <c r="R247" s="6" t="n">
        <f aca="false">(10-(LEN(S247)))+1</f>
        <v>8</v>
      </c>
      <c r="S247" s="6" t="n">
        <v>924</v>
      </c>
      <c r="T247" s="6" t="str">
        <f aca="false">IF($J247="NA","NA",IF(AND($J247&gt;1999,S247&gt;0),"ERRO","OK"))</f>
        <v>OK</v>
      </c>
      <c r="U247" s="6" t="n">
        <f aca="false">(10-(LEN(V247)))+1</f>
        <v>7</v>
      </c>
      <c r="V247" s="6" t="n">
        <v>1242</v>
      </c>
      <c r="W247" s="6" t="str">
        <f aca="false">IF($J247="NA","NA",IF(AND($J247&gt;1989,V247&gt;0),"ERRO","OK"))</f>
        <v>OK</v>
      </c>
      <c r="X247" s="6" t="n">
        <f aca="false">(10-(LEN(Y247)))+1</f>
        <v>8</v>
      </c>
      <c r="Y247" s="6" t="n">
        <v>910</v>
      </c>
      <c r="Z247" s="6" t="str">
        <f aca="false">IF($J247="NA","NA",IF(AND($J247&gt;1979,Y247&gt;0),"ERRO","OK"))</f>
        <v>OK</v>
      </c>
      <c r="AA247" s="6" t="n">
        <f aca="false">(10-(LEN(AB247)))+1</f>
        <v>8</v>
      </c>
      <c r="AB247" s="6" t="n">
        <v>469</v>
      </c>
      <c r="AC247" s="6" t="str">
        <f aca="false">IF($J247="NA","NA",IF(AND($J247&gt;1969,AB247&gt;0),"ERRO","OK"))</f>
        <v>OK</v>
      </c>
      <c r="AD247" s="6" t="n">
        <f aca="false">(10-(LEN(AE247)))+1</f>
        <v>10</v>
      </c>
      <c r="AE247" s="6" t="n">
        <v>0</v>
      </c>
      <c r="AF247" s="6" t="str">
        <f aca="false">IF($J247="NA","NA",IF(AND($J247&gt;1959,AE247&gt;0),"ERRO","OK"))</f>
        <v>OK</v>
      </c>
      <c r="AG247" s="6" t="n">
        <f aca="false">(10-(LEN(AH247)))+1</f>
        <v>8</v>
      </c>
      <c r="AH247" s="6" t="n">
        <v>110</v>
      </c>
      <c r="AI247" s="6" t="str">
        <f aca="false">IF($J247="NA","NA",IF(AND($J247&gt;1949,AH247&gt;0),"ERRO","OK"))</f>
        <v>OK</v>
      </c>
      <c r="AJ247" s="6" t="n">
        <f aca="false">(10-(LEN(AK247)))+1</f>
        <v>10</v>
      </c>
      <c r="AK247" s="6" t="n">
        <v>0</v>
      </c>
      <c r="AL247" s="6" t="str">
        <f aca="false">IF($J247="NA","NA",IF(AND($J247&gt;1939,AK247&gt;0),"ERRO","OK"))</f>
        <v>OK</v>
      </c>
      <c r="AM247" s="6" t="n">
        <f aca="false">(10-(LEN(AN247)))+1</f>
        <v>7</v>
      </c>
      <c r="AN247" s="6" t="n">
        <v>2894</v>
      </c>
      <c r="AO247" s="6" t="str">
        <f aca="false">IF($J247="NA","NA",IF(AND($J247&gt;1929,AN247&gt;0),"ERRO","OK"))</f>
        <v>OK</v>
      </c>
      <c r="AP247" s="6" t="n">
        <f aca="false">(10-(LEN(AQ247)))+1</f>
        <v>10</v>
      </c>
      <c r="AQ247" s="6" t="n">
        <v>0</v>
      </c>
      <c r="AR247" s="6" t="str">
        <f aca="false">IF($J247="NA","NA",IF(AND($J247&gt;1919,AQ247&gt;0),"ERRO","OK"))</f>
        <v>OK</v>
      </c>
      <c r="AS247" s="6" t="n">
        <f aca="false">(10-(LEN(AT247)))+1</f>
        <v>10</v>
      </c>
      <c r="AT247" s="6" t="n">
        <v>0</v>
      </c>
      <c r="AU247" s="6" t="str">
        <f aca="false">IF($J247="NA","NA",IF(AND($J247&gt;1909,AT247&gt;0),"ERRO","OK"))</f>
        <v>OK</v>
      </c>
      <c r="AV247" s="6" t="n">
        <f aca="false">(10-(LEN(AW247)))+1</f>
        <v>10</v>
      </c>
      <c r="AW247" s="6" t="n">
        <v>0</v>
      </c>
      <c r="AX247" s="6" t="str">
        <f aca="false">IF($J247="NA","NA",IF(AND($J247&gt;1899,AW247&gt;0),"ERRO","OK"))</f>
        <v>OK</v>
      </c>
    </row>
    <row r="248" customFormat="false" ht="15" hidden="false" customHeight="false" outlineLevel="0" collapsed="false">
      <c r="A248" s="7" t="n">
        <v>246</v>
      </c>
      <c r="B248" s="0" t="s">
        <v>265</v>
      </c>
      <c r="C248" s="8" t="n">
        <v>45317</v>
      </c>
      <c r="D248" s="6" t="n">
        <v>0</v>
      </c>
      <c r="E248" s="0" t="s">
        <v>16</v>
      </c>
      <c r="F248" s="0" t="s">
        <v>17</v>
      </c>
      <c r="G248" s="9" t="str">
        <f aca="false">IF(OR(N248="ERRO",Q248="ERRO",T248="ERRO",W248="ERRO",Z248="ERRO",AC248="ERRO",AF248="ERRO",AI248="ERRO",AL248="ERRO",AO248="ERRO",AR248="ERRO",AU248="ERRO",AX248="ERRO"),"ERRO","OK")</f>
        <v>OK</v>
      </c>
      <c r="H248" s="9" t="n">
        <f aca="false">COUNTIF(L248:AX248,"ERRO")</f>
        <v>0</v>
      </c>
      <c r="I248" s="9" t="s">
        <v>18</v>
      </c>
      <c r="J248" s="10" t="n">
        <v>1913</v>
      </c>
      <c r="K248" s="10" t="n">
        <v>1985</v>
      </c>
      <c r="L248" s="6" t="n">
        <f aca="false">(10-(LEN(M248)))+1</f>
        <v>9</v>
      </c>
      <c r="M248" s="6" t="n">
        <v>83</v>
      </c>
      <c r="N248" s="6" t="str">
        <f aca="false">IF($J248="NA","NA",IF(AND($J248&gt;2019,M248&gt;0),"ERRO","OK"))</f>
        <v>OK</v>
      </c>
      <c r="O248" s="6" t="n">
        <f aca="false">(10-(LEN(P248)))+1</f>
        <v>8</v>
      </c>
      <c r="P248" s="6" t="n">
        <v>137</v>
      </c>
      <c r="Q248" s="6" t="str">
        <f aca="false">IF($J248="NA","NA",IF(AND($J248&gt;2009,P248&gt;0),"ERRO","OK"))</f>
        <v>OK</v>
      </c>
      <c r="R248" s="6" t="n">
        <f aca="false">(10-(LEN(S248)))+1</f>
        <v>7</v>
      </c>
      <c r="S248" s="6" t="n">
        <v>1891</v>
      </c>
      <c r="T248" s="6" t="str">
        <f aca="false">IF($J248="NA","NA",IF(AND($J248&gt;1999,S248&gt;0),"ERRO","OK"))</f>
        <v>OK</v>
      </c>
      <c r="U248" s="6" t="n">
        <f aca="false">(10-(LEN(V248)))+1</f>
        <v>7</v>
      </c>
      <c r="V248" s="6" t="n">
        <v>1196</v>
      </c>
      <c r="W248" s="6" t="str">
        <f aca="false">IF($J248="NA","NA",IF(AND($J248&gt;1989,V248&gt;0),"ERRO","OK"))</f>
        <v>OK</v>
      </c>
      <c r="X248" s="6" t="n">
        <f aca="false">(10-(LEN(Y248)))+1</f>
        <v>7</v>
      </c>
      <c r="Y248" s="6" t="n">
        <v>3318</v>
      </c>
      <c r="Z248" s="6" t="str">
        <f aca="false">IF($J248="NA","NA",IF(AND($J248&gt;1979,Y248&gt;0),"ERRO","OK"))</f>
        <v>OK</v>
      </c>
      <c r="AA248" s="6" t="n">
        <f aca="false">(10-(LEN(AB248)))+1</f>
        <v>7</v>
      </c>
      <c r="AB248" s="6" t="n">
        <v>3164</v>
      </c>
      <c r="AC248" s="6" t="str">
        <f aca="false">IF($J248="NA","NA",IF(AND($J248&gt;1969,AB248&gt;0),"ERRO","OK"))</f>
        <v>OK</v>
      </c>
      <c r="AD248" s="6" t="n">
        <f aca="false">(10-(LEN(AE248)))+1</f>
        <v>6</v>
      </c>
      <c r="AE248" s="6" t="n">
        <v>11751</v>
      </c>
      <c r="AF248" s="6" t="str">
        <f aca="false">IF($J248="NA","NA",IF(AND($J248&gt;1959,AE248&gt;0),"ERRO","OK"))</f>
        <v>OK</v>
      </c>
      <c r="AG248" s="6" t="n">
        <f aca="false">(10-(LEN(AH248)))+1</f>
        <v>7</v>
      </c>
      <c r="AH248" s="6" t="n">
        <v>4846</v>
      </c>
      <c r="AI248" s="6" t="str">
        <f aca="false">IF($J248="NA","NA",IF(AND($J248&gt;1949,AH248&gt;0),"ERRO","OK"))</f>
        <v>OK</v>
      </c>
      <c r="AJ248" s="6" t="n">
        <f aca="false">(10-(LEN(AK248)))+1</f>
        <v>7</v>
      </c>
      <c r="AK248" s="6" t="n">
        <v>1950</v>
      </c>
      <c r="AL248" s="6" t="str">
        <f aca="false">IF($J248="NA","NA",IF(AND($J248&gt;1939,AK248&gt;0),"ERRO","OK"))</f>
        <v>OK</v>
      </c>
      <c r="AM248" s="6" t="n">
        <f aca="false">(10-(LEN(AN248)))+1</f>
        <v>10</v>
      </c>
      <c r="AN248" s="6" t="n">
        <v>0</v>
      </c>
      <c r="AO248" s="6" t="str">
        <f aca="false">IF($J248="NA","NA",IF(AND($J248&gt;1929,AN248&gt;0),"ERRO","OK"))</f>
        <v>OK</v>
      </c>
      <c r="AP248" s="6" t="n">
        <f aca="false">(10-(LEN(AQ248)))+1</f>
        <v>10</v>
      </c>
      <c r="AQ248" s="6" t="n">
        <v>0</v>
      </c>
      <c r="AR248" s="6" t="str">
        <f aca="false">IF($J248="NA","NA",IF(AND($J248&gt;1919,AQ248&gt;0),"ERRO","OK"))</f>
        <v>OK</v>
      </c>
      <c r="AS248" s="6" t="n">
        <f aca="false">(10-(LEN(AT248)))+1</f>
        <v>10</v>
      </c>
      <c r="AT248" s="6" t="n">
        <v>0</v>
      </c>
      <c r="AU248" s="6" t="str">
        <f aca="false">IF($J248="NA","NA",IF(AND($J248&gt;1909,AT248&gt;0),"ERRO","OK"))</f>
        <v>OK</v>
      </c>
      <c r="AV248" s="6" t="n">
        <f aca="false">(10-(LEN(AW248)))+1</f>
        <v>10</v>
      </c>
      <c r="AW248" s="6" t="n">
        <v>0</v>
      </c>
      <c r="AX248" s="6" t="str">
        <f aca="false">IF($J248="NA","NA",IF(AND($J248&gt;1899,AW248&gt;0),"ERRO","OK"))</f>
        <v>OK</v>
      </c>
    </row>
    <row r="249" customFormat="false" ht="15" hidden="false" customHeight="false" outlineLevel="0" collapsed="false">
      <c r="A249" s="7" t="n">
        <v>247</v>
      </c>
      <c r="B249" s="0" t="s">
        <v>266</v>
      </c>
      <c r="C249" s="8" t="n">
        <v>45320</v>
      </c>
      <c r="D249" s="6" t="n">
        <v>0</v>
      </c>
      <c r="E249" s="0" t="s">
        <v>16</v>
      </c>
      <c r="F249" s="0" t="s">
        <v>17</v>
      </c>
      <c r="G249" s="9" t="str">
        <f aca="false">IF(OR(N249="ERRO",Q249="ERRO",T249="ERRO",W249="ERRO",Z249="ERRO",AC249="ERRO",AF249="ERRO",AI249="ERRO",AL249="ERRO",AO249="ERRO",AR249="ERRO",AU249="ERRO",AX249="ERRO"),"ERRO","OK")</f>
        <v>OK</v>
      </c>
      <c r="H249" s="9" t="n">
        <f aca="false">COUNTIF(L249:AX249,"ERRO")</f>
        <v>0</v>
      </c>
      <c r="I249" s="9" t="s">
        <v>18</v>
      </c>
      <c r="J249" s="10" t="n">
        <v>1911</v>
      </c>
      <c r="K249" s="10" t="n">
        <v>1990</v>
      </c>
      <c r="L249" s="6" t="n">
        <f aca="false">(10-(LEN(M249)))+1</f>
        <v>7</v>
      </c>
      <c r="M249" s="6" t="n">
        <v>6788</v>
      </c>
      <c r="N249" s="6" t="str">
        <f aca="false">IF($J249="NA","NA",IF(AND($J249&gt;2019,M249&gt;0),"ERRO","OK"))</f>
        <v>OK</v>
      </c>
      <c r="O249" s="6" t="n">
        <f aca="false">(10-(LEN(P249)))+1</f>
        <v>8</v>
      </c>
      <c r="P249" s="6" t="n">
        <v>720</v>
      </c>
      <c r="Q249" s="6" t="str">
        <f aca="false">IF($J249="NA","NA",IF(AND($J249&gt;2009,P249&gt;0),"ERRO","OK"))</f>
        <v>OK</v>
      </c>
      <c r="R249" s="6" t="n">
        <f aca="false">(10-(LEN(S249)))+1</f>
        <v>8</v>
      </c>
      <c r="S249" s="6" t="n">
        <v>126</v>
      </c>
      <c r="T249" s="6" t="str">
        <f aca="false">IF($J249="NA","NA",IF(AND($J249&gt;1999,S249&gt;0),"ERRO","OK"))</f>
        <v>OK</v>
      </c>
      <c r="U249" s="6" t="n">
        <f aca="false">(10-(LEN(V249)))+1</f>
        <v>10</v>
      </c>
      <c r="V249" s="6" t="n">
        <v>0</v>
      </c>
      <c r="W249" s="6" t="str">
        <f aca="false">IF($J249="NA","NA",IF(AND($J249&gt;1989,V249&gt;0),"ERRO","OK"))</f>
        <v>OK</v>
      </c>
      <c r="X249" s="6" t="n">
        <f aca="false">(10-(LEN(Y249)))+1</f>
        <v>8</v>
      </c>
      <c r="Y249" s="6" t="n">
        <v>214</v>
      </c>
      <c r="Z249" s="6" t="str">
        <f aca="false">IF($J249="NA","NA",IF(AND($J249&gt;1979,Y249&gt;0),"ERRO","OK"))</f>
        <v>OK</v>
      </c>
      <c r="AA249" s="6" t="n">
        <f aca="false">(10-(LEN(AB249)))+1</f>
        <v>8</v>
      </c>
      <c r="AB249" s="6" t="n">
        <v>117</v>
      </c>
      <c r="AC249" s="6" t="str">
        <f aca="false">IF($J249="NA","NA",IF(AND($J249&gt;1969,AB249&gt;0),"ERRO","OK"))</f>
        <v>OK</v>
      </c>
      <c r="AD249" s="6" t="n">
        <f aca="false">(10-(LEN(AE249)))+1</f>
        <v>8</v>
      </c>
      <c r="AE249" s="6" t="n">
        <v>449</v>
      </c>
      <c r="AF249" s="6" t="str">
        <f aca="false">IF($J249="NA","NA",IF(AND($J249&gt;1959,AE249&gt;0),"ERRO","OK"))</f>
        <v>OK</v>
      </c>
      <c r="AG249" s="6" t="n">
        <f aca="false">(10-(LEN(AH249)))+1</f>
        <v>10</v>
      </c>
      <c r="AH249" s="6" t="n">
        <v>0</v>
      </c>
      <c r="AI249" s="6" t="str">
        <f aca="false">IF($J249="NA","NA",IF(AND($J249&gt;1949,AH249&gt;0),"ERRO","OK"))</f>
        <v>OK</v>
      </c>
      <c r="AJ249" s="6" t="n">
        <f aca="false">(10-(LEN(AK249)))+1</f>
        <v>10</v>
      </c>
      <c r="AK249" s="6" t="n">
        <v>0</v>
      </c>
      <c r="AL249" s="6" t="str">
        <f aca="false">IF($J249="NA","NA",IF(AND($J249&gt;1939,AK249&gt;0),"ERRO","OK"))</f>
        <v>OK</v>
      </c>
      <c r="AM249" s="6" t="n">
        <f aca="false">(10-(LEN(AN249)))+1</f>
        <v>10</v>
      </c>
      <c r="AN249" s="6" t="n">
        <v>0</v>
      </c>
      <c r="AO249" s="6" t="str">
        <f aca="false">IF($J249="NA","NA",IF(AND($J249&gt;1929,AN249&gt;0),"ERRO","OK"))</f>
        <v>OK</v>
      </c>
      <c r="AP249" s="6" t="n">
        <f aca="false">(10-(LEN(AQ249)))+1</f>
        <v>10</v>
      </c>
      <c r="AQ249" s="6" t="n">
        <v>0</v>
      </c>
      <c r="AR249" s="6" t="str">
        <f aca="false">IF($J249="NA","NA",IF(AND($J249&gt;1919,AQ249&gt;0),"ERRO","OK"))</f>
        <v>OK</v>
      </c>
      <c r="AS249" s="6" t="n">
        <f aca="false">(10-(LEN(AT249)))+1</f>
        <v>10</v>
      </c>
      <c r="AT249" s="6" t="n">
        <v>0</v>
      </c>
      <c r="AU249" s="6" t="str">
        <f aca="false">IF($J249="NA","NA",IF(AND($J249&gt;1909,AT249&gt;0),"ERRO","OK"))</f>
        <v>OK</v>
      </c>
      <c r="AV249" s="6" t="n">
        <f aca="false">(10-(LEN(AW249)))+1</f>
        <v>10</v>
      </c>
      <c r="AW249" s="6" t="n">
        <v>0</v>
      </c>
      <c r="AX249" s="6" t="str">
        <f aca="false">IF($J249="NA","NA",IF(AND($J249&gt;1899,AW249&gt;0),"ERRO","OK"))</f>
        <v>OK</v>
      </c>
    </row>
    <row r="250" customFormat="false" ht="15" hidden="false" customHeight="false" outlineLevel="0" collapsed="false">
      <c r="A250" s="7" t="n">
        <v>248</v>
      </c>
      <c r="B250" s="0" t="s">
        <v>267</v>
      </c>
      <c r="C250" s="8" t="n">
        <v>45320</v>
      </c>
      <c r="D250" s="6" t="n">
        <v>0</v>
      </c>
      <c r="E250" s="0" t="s">
        <v>16</v>
      </c>
      <c r="F250" s="0" t="s">
        <v>17</v>
      </c>
      <c r="G250" s="9" t="str">
        <f aca="false">IF(OR(N250="ERRO",Q250="ERRO",T250="ERRO",W250="ERRO",Z250="ERRO",AC250="ERRO",AF250="ERRO",AI250="ERRO",AL250="ERRO",AO250="ERRO",AR250="ERRO",AU250="ERRO",AX250="ERRO"),"ERRO","OK")</f>
        <v>OK</v>
      </c>
      <c r="H250" s="9" t="n">
        <f aca="false">COUNTIF(L250:AX250,"ERRO")</f>
        <v>0</v>
      </c>
      <c r="I250" s="9" t="s">
        <v>18</v>
      </c>
      <c r="J250" s="10" t="n">
        <v>1913</v>
      </c>
      <c r="K250" s="10" t="n">
        <v>1977</v>
      </c>
      <c r="L250" s="6" t="n">
        <f aca="false">(10-(LEN(M250)))+1</f>
        <v>10</v>
      </c>
      <c r="M250" s="6" t="n">
        <v>0</v>
      </c>
      <c r="N250" s="6" t="str">
        <f aca="false">IF($J250="NA","NA",IF(AND($J250&gt;2019,M250&gt;0),"ERRO","OK"))</f>
        <v>OK</v>
      </c>
      <c r="O250" s="6" t="n">
        <f aca="false">(10-(LEN(P250)))+1</f>
        <v>9</v>
      </c>
      <c r="P250" s="6" t="n">
        <v>34</v>
      </c>
      <c r="Q250" s="6" t="str">
        <f aca="false">IF($J250="NA","NA",IF(AND($J250&gt;2009,P250&gt;0),"ERRO","OK"))</f>
        <v>OK</v>
      </c>
      <c r="R250" s="6" t="n">
        <f aca="false">(10-(LEN(S250)))+1</f>
        <v>9</v>
      </c>
      <c r="S250" s="6" t="n">
        <v>42</v>
      </c>
      <c r="T250" s="6" t="str">
        <f aca="false">IF($J250="NA","NA",IF(AND($J250&gt;1999,S250&gt;0),"ERRO","OK"))</f>
        <v>OK</v>
      </c>
      <c r="U250" s="6" t="n">
        <f aca="false">(10-(LEN(V250)))+1</f>
        <v>10</v>
      </c>
      <c r="V250" s="6" t="n">
        <v>0</v>
      </c>
      <c r="W250" s="6" t="str">
        <f aca="false">IF($J250="NA","NA",IF(AND($J250&gt;1989,V250&gt;0),"ERRO","OK"))</f>
        <v>OK</v>
      </c>
      <c r="X250" s="6" t="n">
        <f aca="false">(10-(LEN(Y250)))+1</f>
        <v>10</v>
      </c>
      <c r="Y250" s="6" t="n">
        <v>0</v>
      </c>
      <c r="Z250" s="6" t="str">
        <f aca="false">IF($J250="NA","NA",IF(AND($J250&gt;1979,Y250&gt;0),"ERRO","OK"))</f>
        <v>OK</v>
      </c>
      <c r="AA250" s="6" t="n">
        <f aca="false">(10-(LEN(AB250)))+1</f>
        <v>10</v>
      </c>
      <c r="AB250" s="6" t="n">
        <v>0</v>
      </c>
      <c r="AC250" s="6" t="str">
        <f aca="false">IF($J250="NA","NA",IF(AND($J250&gt;1969,AB250&gt;0),"ERRO","OK"))</f>
        <v>OK</v>
      </c>
      <c r="AD250" s="6" t="n">
        <f aca="false">(10-(LEN(AE250)))+1</f>
        <v>10</v>
      </c>
      <c r="AE250" s="6" t="n">
        <v>0</v>
      </c>
      <c r="AF250" s="6" t="str">
        <f aca="false">IF($J250="NA","NA",IF(AND($J250&gt;1959,AE250&gt;0),"ERRO","OK"))</f>
        <v>OK</v>
      </c>
      <c r="AG250" s="6" t="n">
        <f aca="false">(10-(LEN(AH250)))+1</f>
        <v>10</v>
      </c>
      <c r="AH250" s="6" t="n">
        <v>0</v>
      </c>
      <c r="AI250" s="6" t="str">
        <f aca="false">IF($J250="NA","NA",IF(AND($J250&gt;1949,AH250&gt;0),"ERRO","OK"))</f>
        <v>OK</v>
      </c>
      <c r="AJ250" s="6" t="n">
        <f aca="false">(10-(LEN(AK250)))+1</f>
        <v>10</v>
      </c>
      <c r="AK250" s="6" t="n">
        <v>0</v>
      </c>
      <c r="AL250" s="6" t="str">
        <f aca="false">IF($J250="NA","NA",IF(AND($J250&gt;1939,AK250&gt;0),"ERRO","OK"))</f>
        <v>OK</v>
      </c>
      <c r="AM250" s="6" t="n">
        <f aca="false">(10-(LEN(AN250)))+1</f>
        <v>10</v>
      </c>
      <c r="AN250" s="6" t="n">
        <v>0</v>
      </c>
      <c r="AO250" s="6" t="str">
        <f aca="false">IF($J250="NA","NA",IF(AND($J250&gt;1929,AN250&gt;0),"ERRO","OK"))</f>
        <v>OK</v>
      </c>
      <c r="AP250" s="6" t="n">
        <f aca="false">(10-(LEN(AQ250)))+1</f>
        <v>10</v>
      </c>
      <c r="AQ250" s="6" t="n">
        <v>0</v>
      </c>
      <c r="AR250" s="6" t="str">
        <f aca="false">IF($J250="NA","NA",IF(AND($J250&gt;1919,AQ250&gt;0),"ERRO","OK"))</f>
        <v>OK</v>
      </c>
      <c r="AS250" s="6" t="n">
        <f aca="false">(10-(LEN(AT250)))+1</f>
        <v>10</v>
      </c>
      <c r="AT250" s="6" t="n">
        <v>0</v>
      </c>
      <c r="AU250" s="6" t="str">
        <f aca="false">IF($J250="NA","NA",IF(AND($J250&gt;1909,AT250&gt;0),"ERRO","OK"))</f>
        <v>OK</v>
      </c>
      <c r="AV250" s="6" t="n">
        <f aca="false">(10-(LEN(AW250)))+1</f>
        <v>10</v>
      </c>
      <c r="AW250" s="6" t="n">
        <v>0</v>
      </c>
      <c r="AX250" s="6" t="str">
        <f aca="false">IF($J250="NA","NA",IF(AND($J250&gt;1899,AW250&gt;0),"ERRO","OK"))</f>
        <v>OK</v>
      </c>
    </row>
    <row r="251" customFormat="false" ht="15" hidden="false" customHeight="false" outlineLevel="0" collapsed="false">
      <c r="A251" s="7" t="n">
        <v>249</v>
      </c>
      <c r="B251" s="0" t="s">
        <v>268</v>
      </c>
      <c r="C251" s="8" t="n">
        <v>45320</v>
      </c>
      <c r="D251" s="6" t="n">
        <v>0</v>
      </c>
      <c r="E251" s="0" t="s">
        <v>16</v>
      </c>
      <c r="F251" s="0" t="s">
        <v>17</v>
      </c>
      <c r="G251" s="9" t="str">
        <f aca="false">IF(OR(N251="ERRO",Q251="ERRO",T251="ERRO",W251="ERRO",Z251="ERRO",AC251="ERRO",AF251="ERRO",AI251="ERRO",AL251="ERRO",AO251="ERRO",AR251="ERRO",AU251="ERRO",AX251="ERRO"),"ERRO","OK")</f>
        <v>ERRO</v>
      </c>
      <c r="H251" s="9" t="n">
        <f aca="false">COUNTIF(L251:AX251,"ERRO")</f>
        <v>3</v>
      </c>
      <c r="I251" s="9" t="s">
        <v>104</v>
      </c>
      <c r="J251" s="10" t="n">
        <v>1921</v>
      </c>
      <c r="K251" s="10" t="n">
        <v>2007</v>
      </c>
      <c r="L251" s="6" t="n">
        <f aca="false">(10-(LEN(M251)))+1</f>
        <v>7</v>
      </c>
      <c r="M251" s="6" t="n">
        <v>4164</v>
      </c>
      <c r="N251" s="6" t="str">
        <f aca="false">IF($J251="NA","NA",IF(AND($J251&gt;2019,M251&gt;0),"ERRO","OK"))</f>
        <v>OK</v>
      </c>
      <c r="O251" s="6" t="n">
        <f aca="false">(10-(LEN(P251)))+1</f>
        <v>7</v>
      </c>
      <c r="P251" s="6" t="n">
        <v>5180</v>
      </c>
      <c r="Q251" s="6" t="str">
        <f aca="false">IF($J251="NA","NA",IF(AND($J251&gt;2009,P251&gt;0),"ERRO","OK"))</f>
        <v>OK</v>
      </c>
      <c r="R251" s="6" t="n">
        <f aca="false">(10-(LEN(S251)))+1</f>
        <v>7</v>
      </c>
      <c r="S251" s="6" t="n">
        <v>5252</v>
      </c>
      <c r="T251" s="6" t="str">
        <f aca="false">IF($J251="NA","NA",IF(AND($J251&gt;1999,S251&gt;0),"ERRO","OK"))</f>
        <v>OK</v>
      </c>
      <c r="U251" s="6" t="n">
        <f aca="false">(10-(LEN(V251)))+1</f>
        <v>7</v>
      </c>
      <c r="V251" s="6" t="n">
        <v>5427</v>
      </c>
      <c r="W251" s="6" t="str">
        <f aca="false">IF($J251="NA","NA",IF(AND($J251&gt;1989,V251&gt;0),"ERRO","OK"))</f>
        <v>OK</v>
      </c>
      <c r="X251" s="6" t="n">
        <f aca="false">(10-(LEN(Y251)))+1</f>
        <v>7</v>
      </c>
      <c r="Y251" s="6" t="n">
        <v>3960</v>
      </c>
      <c r="Z251" s="6" t="str">
        <f aca="false">IF($J251="NA","NA",IF(AND($J251&gt;1979,Y251&gt;0),"ERRO","OK"))</f>
        <v>OK</v>
      </c>
      <c r="AA251" s="6" t="n">
        <f aca="false">(10-(LEN(AB251)))+1</f>
        <v>7</v>
      </c>
      <c r="AB251" s="6" t="n">
        <v>4864</v>
      </c>
      <c r="AC251" s="6" t="str">
        <f aca="false">IF($J251="NA","NA",IF(AND($J251&gt;1969,AB251&gt;0),"ERRO","OK"))</f>
        <v>OK</v>
      </c>
      <c r="AD251" s="6" t="n">
        <f aca="false">(10-(LEN(AE251)))+1</f>
        <v>8</v>
      </c>
      <c r="AE251" s="6" t="n">
        <v>449</v>
      </c>
      <c r="AF251" s="6" t="str">
        <f aca="false">IF($J251="NA","NA",IF(AND($J251&gt;1959,AE251&gt;0),"ERRO","OK"))</f>
        <v>OK</v>
      </c>
      <c r="AG251" s="6" t="n">
        <f aca="false">(10-(LEN(AH251)))+1</f>
        <v>8</v>
      </c>
      <c r="AH251" s="6" t="n">
        <v>441</v>
      </c>
      <c r="AI251" s="6" t="str">
        <f aca="false">IF($J251="NA","NA",IF(AND($J251&gt;1949,AH251&gt;0),"ERRO","OK"))</f>
        <v>OK</v>
      </c>
      <c r="AJ251" s="6" t="n">
        <f aca="false">(10-(LEN(AK251)))+1</f>
        <v>7</v>
      </c>
      <c r="AK251" s="6" t="n">
        <v>1671</v>
      </c>
      <c r="AL251" s="6" t="str">
        <f aca="false">IF($J251="NA","NA",IF(AND($J251&gt;1939,AK251&gt;0),"ERRO","OK"))</f>
        <v>OK</v>
      </c>
      <c r="AM251" s="6" t="n">
        <f aca="false">(10-(LEN(AN251)))+1</f>
        <v>7</v>
      </c>
      <c r="AN251" s="6" t="n">
        <v>1828</v>
      </c>
      <c r="AO251" s="6" t="str">
        <f aca="false">IF($J251="NA","NA",IF(AND($J251&gt;1929,AN251&gt;0),"ERRO","OK"))</f>
        <v>OK</v>
      </c>
      <c r="AP251" s="6" t="n">
        <f aca="false">(10-(LEN(AQ251)))+1</f>
        <v>7</v>
      </c>
      <c r="AQ251" s="6" t="n">
        <v>1402</v>
      </c>
      <c r="AR251" s="6" t="str">
        <f aca="false">IF($J251="NA","NA",IF(AND($J251&gt;1919,AQ251&gt;0),"ERRO","OK"))</f>
        <v>ERRO</v>
      </c>
      <c r="AS251" s="6" t="n">
        <f aca="false">(10-(LEN(AT251)))+1</f>
        <v>8</v>
      </c>
      <c r="AT251" s="6" t="n">
        <v>619</v>
      </c>
      <c r="AU251" s="6" t="str">
        <f aca="false">IF($J251="NA","NA",IF(AND($J251&gt;1909,AT251&gt;0),"ERRO","OK"))</f>
        <v>ERRO</v>
      </c>
      <c r="AV251" s="6" t="n">
        <f aca="false">(10-(LEN(AW251)))+1</f>
        <v>8</v>
      </c>
      <c r="AW251" s="6" t="n">
        <v>645</v>
      </c>
      <c r="AX251" s="6" t="str">
        <f aca="false">IF($J251="NA","NA",IF(AND($J251&gt;1899,AW251&gt;0),"ERRO","OK"))</f>
        <v>ERRO</v>
      </c>
    </row>
    <row r="252" customFormat="false" ht="15" hidden="false" customHeight="false" outlineLevel="0" collapsed="false">
      <c r="A252" s="7" t="n">
        <v>250</v>
      </c>
      <c r="B252" s="0" t="s">
        <v>269</v>
      </c>
      <c r="C252" s="8" t="n">
        <v>45320</v>
      </c>
      <c r="D252" s="6" t="n">
        <v>0</v>
      </c>
      <c r="E252" s="0" t="s">
        <v>16</v>
      </c>
      <c r="F252" s="0" t="s">
        <v>17</v>
      </c>
      <c r="G252" s="9" t="str">
        <f aca="false">IF(OR(N252="ERRO",Q252="ERRO",T252="ERRO",W252="ERRO",Z252="ERRO",AC252="ERRO",AF252="ERRO",AI252="ERRO",AL252="ERRO",AO252="ERRO",AR252="ERRO",AU252="ERRO",AX252="ERRO"),"ERRO","OK")</f>
        <v>OK</v>
      </c>
      <c r="H252" s="9" t="n">
        <f aca="false">COUNTIF(L252:AX252,"ERRO")</f>
        <v>0</v>
      </c>
      <c r="I252" s="9" t="s">
        <v>18</v>
      </c>
      <c r="J252" s="10" t="n">
        <v>1848</v>
      </c>
      <c r="K252" s="10" t="n">
        <v>1925</v>
      </c>
      <c r="L252" s="6" t="n">
        <f aca="false">(10-(LEN(M252)))+1</f>
        <v>10</v>
      </c>
      <c r="M252" s="6" t="n">
        <v>0</v>
      </c>
      <c r="N252" s="6" t="str">
        <f aca="false">IF($J252="NA","NA",IF(AND($J252&gt;2019,M252&gt;0),"ERRO","OK"))</f>
        <v>OK</v>
      </c>
      <c r="O252" s="6" t="n">
        <f aca="false">(10-(LEN(P252)))+1</f>
        <v>8</v>
      </c>
      <c r="P252" s="6" t="n">
        <v>137</v>
      </c>
      <c r="Q252" s="6" t="str">
        <f aca="false">IF($J252="NA","NA",IF(AND($J252&gt;2009,P252&gt;0),"ERRO","OK"))</f>
        <v>OK</v>
      </c>
      <c r="R252" s="6" t="n">
        <f aca="false">(10-(LEN(S252)))+1</f>
        <v>8</v>
      </c>
      <c r="S252" s="6" t="n">
        <v>126</v>
      </c>
      <c r="T252" s="6" t="str">
        <f aca="false">IF($J252="NA","NA",IF(AND($J252&gt;1999,S252&gt;0),"ERRO","OK"))</f>
        <v>OK</v>
      </c>
      <c r="U252" s="6" t="n">
        <f aca="false">(10-(LEN(V252)))+1</f>
        <v>9</v>
      </c>
      <c r="V252" s="6" t="n">
        <v>92</v>
      </c>
      <c r="W252" s="6" t="str">
        <f aca="false">IF($J252="NA","NA",IF(AND($J252&gt;1989,V252&gt;0),"ERRO","OK"))</f>
        <v>OK</v>
      </c>
      <c r="X252" s="6" t="n">
        <f aca="false">(10-(LEN(Y252)))+1</f>
        <v>8</v>
      </c>
      <c r="Y252" s="6" t="n">
        <v>107</v>
      </c>
      <c r="Z252" s="6" t="str">
        <f aca="false">IF($J252="NA","NA",IF(AND($J252&gt;1979,Y252&gt;0),"ERRO","OK"))</f>
        <v>OK</v>
      </c>
      <c r="AA252" s="6" t="n">
        <f aca="false">(10-(LEN(AB252)))+1</f>
        <v>8</v>
      </c>
      <c r="AB252" s="6" t="n">
        <v>117</v>
      </c>
      <c r="AC252" s="6" t="str">
        <f aca="false">IF($J252="NA","NA",IF(AND($J252&gt;1969,AB252&gt;0),"ERRO","OK"))</f>
        <v>OK</v>
      </c>
      <c r="AD252" s="6" t="n">
        <f aca="false">(10-(LEN(AE252)))+1</f>
        <v>10</v>
      </c>
      <c r="AE252" s="6" t="n">
        <v>0</v>
      </c>
      <c r="AF252" s="6" t="str">
        <f aca="false">IF($J252="NA","NA",IF(AND($J252&gt;1959,AE252&gt;0),"ERRO","OK"))</f>
        <v>OK</v>
      </c>
      <c r="AG252" s="6" t="n">
        <f aca="false">(10-(LEN(AH252)))+1</f>
        <v>10</v>
      </c>
      <c r="AH252" s="6" t="n">
        <v>0</v>
      </c>
      <c r="AI252" s="6" t="str">
        <f aca="false">IF($J252="NA","NA",IF(AND($J252&gt;1949,AH252&gt;0),"ERRO","OK"))</f>
        <v>OK</v>
      </c>
      <c r="AJ252" s="6" t="n">
        <f aca="false">(10-(LEN(AK252)))+1</f>
        <v>10</v>
      </c>
      <c r="AK252" s="6" t="n">
        <v>0</v>
      </c>
      <c r="AL252" s="6" t="str">
        <f aca="false">IF($J252="NA","NA",IF(AND($J252&gt;1939,AK252&gt;0),"ERRO","OK"))</f>
        <v>OK</v>
      </c>
      <c r="AM252" s="6" t="n">
        <f aca="false">(10-(LEN(AN252)))+1</f>
        <v>10</v>
      </c>
      <c r="AN252" s="6" t="n">
        <v>0</v>
      </c>
      <c r="AO252" s="6" t="str">
        <f aca="false">IF($J252="NA","NA",IF(AND($J252&gt;1929,AN252&gt;0),"ERRO","OK"))</f>
        <v>OK</v>
      </c>
      <c r="AP252" s="6" t="n">
        <f aca="false">(10-(LEN(AQ252)))+1</f>
        <v>8</v>
      </c>
      <c r="AQ252" s="6" t="n">
        <v>100</v>
      </c>
      <c r="AR252" s="6" t="str">
        <f aca="false">IF($J252="NA","NA",IF(AND($J252&gt;1919,AQ252&gt;0),"ERRO","OK"))</f>
        <v>OK</v>
      </c>
      <c r="AS252" s="6" t="n">
        <f aca="false">(10-(LEN(AT252)))+1</f>
        <v>10</v>
      </c>
      <c r="AT252" s="6" t="n">
        <v>0</v>
      </c>
      <c r="AU252" s="6" t="str">
        <f aca="false">IF($J252="NA","NA",IF(AND($J252&gt;1909,AT252&gt;0),"ERRO","OK"))</f>
        <v>OK</v>
      </c>
      <c r="AV252" s="6" t="n">
        <f aca="false">(10-(LEN(AW252)))+1</f>
        <v>10</v>
      </c>
      <c r="AW252" s="6" t="n">
        <v>0</v>
      </c>
      <c r="AX252" s="6" t="str">
        <f aca="false">IF($J252="NA","NA",IF(AND($J252&gt;1899,AW252&gt;0),"ERRO","OK"))</f>
        <v>OK</v>
      </c>
    </row>
    <row r="253" customFormat="false" ht="15" hidden="false" customHeight="false" outlineLevel="0" collapsed="false">
      <c r="A253" s="7" t="n">
        <v>251</v>
      </c>
      <c r="B253" s="0" t="s">
        <v>270</v>
      </c>
      <c r="C253" s="8" t="n">
        <v>45320</v>
      </c>
      <c r="D253" s="6" t="n">
        <v>0</v>
      </c>
      <c r="E253" s="0" t="s">
        <v>16</v>
      </c>
      <c r="F253" s="0" t="s">
        <v>17</v>
      </c>
      <c r="G253" s="9" t="str">
        <f aca="false">IF(OR(N253="ERRO",Q253="ERRO",T253="ERRO",W253="ERRO",Z253="ERRO",AC253="ERRO",AF253="ERRO",AI253="ERRO",AL253="ERRO",AO253="ERRO",AR253="ERRO",AU253="ERRO",AX253="ERRO"),"ERRO","OK")</f>
        <v>OK</v>
      </c>
      <c r="H253" s="9" t="n">
        <f aca="false">COUNTIF(L253:AX253,"ERRO")</f>
        <v>0</v>
      </c>
      <c r="I253" s="9" t="s">
        <v>18</v>
      </c>
      <c r="J253" s="10" t="n">
        <v>1860</v>
      </c>
      <c r="K253" s="10" t="n">
        <v>1925</v>
      </c>
      <c r="L253" s="6" t="n">
        <f aca="false">(10-(LEN(M253)))+1</f>
        <v>10</v>
      </c>
      <c r="M253" s="6" t="n">
        <v>0</v>
      </c>
      <c r="N253" s="6" t="str">
        <f aca="false">IF($J253="NA","NA",IF(AND($J253&gt;2019,M253&gt;0),"ERRO","OK"))</f>
        <v>OK</v>
      </c>
      <c r="O253" s="6" t="n">
        <f aca="false">(10-(LEN(P253)))+1</f>
        <v>10</v>
      </c>
      <c r="P253" s="6" t="n">
        <v>0</v>
      </c>
      <c r="Q253" s="6" t="str">
        <f aca="false">IF($J253="NA","NA",IF(AND($J253&gt;2009,P253&gt;0),"ERRO","OK"))</f>
        <v>OK</v>
      </c>
      <c r="R253" s="6" t="n">
        <f aca="false">(10-(LEN(S253)))+1</f>
        <v>10</v>
      </c>
      <c r="S253" s="6" t="n">
        <v>0</v>
      </c>
      <c r="T253" s="6" t="str">
        <f aca="false">IF($J253="NA","NA",IF(AND($J253&gt;1999,S253&gt;0),"ERRO","OK"))</f>
        <v>OK</v>
      </c>
      <c r="U253" s="6" t="n">
        <f aca="false">(10-(LEN(V253)))+1</f>
        <v>10</v>
      </c>
      <c r="V253" s="6" t="n">
        <v>0</v>
      </c>
      <c r="W253" s="6" t="str">
        <f aca="false">IF($J253="NA","NA",IF(AND($J253&gt;1989,V253&gt;0),"ERRO","OK"))</f>
        <v>OK</v>
      </c>
      <c r="X253" s="6" t="n">
        <f aca="false">(10-(LEN(Y253)))+1</f>
        <v>10</v>
      </c>
      <c r="Y253" s="6" t="n">
        <v>0</v>
      </c>
      <c r="Z253" s="6" t="str">
        <f aca="false">IF($J253="NA","NA",IF(AND($J253&gt;1979,Y253&gt;0),"ERRO","OK"))</f>
        <v>OK</v>
      </c>
      <c r="AA253" s="6" t="n">
        <f aca="false">(10-(LEN(AB253)))+1</f>
        <v>10</v>
      </c>
      <c r="AB253" s="6" t="n">
        <v>0</v>
      </c>
      <c r="AC253" s="6" t="str">
        <f aca="false">IF($J253="NA","NA",IF(AND($J253&gt;1969,AB253&gt;0),"ERRO","OK"))</f>
        <v>OK</v>
      </c>
      <c r="AD253" s="6" t="n">
        <f aca="false">(10-(LEN(AE253)))+1</f>
        <v>10</v>
      </c>
      <c r="AE253" s="6" t="n">
        <v>0</v>
      </c>
      <c r="AF253" s="6" t="str">
        <f aca="false">IF($J253="NA","NA",IF(AND($J253&gt;1959,AE253&gt;0),"ERRO","OK"))</f>
        <v>OK</v>
      </c>
      <c r="AG253" s="6" t="n">
        <f aca="false">(10-(LEN(AH253)))+1</f>
        <v>10</v>
      </c>
      <c r="AH253" s="6" t="n">
        <v>0</v>
      </c>
      <c r="AI253" s="6" t="str">
        <f aca="false">IF($J253="NA","NA",IF(AND($J253&gt;1949,AH253&gt;0),"ERRO","OK"))</f>
        <v>OK</v>
      </c>
      <c r="AJ253" s="6" t="n">
        <f aca="false">(10-(LEN(AK253)))+1</f>
        <v>10</v>
      </c>
      <c r="AK253" s="6" t="n">
        <v>0</v>
      </c>
      <c r="AL253" s="6" t="str">
        <f aca="false">IF($J253="NA","NA",IF(AND($J253&gt;1939,AK253&gt;0),"ERRO","OK"))</f>
        <v>OK</v>
      </c>
      <c r="AM253" s="6" t="n">
        <f aca="false">(10-(LEN(AN253)))+1</f>
        <v>10</v>
      </c>
      <c r="AN253" s="6" t="n">
        <v>0</v>
      </c>
      <c r="AO253" s="6" t="str">
        <f aca="false">IF($J253="NA","NA",IF(AND($J253&gt;1929,AN253&gt;0),"ERRO","OK"))</f>
        <v>OK</v>
      </c>
      <c r="AP253" s="6" t="n">
        <f aca="false">(10-(LEN(AQ253)))+1</f>
        <v>10</v>
      </c>
      <c r="AQ253" s="6" t="n">
        <v>0</v>
      </c>
      <c r="AR253" s="6" t="str">
        <f aca="false">IF($J253="NA","NA",IF(AND($J253&gt;1919,AQ253&gt;0),"ERRO","OK"))</f>
        <v>OK</v>
      </c>
      <c r="AS253" s="6" t="n">
        <f aca="false">(10-(LEN(AT253)))+1</f>
        <v>10</v>
      </c>
      <c r="AT253" s="6" t="n">
        <v>0</v>
      </c>
      <c r="AU253" s="6" t="str">
        <f aca="false">IF($J253="NA","NA",IF(AND($J253&gt;1909,AT253&gt;0),"ERRO","OK"))</f>
        <v>OK</v>
      </c>
      <c r="AV253" s="6" t="n">
        <f aca="false">(10-(LEN(AW253)))+1</f>
        <v>10</v>
      </c>
      <c r="AW253" s="6" t="n">
        <v>0</v>
      </c>
      <c r="AX253" s="6" t="str">
        <f aca="false">IF($J253="NA","NA",IF(AND($J253&gt;1899,AW253&gt;0),"ERRO","OK"))</f>
        <v>OK</v>
      </c>
    </row>
    <row r="254" customFormat="false" ht="15" hidden="false" customHeight="false" outlineLevel="0" collapsed="false">
      <c r="A254" s="7" t="n">
        <v>252</v>
      </c>
      <c r="B254" s="0" t="s">
        <v>271</v>
      </c>
      <c r="C254" s="8" t="n">
        <v>45320</v>
      </c>
      <c r="D254" s="6" t="n">
        <v>0</v>
      </c>
      <c r="E254" s="0" t="s">
        <v>16</v>
      </c>
      <c r="F254" s="0" t="s">
        <v>17</v>
      </c>
      <c r="G254" s="9" t="str">
        <f aca="false">IF(OR(N254="ERRO",Q254="ERRO",T254="ERRO",W254="ERRO",Z254="ERRO",AC254="ERRO",AF254="ERRO",AI254="ERRO",AL254="ERRO",AO254="ERRO",AR254="ERRO",AU254="ERRO",AX254="ERRO"),"ERRO","OK")</f>
        <v>OK</v>
      </c>
      <c r="H254" s="9" t="n">
        <f aca="false">COUNTIF(L254:AX254,"ERRO")</f>
        <v>0</v>
      </c>
      <c r="I254" s="9" t="s">
        <v>18</v>
      </c>
      <c r="J254" s="10" t="s">
        <v>22</v>
      </c>
      <c r="K254" s="10" t="n">
        <v>1925</v>
      </c>
      <c r="L254" s="6" t="n">
        <f aca="false">(10-(LEN(M254)))+1</f>
        <v>10</v>
      </c>
      <c r="M254" s="6" t="n">
        <v>0</v>
      </c>
      <c r="N254" s="6" t="str">
        <f aca="false">IF($J254="NA","NA",IF(AND($J254&gt;2019,M254&gt;0),"ERRO","OK"))</f>
        <v>NA</v>
      </c>
      <c r="O254" s="6" t="n">
        <f aca="false">(10-(LEN(P254)))+1</f>
        <v>10</v>
      </c>
      <c r="P254" s="6" t="n">
        <v>0</v>
      </c>
      <c r="Q254" s="6" t="str">
        <f aca="false">IF($J254="NA","NA",IF(AND($J254&gt;2009,P254&gt;0),"ERRO","OK"))</f>
        <v>NA</v>
      </c>
      <c r="R254" s="6" t="n">
        <f aca="false">(10-(LEN(S254)))+1</f>
        <v>10</v>
      </c>
      <c r="S254" s="6" t="n">
        <v>0</v>
      </c>
      <c r="T254" s="6" t="str">
        <f aca="false">IF($J254="NA","NA",IF(AND($J254&gt;1999,S254&gt;0),"ERRO","OK"))</f>
        <v>NA</v>
      </c>
      <c r="U254" s="6" t="n">
        <f aca="false">(10-(LEN(V254)))+1</f>
        <v>10</v>
      </c>
      <c r="V254" s="6" t="n">
        <v>0</v>
      </c>
      <c r="W254" s="6" t="str">
        <f aca="false">IF($J254="NA","NA",IF(AND($J254&gt;1989,V254&gt;0),"ERRO","OK"))</f>
        <v>NA</v>
      </c>
      <c r="X254" s="6" t="n">
        <f aca="false">(10-(LEN(Y254)))+1</f>
        <v>10</v>
      </c>
      <c r="Y254" s="6" t="n">
        <v>0</v>
      </c>
      <c r="Z254" s="6" t="str">
        <f aca="false">IF($J254="NA","NA",IF(AND($J254&gt;1979,Y254&gt;0),"ERRO","OK"))</f>
        <v>NA</v>
      </c>
      <c r="AA254" s="6" t="n">
        <f aca="false">(10-(LEN(AB254)))+1</f>
        <v>10</v>
      </c>
      <c r="AB254" s="6" t="n">
        <v>0</v>
      </c>
      <c r="AC254" s="6" t="str">
        <f aca="false">IF($J254="NA","NA",IF(AND($J254&gt;1969,AB254&gt;0),"ERRO","OK"))</f>
        <v>NA</v>
      </c>
      <c r="AD254" s="6" t="n">
        <f aca="false">(10-(LEN(AE254)))+1</f>
        <v>10</v>
      </c>
      <c r="AE254" s="6" t="n">
        <v>0</v>
      </c>
      <c r="AF254" s="6" t="str">
        <f aca="false">IF($J254="NA","NA",IF(AND($J254&gt;1959,AE254&gt;0),"ERRO","OK"))</f>
        <v>NA</v>
      </c>
      <c r="AG254" s="6" t="n">
        <f aca="false">(10-(LEN(AH254)))+1</f>
        <v>10</v>
      </c>
      <c r="AH254" s="6" t="n">
        <v>0</v>
      </c>
      <c r="AI254" s="6" t="str">
        <f aca="false">IF($J254="NA","NA",IF(AND($J254&gt;1949,AH254&gt;0),"ERRO","OK"))</f>
        <v>NA</v>
      </c>
      <c r="AJ254" s="6" t="n">
        <f aca="false">(10-(LEN(AK254)))+1</f>
        <v>10</v>
      </c>
      <c r="AK254" s="6" t="n">
        <v>0</v>
      </c>
      <c r="AL254" s="6" t="str">
        <f aca="false">IF($J254="NA","NA",IF(AND($J254&gt;1939,AK254&gt;0),"ERRO","OK"))</f>
        <v>NA</v>
      </c>
      <c r="AM254" s="6" t="n">
        <f aca="false">(10-(LEN(AN254)))+1</f>
        <v>10</v>
      </c>
      <c r="AN254" s="6" t="n">
        <v>0</v>
      </c>
      <c r="AO254" s="6" t="str">
        <f aca="false">IF($J254="NA","NA",IF(AND($J254&gt;1929,AN254&gt;0),"ERRO","OK"))</f>
        <v>NA</v>
      </c>
      <c r="AP254" s="6" t="n">
        <f aca="false">(10-(LEN(AQ254)))+1</f>
        <v>10</v>
      </c>
      <c r="AQ254" s="6" t="n">
        <v>0</v>
      </c>
      <c r="AR254" s="6" t="str">
        <f aca="false">IF($J254="NA","NA",IF(AND($J254&gt;1919,AQ254&gt;0),"ERRO","OK"))</f>
        <v>NA</v>
      </c>
      <c r="AS254" s="6" t="n">
        <f aca="false">(10-(LEN(AT254)))+1</f>
        <v>10</v>
      </c>
      <c r="AT254" s="6" t="n">
        <v>0</v>
      </c>
      <c r="AU254" s="6" t="str">
        <f aca="false">IF($J254="NA","NA",IF(AND($J254&gt;1909,AT254&gt;0),"ERRO","OK"))</f>
        <v>NA</v>
      </c>
      <c r="AV254" s="6" t="n">
        <f aca="false">(10-(LEN(AW254)))+1</f>
        <v>10</v>
      </c>
      <c r="AW254" s="6" t="n">
        <v>0</v>
      </c>
      <c r="AX254" s="6" t="str">
        <f aca="false">IF($J254="NA","NA",IF(AND($J254&gt;1899,AW254&gt;0),"ERRO","OK"))</f>
        <v>NA</v>
      </c>
    </row>
    <row r="255" customFormat="false" ht="15" hidden="false" customHeight="false" outlineLevel="0" collapsed="false">
      <c r="A255" s="7" t="n">
        <v>253</v>
      </c>
      <c r="B255" s="0" t="s">
        <v>272</v>
      </c>
      <c r="C255" s="8" t="n">
        <v>45320</v>
      </c>
      <c r="D255" s="6" t="n">
        <v>0</v>
      </c>
      <c r="E255" s="0" t="s">
        <v>16</v>
      </c>
      <c r="F255" s="0" t="s">
        <v>17</v>
      </c>
      <c r="G255" s="9" t="str">
        <f aca="false">IF(OR(N255="ERRO",Q255="ERRO",T255="ERRO",W255="ERRO",Z255="ERRO",AC255="ERRO",AF255="ERRO",AI255="ERRO",AL255="ERRO",AO255="ERRO",AR255="ERRO",AU255="ERRO",AX255="ERRO"),"ERRO","OK")</f>
        <v>OK</v>
      </c>
      <c r="H255" s="9" t="n">
        <f aca="false">COUNTIF(L255:AX255,"ERRO")</f>
        <v>0</v>
      </c>
      <c r="I255" s="9" t="s">
        <v>18</v>
      </c>
      <c r="J255" s="10" t="s">
        <v>22</v>
      </c>
      <c r="K255" s="10" t="s">
        <v>22</v>
      </c>
      <c r="L255" s="6" t="n">
        <f aca="false">(10-(LEN(M255)))+1</f>
        <v>10</v>
      </c>
      <c r="M255" s="6" t="n">
        <v>0</v>
      </c>
      <c r="N255" s="6" t="str">
        <f aca="false">IF($J255="NA","NA",IF(AND($J255&gt;2019,M255&gt;0),"ERRO","OK"))</f>
        <v>NA</v>
      </c>
      <c r="O255" s="6" t="n">
        <f aca="false">(10-(LEN(P255)))+1</f>
        <v>10</v>
      </c>
      <c r="P255" s="6" t="n">
        <v>0</v>
      </c>
      <c r="Q255" s="6" t="str">
        <f aca="false">IF($J255="NA","NA",IF(AND($J255&gt;2009,P255&gt;0),"ERRO","OK"))</f>
        <v>NA</v>
      </c>
      <c r="R255" s="6" t="n">
        <f aca="false">(10-(LEN(S255)))+1</f>
        <v>10</v>
      </c>
      <c r="S255" s="6" t="n">
        <v>0</v>
      </c>
      <c r="T255" s="6" t="str">
        <f aca="false">IF($J255="NA","NA",IF(AND($J255&gt;1999,S255&gt;0),"ERRO","OK"))</f>
        <v>NA</v>
      </c>
      <c r="U255" s="6" t="n">
        <f aca="false">(10-(LEN(V255)))+1</f>
        <v>10</v>
      </c>
      <c r="V255" s="6" t="n">
        <v>0</v>
      </c>
      <c r="W255" s="6" t="str">
        <f aca="false">IF($J255="NA","NA",IF(AND($J255&gt;1989,V255&gt;0),"ERRO","OK"))</f>
        <v>NA</v>
      </c>
      <c r="X255" s="6" t="n">
        <f aca="false">(10-(LEN(Y255)))+1</f>
        <v>10</v>
      </c>
      <c r="Y255" s="6" t="n">
        <v>0</v>
      </c>
      <c r="Z255" s="6" t="str">
        <f aca="false">IF($J255="NA","NA",IF(AND($J255&gt;1979,Y255&gt;0),"ERRO","OK"))</f>
        <v>NA</v>
      </c>
      <c r="AA255" s="6" t="n">
        <f aca="false">(10-(LEN(AB255)))+1</f>
        <v>10</v>
      </c>
      <c r="AB255" s="6" t="n">
        <v>0</v>
      </c>
      <c r="AC255" s="6" t="str">
        <f aca="false">IF($J255="NA","NA",IF(AND($J255&gt;1969,AB255&gt;0),"ERRO","OK"))</f>
        <v>NA</v>
      </c>
      <c r="AD255" s="6" t="n">
        <f aca="false">(10-(LEN(AE255)))+1</f>
        <v>10</v>
      </c>
      <c r="AE255" s="6" t="n">
        <v>0</v>
      </c>
      <c r="AF255" s="6" t="str">
        <f aca="false">IF($J255="NA","NA",IF(AND($J255&gt;1959,AE255&gt;0),"ERRO","OK"))</f>
        <v>NA</v>
      </c>
      <c r="AG255" s="6" t="n">
        <f aca="false">(10-(LEN(AH255)))+1</f>
        <v>10</v>
      </c>
      <c r="AH255" s="6" t="n">
        <v>0</v>
      </c>
      <c r="AI255" s="6" t="str">
        <f aca="false">IF($J255="NA","NA",IF(AND($J255&gt;1949,AH255&gt;0),"ERRO","OK"))</f>
        <v>NA</v>
      </c>
      <c r="AJ255" s="6" t="n">
        <f aca="false">(10-(LEN(AK255)))+1</f>
        <v>10</v>
      </c>
      <c r="AK255" s="6" t="n">
        <v>0</v>
      </c>
      <c r="AL255" s="6" t="str">
        <f aca="false">IF($J255="NA","NA",IF(AND($J255&gt;1939,AK255&gt;0),"ERRO","OK"))</f>
        <v>NA</v>
      </c>
      <c r="AM255" s="6" t="n">
        <f aca="false">(10-(LEN(AN255)))+1</f>
        <v>10</v>
      </c>
      <c r="AN255" s="6" t="n">
        <v>0</v>
      </c>
      <c r="AO255" s="6" t="str">
        <f aca="false">IF($J255="NA","NA",IF(AND($J255&gt;1929,AN255&gt;0),"ERRO","OK"))</f>
        <v>NA</v>
      </c>
      <c r="AP255" s="6" t="n">
        <f aca="false">(10-(LEN(AQ255)))+1</f>
        <v>10</v>
      </c>
      <c r="AQ255" s="6" t="n">
        <v>0</v>
      </c>
      <c r="AR255" s="6" t="str">
        <f aca="false">IF($J255="NA","NA",IF(AND($J255&gt;1919,AQ255&gt;0),"ERRO","OK"))</f>
        <v>NA</v>
      </c>
      <c r="AS255" s="6" t="n">
        <f aca="false">(10-(LEN(AT255)))+1</f>
        <v>10</v>
      </c>
      <c r="AT255" s="6" t="n">
        <v>0</v>
      </c>
      <c r="AU255" s="6" t="str">
        <f aca="false">IF($J255="NA","NA",IF(AND($J255&gt;1909,AT255&gt;0),"ERRO","OK"))</f>
        <v>NA</v>
      </c>
      <c r="AV255" s="6" t="n">
        <f aca="false">(10-(LEN(AW255)))+1</f>
        <v>10</v>
      </c>
      <c r="AW255" s="6" t="n">
        <v>0</v>
      </c>
      <c r="AX255" s="6" t="str">
        <f aca="false">IF($J255="NA","NA",IF(AND($J255&gt;1899,AW255&gt;0),"ERRO","OK"))</f>
        <v>NA</v>
      </c>
    </row>
    <row r="256" customFormat="false" ht="15" hidden="false" customHeight="false" outlineLevel="0" collapsed="false">
      <c r="A256" s="7" t="n">
        <v>254</v>
      </c>
      <c r="B256" s="0" t="s">
        <v>273</v>
      </c>
      <c r="C256" s="8" t="n">
        <v>45320</v>
      </c>
      <c r="D256" s="6" t="n">
        <v>0</v>
      </c>
      <c r="E256" s="0" t="s">
        <v>16</v>
      </c>
      <c r="F256" s="0" t="s">
        <v>17</v>
      </c>
      <c r="G256" s="9" t="str">
        <f aca="false">IF(OR(N256="ERRO",Q256="ERRO",T256="ERRO",W256="ERRO",Z256="ERRO",AC256="ERRO",AF256="ERRO",AI256="ERRO",AL256="ERRO",AO256="ERRO",AR256="ERRO",AU256="ERRO",AX256="ERRO"),"ERRO","OK")</f>
        <v>OK</v>
      </c>
      <c r="H256" s="9" t="n">
        <f aca="false">COUNTIF(L256:AX256,"ERRO")</f>
        <v>0</v>
      </c>
      <c r="I256" s="9" t="s">
        <v>18</v>
      </c>
      <c r="J256" s="10" t="n">
        <v>1849</v>
      </c>
      <c r="K256" s="10" t="n">
        <v>1915</v>
      </c>
      <c r="L256" s="6" t="n">
        <f aca="false">(10-(LEN(M256)))+1</f>
        <v>10</v>
      </c>
      <c r="M256" s="6" t="n">
        <v>0</v>
      </c>
      <c r="N256" s="6" t="str">
        <f aca="false">IF($J256="NA","NA",IF(AND($J256&gt;2019,M256&gt;0),"ERRO","OK"))</f>
        <v>OK</v>
      </c>
      <c r="O256" s="6" t="n">
        <f aca="false">(10-(LEN(P256)))+1</f>
        <v>10</v>
      </c>
      <c r="P256" s="6" t="n">
        <v>0</v>
      </c>
      <c r="Q256" s="6" t="str">
        <f aca="false">IF($J256="NA","NA",IF(AND($J256&gt;2009,P256&gt;0),"ERRO","OK"))</f>
        <v>OK</v>
      </c>
      <c r="R256" s="6" t="n">
        <f aca="false">(10-(LEN(S256)))+1</f>
        <v>10</v>
      </c>
      <c r="S256" s="6" t="n">
        <v>0</v>
      </c>
      <c r="T256" s="6" t="str">
        <f aca="false">IF($J256="NA","NA",IF(AND($J256&gt;1999,S256&gt;0),"ERRO","OK"))</f>
        <v>OK</v>
      </c>
      <c r="U256" s="6" t="n">
        <f aca="false">(10-(LEN(V256)))+1</f>
        <v>10</v>
      </c>
      <c r="V256" s="6" t="n">
        <v>0</v>
      </c>
      <c r="W256" s="6" t="str">
        <f aca="false">IF($J256="NA","NA",IF(AND($J256&gt;1989,V256&gt;0),"ERRO","OK"))</f>
        <v>OK</v>
      </c>
      <c r="X256" s="6" t="n">
        <f aca="false">(10-(LEN(Y256)))+1</f>
        <v>10</v>
      </c>
      <c r="Y256" s="6" t="n">
        <v>0</v>
      </c>
      <c r="Z256" s="6" t="str">
        <f aca="false">IF($J256="NA","NA",IF(AND($J256&gt;1979,Y256&gt;0),"ERRO","OK"))</f>
        <v>OK</v>
      </c>
      <c r="AA256" s="6" t="n">
        <f aca="false">(10-(LEN(AB256)))+1</f>
        <v>10</v>
      </c>
      <c r="AB256" s="6" t="n">
        <v>0</v>
      </c>
      <c r="AC256" s="6" t="str">
        <f aca="false">IF($J256="NA","NA",IF(AND($J256&gt;1969,AB256&gt;0),"ERRO","OK"))</f>
        <v>OK</v>
      </c>
      <c r="AD256" s="6" t="n">
        <f aca="false">(10-(LEN(AE256)))+1</f>
        <v>10</v>
      </c>
      <c r="AE256" s="6" t="n">
        <v>0</v>
      </c>
      <c r="AF256" s="6" t="str">
        <f aca="false">IF($J256="NA","NA",IF(AND($J256&gt;1959,AE256&gt;0),"ERRO","OK"))</f>
        <v>OK</v>
      </c>
      <c r="AG256" s="6" t="n">
        <f aca="false">(10-(LEN(AH256)))+1</f>
        <v>10</v>
      </c>
      <c r="AH256" s="6" t="n">
        <v>0</v>
      </c>
      <c r="AI256" s="6" t="str">
        <f aca="false">IF($J256="NA","NA",IF(AND($J256&gt;1949,AH256&gt;0),"ERRO","OK"))</f>
        <v>OK</v>
      </c>
      <c r="AJ256" s="6" t="n">
        <f aca="false">(10-(LEN(AK256)))+1</f>
        <v>10</v>
      </c>
      <c r="AK256" s="6" t="n">
        <v>0</v>
      </c>
      <c r="AL256" s="6" t="str">
        <f aca="false">IF($J256="NA","NA",IF(AND($J256&gt;1939,AK256&gt;0),"ERRO","OK"))</f>
        <v>OK</v>
      </c>
      <c r="AM256" s="6" t="n">
        <f aca="false">(10-(LEN(AN256)))+1</f>
        <v>10</v>
      </c>
      <c r="AN256" s="6" t="n">
        <v>0</v>
      </c>
      <c r="AO256" s="6" t="str">
        <f aca="false">IF($J256="NA","NA",IF(AND($J256&gt;1929,AN256&gt;0),"ERRO","OK"))</f>
        <v>OK</v>
      </c>
      <c r="AP256" s="6" t="n">
        <f aca="false">(10-(LEN(AQ256)))+1</f>
        <v>10</v>
      </c>
      <c r="AQ256" s="6" t="n">
        <v>0</v>
      </c>
      <c r="AR256" s="6" t="str">
        <f aca="false">IF($J256="NA","NA",IF(AND($J256&gt;1919,AQ256&gt;0),"ERRO","OK"))</f>
        <v>OK</v>
      </c>
      <c r="AS256" s="6" t="n">
        <f aca="false">(10-(LEN(AT256)))+1</f>
        <v>10</v>
      </c>
      <c r="AT256" s="6" t="n">
        <v>0</v>
      </c>
      <c r="AU256" s="6" t="str">
        <f aca="false">IF($J256="NA","NA",IF(AND($J256&gt;1909,AT256&gt;0),"ERRO","OK"))</f>
        <v>OK</v>
      </c>
      <c r="AV256" s="6" t="n">
        <f aca="false">(10-(LEN(AW256)))+1</f>
        <v>10</v>
      </c>
      <c r="AW256" s="6" t="n">
        <v>0</v>
      </c>
      <c r="AX256" s="6" t="str">
        <f aca="false">IF($J256="NA","NA",IF(AND($J256&gt;1899,AW256&gt;0),"ERRO","OK"))</f>
        <v>OK</v>
      </c>
    </row>
    <row r="257" customFormat="false" ht="15" hidden="false" customHeight="false" outlineLevel="0" collapsed="false">
      <c r="A257" s="7" t="n">
        <v>255</v>
      </c>
      <c r="B257" s="0" t="s">
        <v>274</v>
      </c>
      <c r="C257" s="8" t="n">
        <v>45320</v>
      </c>
      <c r="D257" s="6" t="n">
        <v>0</v>
      </c>
      <c r="E257" s="0" t="s">
        <v>16</v>
      </c>
      <c r="F257" s="0" t="s">
        <v>17</v>
      </c>
      <c r="G257" s="9" t="str">
        <f aca="false">IF(OR(N257="ERRO",Q257="ERRO",T257="ERRO",W257="ERRO",Z257="ERRO",AC257="ERRO",AF257="ERRO",AI257="ERRO",AL257="ERRO",AO257="ERRO",AR257="ERRO",AU257="ERRO",AX257="ERRO"),"ERRO","OK")</f>
        <v>OK</v>
      </c>
      <c r="H257" s="9" t="n">
        <f aca="false">COUNTIF(L257:AX257,"ERRO")</f>
        <v>0</v>
      </c>
      <c r="I257" s="9" t="s">
        <v>18</v>
      </c>
      <c r="J257" s="10" t="n">
        <v>1884</v>
      </c>
      <c r="K257" s="10" t="n">
        <v>1936</v>
      </c>
      <c r="L257" s="6" t="n">
        <f aca="false">(10-(LEN(M257)))+1</f>
        <v>7</v>
      </c>
      <c r="M257" s="6" t="n">
        <v>1791</v>
      </c>
      <c r="N257" s="6" t="str">
        <f aca="false">IF($J257="NA","NA",IF(AND($J257&gt;2019,M257&gt;0),"ERRO","OK"))</f>
        <v>OK</v>
      </c>
      <c r="O257" s="6" t="n">
        <f aca="false">(10-(LEN(P257)))+1</f>
        <v>7</v>
      </c>
      <c r="P257" s="6" t="n">
        <v>1749</v>
      </c>
      <c r="Q257" s="6" t="str">
        <f aca="false">IF($J257="NA","NA",IF(AND($J257&gt;2009,P257&gt;0),"ERRO","OK"))</f>
        <v>OK</v>
      </c>
      <c r="R257" s="6" t="n">
        <f aca="false">(10-(LEN(S257)))+1</f>
        <v>7</v>
      </c>
      <c r="S257" s="6" t="n">
        <v>1513</v>
      </c>
      <c r="T257" s="6" t="str">
        <f aca="false">IF($J257="NA","NA",IF(AND($J257&gt;1999,S257&gt;0),"ERRO","OK"))</f>
        <v>OK</v>
      </c>
      <c r="U257" s="6" t="n">
        <f aca="false">(10-(LEN(V257)))+1</f>
        <v>7</v>
      </c>
      <c r="V257" s="6" t="n">
        <v>1380</v>
      </c>
      <c r="W257" s="6" t="str">
        <f aca="false">IF($J257="NA","NA",IF(AND($J257&gt;1989,V257&gt;0),"ERRO","OK"))</f>
        <v>OK</v>
      </c>
      <c r="X257" s="6" t="n">
        <f aca="false">(10-(LEN(Y257)))+1</f>
        <v>7</v>
      </c>
      <c r="Y257" s="6" t="n">
        <v>1391</v>
      </c>
      <c r="Z257" s="6" t="str">
        <f aca="false">IF($J257="NA","NA",IF(AND($J257&gt;1979,Y257&gt;0),"ERRO","OK"))</f>
        <v>OK</v>
      </c>
      <c r="AA257" s="6" t="n">
        <f aca="false">(10-(LEN(AB257)))+1</f>
        <v>7</v>
      </c>
      <c r="AB257" s="6" t="n">
        <v>3692</v>
      </c>
      <c r="AC257" s="6" t="str">
        <f aca="false">IF($J257="NA","NA",IF(AND($J257&gt;1969,AB257&gt;0),"ERRO","OK"))</f>
        <v>OK</v>
      </c>
      <c r="AD257" s="6" t="n">
        <f aca="false">(10-(LEN(AE257)))+1</f>
        <v>8</v>
      </c>
      <c r="AE257" s="6" t="n">
        <v>897</v>
      </c>
      <c r="AF257" s="6" t="str">
        <f aca="false">IF($J257="NA","NA",IF(AND($J257&gt;1959,AE257&gt;0),"ERRO","OK"))</f>
        <v>OK</v>
      </c>
      <c r="AG257" s="6" t="n">
        <f aca="false">(10-(LEN(AH257)))+1</f>
        <v>8</v>
      </c>
      <c r="AH257" s="6" t="n">
        <v>661</v>
      </c>
      <c r="AI257" s="6" t="str">
        <f aca="false">IF($J257="NA","NA",IF(AND($J257&gt;1949,AH257&gt;0),"ERRO","OK"))</f>
        <v>OK</v>
      </c>
      <c r="AJ257" s="6" t="n">
        <f aca="false">(10-(LEN(AK257)))+1</f>
        <v>8</v>
      </c>
      <c r="AK257" s="6" t="n">
        <v>557</v>
      </c>
      <c r="AL257" s="6" t="str">
        <f aca="false">IF($J257="NA","NA",IF(AND($J257&gt;1939,AK257&gt;0),"ERRO","OK"))</f>
        <v>OK</v>
      </c>
      <c r="AM257" s="6" t="n">
        <f aca="false">(10-(LEN(AN257)))+1</f>
        <v>7</v>
      </c>
      <c r="AN257" s="6" t="n">
        <v>1980</v>
      </c>
      <c r="AO257" s="6" t="str">
        <f aca="false">IF($J257="NA","NA",IF(AND($J257&gt;1929,AN257&gt;0),"ERRO","OK"))</f>
        <v>OK</v>
      </c>
      <c r="AP257" s="6" t="n">
        <f aca="false">(10-(LEN(AQ257)))+1</f>
        <v>8</v>
      </c>
      <c r="AQ257" s="6" t="n">
        <v>200</v>
      </c>
      <c r="AR257" s="6" t="str">
        <f aca="false">IF($J257="NA","NA",IF(AND($J257&gt;1919,AQ257&gt;0),"ERRO","OK"))</f>
        <v>OK</v>
      </c>
      <c r="AS257" s="6" t="n">
        <f aca="false">(10-(LEN(AT257)))+1</f>
        <v>7</v>
      </c>
      <c r="AT257" s="6" t="n">
        <v>1650</v>
      </c>
      <c r="AU257" s="6" t="str">
        <f aca="false">IF($J257="NA","NA",IF(AND($J257&gt;1909,AT257&gt;0),"ERRO","OK"))</f>
        <v>OK</v>
      </c>
      <c r="AV257" s="6" t="n">
        <f aca="false">(10-(LEN(AW257)))+1</f>
        <v>7</v>
      </c>
      <c r="AW257" s="6" t="n">
        <v>9545</v>
      </c>
      <c r="AX257" s="6" t="str">
        <f aca="false">IF($J257="NA","NA",IF(AND($J257&gt;1899,AW257&gt;0),"ERRO","OK"))</f>
        <v>OK</v>
      </c>
    </row>
    <row r="258" customFormat="false" ht="15" hidden="false" customHeight="false" outlineLevel="0" collapsed="false">
      <c r="A258" s="7" t="n">
        <v>256</v>
      </c>
      <c r="B258" s="0" t="s">
        <v>275</v>
      </c>
      <c r="C258" s="8" t="n">
        <v>45320</v>
      </c>
      <c r="D258" s="6" t="n">
        <v>0</v>
      </c>
      <c r="E258" s="0" t="s">
        <v>16</v>
      </c>
      <c r="F258" s="0" t="s">
        <v>17</v>
      </c>
      <c r="G258" s="9" t="str">
        <f aca="false">IF(OR(N258="ERRO",Q258="ERRO",T258="ERRO",W258="ERRO",Z258="ERRO",AC258="ERRO",AF258="ERRO",AI258="ERRO",AL258="ERRO",AO258="ERRO",AR258="ERRO",AU258="ERRO",AX258="ERRO"),"ERRO","OK")</f>
        <v>OK</v>
      </c>
      <c r="H258" s="9" t="n">
        <f aca="false">COUNTIF(L258:AX258,"ERRO")</f>
        <v>0</v>
      </c>
      <c r="I258" s="9" t="s">
        <v>18</v>
      </c>
      <c r="J258" s="10" t="n">
        <v>1886</v>
      </c>
      <c r="K258" s="10" t="n">
        <v>1943</v>
      </c>
      <c r="L258" s="6" t="n">
        <f aca="false">(10-(LEN(M258)))+1</f>
        <v>10</v>
      </c>
      <c r="M258" s="6" t="n">
        <v>0</v>
      </c>
      <c r="N258" s="6" t="str">
        <f aca="false">IF($J258="NA","NA",IF(AND($J258&gt;2019,M258&gt;0),"ERRO","OK"))</f>
        <v>OK</v>
      </c>
      <c r="O258" s="6" t="n">
        <f aca="false">(10-(LEN(P258)))+1</f>
        <v>8</v>
      </c>
      <c r="P258" s="6" t="n">
        <v>172</v>
      </c>
      <c r="Q258" s="6" t="str">
        <f aca="false">IF($J258="NA","NA",IF(AND($J258&gt;2009,P258&gt;0),"ERRO","OK"))</f>
        <v>OK</v>
      </c>
      <c r="R258" s="6" t="n">
        <f aca="false">(10-(LEN(S258)))+1</f>
        <v>8</v>
      </c>
      <c r="S258" s="6" t="n">
        <v>378</v>
      </c>
      <c r="T258" s="6" t="str">
        <f aca="false">IF($J258="NA","NA",IF(AND($J258&gt;1999,S258&gt;0),"ERRO","OK"))</f>
        <v>OK</v>
      </c>
      <c r="U258" s="6" t="n">
        <f aca="false">(10-(LEN(V258)))+1</f>
        <v>9</v>
      </c>
      <c r="V258" s="6" t="n">
        <v>46</v>
      </c>
      <c r="W258" s="6" t="str">
        <f aca="false">IF($J258="NA","NA",IF(AND($J258&gt;1989,V258&gt;0),"ERRO","OK"))</f>
        <v>OK</v>
      </c>
      <c r="X258" s="6" t="n">
        <f aca="false">(10-(LEN(Y258)))+1</f>
        <v>10</v>
      </c>
      <c r="Y258" s="6" t="n">
        <v>0</v>
      </c>
      <c r="Z258" s="6" t="str">
        <f aca="false">IF($J258="NA","NA",IF(AND($J258&gt;1979,Y258&gt;0),"ERRO","OK"))</f>
        <v>OK</v>
      </c>
      <c r="AA258" s="6" t="n">
        <f aca="false">(10-(LEN(AB258)))+1</f>
        <v>8</v>
      </c>
      <c r="AB258" s="6" t="n">
        <v>293</v>
      </c>
      <c r="AC258" s="6" t="str">
        <f aca="false">IF($J258="NA","NA",IF(AND($J258&gt;1969,AB258&gt;0),"ERRO","OK"))</f>
        <v>OK</v>
      </c>
      <c r="AD258" s="6" t="n">
        <f aca="false">(10-(LEN(AE258)))+1</f>
        <v>8</v>
      </c>
      <c r="AE258" s="6" t="n">
        <v>718</v>
      </c>
      <c r="AF258" s="6" t="str">
        <f aca="false">IF($J258="NA","NA",IF(AND($J258&gt;1959,AE258&gt;0),"ERRO","OK"))</f>
        <v>OK</v>
      </c>
      <c r="AG258" s="6" t="n">
        <f aca="false">(10-(LEN(AH258)))+1</f>
        <v>7</v>
      </c>
      <c r="AH258" s="6" t="n">
        <v>1101</v>
      </c>
      <c r="AI258" s="6" t="str">
        <f aca="false">IF($J258="NA","NA",IF(AND($J258&gt;1949,AH258&gt;0),"ERRO","OK"))</f>
        <v>OK</v>
      </c>
      <c r="AJ258" s="6" t="n">
        <f aca="false">(10-(LEN(AK258)))+1</f>
        <v>10</v>
      </c>
      <c r="AK258" s="6" t="n">
        <v>0</v>
      </c>
      <c r="AL258" s="6" t="str">
        <f aca="false">IF($J258="NA","NA",IF(AND($J258&gt;1939,AK258&gt;0),"ERRO","OK"))</f>
        <v>OK</v>
      </c>
      <c r="AM258" s="6" t="n">
        <f aca="false">(10-(LEN(AN258)))+1</f>
        <v>8</v>
      </c>
      <c r="AN258" s="6" t="n">
        <v>305</v>
      </c>
      <c r="AO258" s="6" t="str">
        <f aca="false">IF($J258="NA","NA",IF(AND($J258&gt;1929,AN258&gt;0),"ERRO","OK"))</f>
        <v>OK</v>
      </c>
      <c r="AP258" s="6" t="n">
        <f aca="false">(10-(LEN(AQ258)))+1</f>
        <v>10</v>
      </c>
      <c r="AQ258" s="6" t="n">
        <v>0</v>
      </c>
      <c r="AR258" s="6" t="str">
        <f aca="false">IF($J258="NA","NA",IF(AND($J258&gt;1919,AQ258&gt;0),"ERRO","OK"))</f>
        <v>OK</v>
      </c>
      <c r="AS258" s="6" t="n">
        <f aca="false">(10-(LEN(AT258)))+1</f>
        <v>10</v>
      </c>
      <c r="AT258" s="6" t="n">
        <v>0</v>
      </c>
      <c r="AU258" s="6" t="str">
        <f aca="false">IF($J258="NA","NA",IF(AND($J258&gt;1909,AT258&gt;0),"ERRO","OK"))</f>
        <v>OK</v>
      </c>
      <c r="AV258" s="6" t="n">
        <f aca="false">(10-(LEN(AW258)))+1</f>
        <v>10</v>
      </c>
      <c r="AW258" s="6" t="n">
        <v>0</v>
      </c>
      <c r="AX258" s="6" t="str">
        <f aca="false">IF($J258="NA","NA",IF(AND($J258&gt;1899,AW258&gt;0),"ERRO","OK"))</f>
        <v>OK</v>
      </c>
    </row>
    <row r="259" customFormat="false" ht="15" hidden="false" customHeight="false" outlineLevel="0" collapsed="false">
      <c r="A259" s="7" t="n">
        <v>257</v>
      </c>
      <c r="B259" s="0" t="s">
        <v>276</v>
      </c>
      <c r="C259" s="8" t="n">
        <v>45320</v>
      </c>
      <c r="D259" s="6" t="n">
        <v>0</v>
      </c>
      <c r="E259" s="0" t="s">
        <v>16</v>
      </c>
      <c r="F259" s="0" t="s">
        <v>17</v>
      </c>
      <c r="G259" s="9" t="str">
        <f aca="false">IF(OR(N259="ERRO",Q259="ERRO",T259="ERRO",W259="ERRO",Z259="ERRO",AC259="ERRO",AF259="ERRO",AI259="ERRO",AL259="ERRO",AO259="ERRO",AR259="ERRO",AU259="ERRO",AX259="ERRO"),"ERRO","OK")</f>
        <v>OK</v>
      </c>
      <c r="H259" s="9" t="n">
        <f aca="false">COUNTIF(L259:AX259,"ERRO")</f>
        <v>0</v>
      </c>
      <c r="I259" s="9" t="s">
        <v>18</v>
      </c>
      <c r="J259" s="10" t="s">
        <v>22</v>
      </c>
      <c r="K259" s="10" t="s">
        <v>22</v>
      </c>
      <c r="L259" s="6" t="n">
        <f aca="false">(10-(LEN(M259)))+1</f>
        <v>10</v>
      </c>
      <c r="M259" s="6" t="n">
        <v>0</v>
      </c>
      <c r="N259" s="6" t="str">
        <f aca="false">IF($J259="NA","NA",IF(AND($J259&gt;2019,M259&gt;0),"ERRO","OK"))</f>
        <v>NA</v>
      </c>
      <c r="O259" s="6" t="n">
        <f aca="false">(10-(LEN(P259)))+1</f>
        <v>10</v>
      </c>
      <c r="P259" s="6" t="n">
        <v>0</v>
      </c>
      <c r="Q259" s="6" t="str">
        <f aca="false">IF($J259="NA","NA",IF(AND($J259&gt;2009,P259&gt;0),"ERRO","OK"))</f>
        <v>NA</v>
      </c>
      <c r="R259" s="6" t="n">
        <f aca="false">(10-(LEN(S259)))+1</f>
        <v>10</v>
      </c>
      <c r="S259" s="6" t="n">
        <v>0</v>
      </c>
      <c r="T259" s="6" t="str">
        <f aca="false">IF($J259="NA","NA",IF(AND($J259&gt;1999,S259&gt;0),"ERRO","OK"))</f>
        <v>NA</v>
      </c>
      <c r="U259" s="6" t="n">
        <f aca="false">(10-(LEN(V259)))+1</f>
        <v>10</v>
      </c>
      <c r="V259" s="6" t="n">
        <v>0</v>
      </c>
      <c r="W259" s="6" t="str">
        <f aca="false">IF($J259="NA","NA",IF(AND($J259&gt;1989,V259&gt;0),"ERRO","OK"))</f>
        <v>NA</v>
      </c>
      <c r="X259" s="6" t="n">
        <f aca="false">(10-(LEN(Y259)))+1</f>
        <v>10</v>
      </c>
      <c r="Y259" s="6" t="n">
        <v>0</v>
      </c>
      <c r="Z259" s="6" t="str">
        <f aca="false">IF($J259="NA","NA",IF(AND($J259&gt;1979,Y259&gt;0),"ERRO","OK"))</f>
        <v>NA</v>
      </c>
      <c r="AA259" s="6" t="n">
        <f aca="false">(10-(LEN(AB259)))+1</f>
        <v>10</v>
      </c>
      <c r="AB259" s="6" t="n">
        <v>0</v>
      </c>
      <c r="AC259" s="6" t="str">
        <f aca="false">IF($J259="NA","NA",IF(AND($J259&gt;1969,AB259&gt;0),"ERRO","OK"))</f>
        <v>NA</v>
      </c>
      <c r="AD259" s="6" t="n">
        <f aca="false">(10-(LEN(AE259)))+1</f>
        <v>10</v>
      </c>
      <c r="AE259" s="6" t="n">
        <v>0</v>
      </c>
      <c r="AF259" s="6" t="str">
        <f aca="false">IF($J259="NA","NA",IF(AND($J259&gt;1959,AE259&gt;0),"ERRO","OK"))</f>
        <v>NA</v>
      </c>
      <c r="AG259" s="6" t="n">
        <f aca="false">(10-(LEN(AH259)))+1</f>
        <v>10</v>
      </c>
      <c r="AH259" s="6" t="n">
        <v>0</v>
      </c>
      <c r="AI259" s="6" t="str">
        <f aca="false">IF($J259="NA","NA",IF(AND($J259&gt;1949,AH259&gt;0),"ERRO","OK"))</f>
        <v>NA</v>
      </c>
      <c r="AJ259" s="6" t="n">
        <f aca="false">(10-(LEN(AK259)))+1</f>
        <v>10</v>
      </c>
      <c r="AK259" s="6" t="n">
        <v>0</v>
      </c>
      <c r="AL259" s="6" t="str">
        <f aca="false">IF($J259="NA","NA",IF(AND($J259&gt;1939,AK259&gt;0),"ERRO","OK"))</f>
        <v>NA</v>
      </c>
      <c r="AM259" s="6" t="n">
        <f aca="false">(10-(LEN(AN259)))+1</f>
        <v>10</v>
      </c>
      <c r="AN259" s="6" t="n">
        <v>0</v>
      </c>
      <c r="AO259" s="6" t="str">
        <f aca="false">IF($J259="NA","NA",IF(AND($J259&gt;1929,AN259&gt;0),"ERRO","OK"))</f>
        <v>NA</v>
      </c>
      <c r="AP259" s="6" t="n">
        <f aca="false">(10-(LEN(AQ259)))+1</f>
        <v>10</v>
      </c>
      <c r="AQ259" s="6" t="n">
        <v>0</v>
      </c>
      <c r="AR259" s="6" t="str">
        <f aca="false">IF($J259="NA","NA",IF(AND($J259&gt;1919,AQ259&gt;0),"ERRO","OK"))</f>
        <v>NA</v>
      </c>
      <c r="AS259" s="6" t="n">
        <f aca="false">(10-(LEN(AT259)))+1</f>
        <v>10</v>
      </c>
      <c r="AT259" s="6" t="n">
        <v>0</v>
      </c>
      <c r="AU259" s="6" t="str">
        <f aca="false">IF($J259="NA","NA",IF(AND($J259&gt;1909,AT259&gt;0),"ERRO","OK"))</f>
        <v>NA</v>
      </c>
      <c r="AV259" s="6" t="n">
        <f aca="false">(10-(LEN(AW259)))+1</f>
        <v>10</v>
      </c>
      <c r="AW259" s="6" t="n">
        <v>0</v>
      </c>
      <c r="AX259" s="6" t="str">
        <f aca="false">IF($J259="NA","NA",IF(AND($J259&gt;1899,AW259&gt;0),"ERRO","OK"))</f>
        <v>NA</v>
      </c>
    </row>
    <row r="260" customFormat="false" ht="15" hidden="false" customHeight="false" outlineLevel="0" collapsed="false">
      <c r="A260" s="7" t="n">
        <v>258</v>
      </c>
      <c r="B260" s="0" t="s">
        <v>277</v>
      </c>
      <c r="C260" s="8" t="n">
        <v>45320</v>
      </c>
      <c r="D260" s="6" t="n">
        <v>0</v>
      </c>
      <c r="E260" s="0" t="s">
        <v>16</v>
      </c>
      <c r="F260" s="0" t="s">
        <v>17</v>
      </c>
      <c r="G260" s="9" t="str">
        <f aca="false">IF(OR(N260="ERRO",Q260="ERRO",T260="ERRO",W260="ERRO",Z260="ERRO",AC260="ERRO",AF260="ERRO",AI260="ERRO",AL260="ERRO",AO260="ERRO",AR260="ERRO",AU260="ERRO",AX260="ERRO"),"ERRO","OK")</f>
        <v>OK</v>
      </c>
      <c r="H260" s="9" t="n">
        <f aca="false">COUNTIF(L260:AX260,"ERRO")</f>
        <v>0</v>
      </c>
      <c r="I260" s="9" t="s">
        <v>18</v>
      </c>
      <c r="J260" s="10" t="s">
        <v>22</v>
      </c>
      <c r="K260" s="10" t="s">
        <v>22</v>
      </c>
      <c r="L260" s="6" t="n">
        <f aca="false">(10-(LEN(M260)))+1</f>
        <v>10</v>
      </c>
      <c r="M260" s="6" t="n">
        <v>0</v>
      </c>
      <c r="N260" s="6" t="str">
        <f aca="false">IF($J260="NA","NA",IF(AND($J260&gt;2019,M260&gt;0),"ERRO","OK"))</f>
        <v>NA</v>
      </c>
      <c r="O260" s="6" t="n">
        <f aca="false">(10-(LEN(P260)))+1</f>
        <v>10</v>
      </c>
      <c r="P260" s="6" t="n">
        <v>0</v>
      </c>
      <c r="Q260" s="6" t="str">
        <f aca="false">IF($J260="NA","NA",IF(AND($J260&gt;2009,P260&gt;0),"ERRO","OK"))</f>
        <v>NA</v>
      </c>
      <c r="R260" s="6" t="n">
        <f aca="false">(10-(LEN(S260)))+1</f>
        <v>10</v>
      </c>
      <c r="S260" s="6" t="n">
        <v>0</v>
      </c>
      <c r="T260" s="6" t="str">
        <f aca="false">IF($J260="NA","NA",IF(AND($J260&gt;1999,S260&gt;0),"ERRO","OK"))</f>
        <v>NA</v>
      </c>
      <c r="U260" s="6" t="n">
        <f aca="false">(10-(LEN(V260)))+1</f>
        <v>10</v>
      </c>
      <c r="V260" s="6" t="n">
        <v>0</v>
      </c>
      <c r="W260" s="6" t="str">
        <f aca="false">IF($J260="NA","NA",IF(AND($J260&gt;1989,V260&gt;0),"ERRO","OK"))</f>
        <v>NA</v>
      </c>
      <c r="X260" s="6" t="n">
        <f aca="false">(10-(LEN(Y260)))+1</f>
        <v>10</v>
      </c>
      <c r="Y260" s="6" t="n">
        <v>0</v>
      </c>
      <c r="Z260" s="6" t="str">
        <f aca="false">IF($J260="NA","NA",IF(AND($J260&gt;1979,Y260&gt;0),"ERRO","OK"))</f>
        <v>NA</v>
      </c>
      <c r="AA260" s="6" t="n">
        <f aca="false">(10-(LEN(AB260)))+1</f>
        <v>10</v>
      </c>
      <c r="AB260" s="6" t="n">
        <v>0</v>
      </c>
      <c r="AC260" s="6" t="str">
        <f aca="false">IF($J260="NA","NA",IF(AND($J260&gt;1969,AB260&gt;0),"ERRO","OK"))</f>
        <v>NA</v>
      </c>
      <c r="AD260" s="6" t="n">
        <f aca="false">(10-(LEN(AE260)))+1</f>
        <v>10</v>
      </c>
      <c r="AE260" s="6" t="n">
        <v>0</v>
      </c>
      <c r="AF260" s="6" t="str">
        <f aca="false">IF($J260="NA","NA",IF(AND($J260&gt;1959,AE260&gt;0),"ERRO","OK"))</f>
        <v>NA</v>
      </c>
      <c r="AG260" s="6" t="n">
        <f aca="false">(10-(LEN(AH260)))+1</f>
        <v>10</v>
      </c>
      <c r="AH260" s="6" t="n">
        <v>0</v>
      </c>
      <c r="AI260" s="6" t="str">
        <f aca="false">IF($J260="NA","NA",IF(AND($J260&gt;1949,AH260&gt;0),"ERRO","OK"))</f>
        <v>NA</v>
      </c>
      <c r="AJ260" s="6" t="n">
        <f aca="false">(10-(LEN(AK260)))+1</f>
        <v>10</v>
      </c>
      <c r="AK260" s="6" t="n">
        <v>0</v>
      </c>
      <c r="AL260" s="6" t="str">
        <f aca="false">IF($J260="NA","NA",IF(AND($J260&gt;1939,AK260&gt;0),"ERRO","OK"))</f>
        <v>NA</v>
      </c>
      <c r="AM260" s="6" t="n">
        <f aca="false">(10-(LEN(AN260)))+1</f>
        <v>10</v>
      </c>
      <c r="AN260" s="6" t="n">
        <v>0</v>
      </c>
      <c r="AO260" s="6" t="str">
        <f aca="false">IF($J260="NA","NA",IF(AND($J260&gt;1929,AN260&gt;0),"ERRO","OK"))</f>
        <v>NA</v>
      </c>
      <c r="AP260" s="6" t="n">
        <f aca="false">(10-(LEN(AQ260)))+1</f>
        <v>10</v>
      </c>
      <c r="AQ260" s="6" t="n">
        <v>0</v>
      </c>
      <c r="AR260" s="6" t="str">
        <f aca="false">IF($J260="NA","NA",IF(AND($J260&gt;1919,AQ260&gt;0),"ERRO","OK"))</f>
        <v>NA</v>
      </c>
      <c r="AS260" s="6" t="n">
        <f aca="false">(10-(LEN(AT260)))+1</f>
        <v>10</v>
      </c>
      <c r="AT260" s="6" t="n">
        <v>0</v>
      </c>
      <c r="AU260" s="6" t="str">
        <f aca="false">IF($J260="NA","NA",IF(AND($J260&gt;1909,AT260&gt;0),"ERRO","OK"))</f>
        <v>NA</v>
      </c>
      <c r="AV260" s="6" t="n">
        <f aca="false">(10-(LEN(AW260)))+1</f>
        <v>10</v>
      </c>
      <c r="AW260" s="6" t="n">
        <v>0</v>
      </c>
      <c r="AX260" s="6" t="str">
        <f aca="false">IF($J260="NA","NA",IF(AND($J260&gt;1899,AW260&gt;0),"ERRO","OK"))</f>
        <v>NA</v>
      </c>
    </row>
    <row r="261" customFormat="false" ht="15" hidden="false" customHeight="false" outlineLevel="0" collapsed="false">
      <c r="A261" s="7" t="n">
        <v>259</v>
      </c>
      <c r="B261" s="0" t="s">
        <v>278</v>
      </c>
      <c r="C261" s="8" t="n">
        <v>45320</v>
      </c>
      <c r="D261" s="6" t="n">
        <v>0</v>
      </c>
      <c r="E261" s="0" t="s">
        <v>16</v>
      </c>
      <c r="F261" s="0" t="s">
        <v>17</v>
      </c>
      <c r="G261" s="9" t="str">
        <f aca="false">IF(OR(N261="ERRO",Q261="ERRO",T261="ERRO",W261="ERRO",Z261="ERRO",AC261="ERRO",AF261="ERRO",AI261="ERRO",AL261="ERRO",AO261="ERRO",AR261="ERRO",AU261="ERRO",AX261="ERRO"),"ERRO","OK")</f>
        <v>OK</v>
      </c>
      <c r="H261" s="9" t="n">
        <f aca="false">COUNTIF(L261:AX261,"ERRO")</f>
        <v>0</v>
      </c>
      <c r="I261" s="9" t="s">
        <v>18</v>
      </c>
      <c r="J261" s="10" t="s">
        <v>22</v>
      </c>
      <c r="K261" s="10" t="s">
        <v>22</v>
      </c>
      <c r="L261" s="6" t="n">
        <f aca="false">(10-(LEN(M261)))+1</f>
        <v>8</v>
      </c>
      <c r="M261" s="6" t="n">
        <v>333</v>
      </c>
      <c r="N261" s="6" t="str">
        <f aca="false">IF($J261="NA","NA",IF(AND($J261&gt;2019,M261&gt;0),"ERRO","OK"))</f>
        <v>NA</v>
      </c>
      <c r="O261" s="6" t="n">
        <f aca="false">(10-(LEN(P261)))+1</f>
        <v>9</v>
      </c>
      <c r="P261" s="6" t="n">
        <v>69</v>
      </c>
      <c r="Q261" s="6" t="str">
        <f aca="false">IF($J261="NA","NA",IF(AND($J261&gt;2009,P261&gt;0),"ERRO","OK"))</f>
        <v>NA</v>
      </c>
      <c r="R261" s="6" t="n">
        <f aca="false">(10-(LEN(S261)))+1</f>
        <v>8</v>
      </c>
      <c r="S261" s="6" t="n">
        <v>210</v>
      </c>
      <c r="T261" s="6" t="str">
        <f aca="false">IF($J261="NA","NA",IF(AND($J261&gt;1999,S261&gt;0),"ERRO","OK"))</f>
        <v>NA</v>
      </c>
      <c r="U261" s="6" t="n">
        <f aca="false">(10-(LEN(V261)))+1</f>
        <v>9</v>
      </c>
      <c r="V261" s="6" t="n">
        <v>92</v>
      </c>
      <c r="W261" s="6" t="str">
        <f aca="false">IF($J261="NA","NA",IF(AND($J261&gt;1989,V261&gt;0),"ERRO","OK"))</f>
        <v>NA</v>
      </c>
      <c r="X261" s="6" t="n">
        <f aca="false">(10-(LEN(Y261)))+1</f>
        <v>10</v>
      </c>
      <c r="Y261" s="6" t="n">
        <v>0</v>
      </c>
      <c r="Z261" s="6" t="str">
        <f aca="false">IF($J261="NA","NA",IF(AND($J261&gt;1979,Y261&gt;0),"ERRO","OK"))</f>
        <v>NA</v>
      </c>
      <c r="AA261" s="6" t="n">
        <f aca="false">(10-(LEN(AB261)))+1</f>
        <v>9</v>
      </c>
      <c r="AB261" s="6" t="n">
        <v>59</v>
      </c>
      <c r="AC261" s="6" t="str">
        <f aca="false">IF($J261="NA","NA",IF(AND($J261&gt;1969,AB261&gt;0),"ERRO","OK"))</f>
        <v>NA</v>
      </c>
      <c r="AD261" s="6" t="n">
        <f aca="false">(10-(LEN(AE261)))+1</f>
        <v>9</v>
      </c>
      <c r="AE261" s="6" t="n">
        <v>90</v>
      </c>
      <c r="AF261" s="6" t="str">
        <f aca="false">IF($J261="NA","NA",IF(AND($J261&gt;1959,AE261&gt;0),"ERRO","OK"))</f>
        <v>NA</v>
      </c>
      <c r="AG261" s="6" t="n">
        <f aca="false">(10-(LEN(AH261)))+1</f>
        <v>8</v>
      </c>
      <c r="AH261" s="6" t="n">
        <v>110</v>
      </c>
      <c r="AI261" s="6" t="str">
        <f aca="false">IF($J261="NA","NA",IF(AND($J261&gt;1949,AH261&gt;0),"ERRO","OK"))</f>
        <v>NA</v>
      </c>
      <c r="AJ261" s="6" t="n">
        <f aca="false">(10-(LEN(AK261)))+1</f>
        <v>8</v>
      </c>
      <c r="AK261" s="6" t="n">
        <v>139</v>
      </c>
      <c r="AL261" s="6" t="str">
        <f aca="false">IF($J261="NA","NA",IF(AND($J261&gt;1939,AK261&gt;0),"ERRO","OK"))</f>
        <v>NA</v>
      </c>
      <c r="AM261" s="6" t="n">
        <f aca="false">(10-(LEN(AN261)))+1</f>
        <v>8</v>
      </c>
      <c r="AN261" s="6" t="n">
        <v>762</v>
      </c>
      <c r="AO261" s="6" t="str">
        <f aca="false">IF($J261="NA","NA",IF(AND($J261&gt;1929,AN261&gt;0),"ERRO","OK"))</f>
        <v>NA</v>
      </c>
      <c r="AP261" s="6" t="n">
        <f aca="false">(10-(LEN(AQ261)))+1</f>
        <v>8</v>
      </c>
      <c r="AQ261" s="6" t="n">
        <v>300</v>
      </c>
      <c r="AR261" s="6" t="str">
        <f aca="false">IF($J261="NA","NA",IF(AND($J261&gt;1919,AQ261&gt;0),"ERRO","OK"))</f>
        <v>NA</v>
      </c>
      <c r="AS261" s="6" t="n">
        <f aca="false">(10-(LEN(AT261)))+1</f>
        <v>8</v>
      </c>
      <c r="AT261" s="6" t="n">
        <v>206</v>
      </c>
      <c r="AU261" s="6" t="str">
        <f aca="false">IF($J261="NA","NA",IF(AND($J261&gt;1909,AT261&gt;0),"ERRO","OK"))</f>
        <v>NA</v>
      </c>
      <c r="AV261" s="6" t="n">
        <f aca="false">(10-(LEN(AW261)))+1</f>
        <v>8</v>
      </c>
      <c r="AW261" s="6" t="n">
        <v>903</v>
      </c>
      <c r="AX261" s="6" t="str">
        <f aca="false">IF($J261="NA","NA",IF(AND($J261&gt;1899,AW261&gt;0),"ERRO","OK"))</f>
        <v>NA</v>
      </c>
    </row>
    <row r="262" customFormat="false" ht="15" hidden="false" customHeight="false" outlineLevel="0" collapsed="false">
      <c r="A262" s="7" t="n">
        <v>260</v>
      </c>
      <c r="B262" s="0" t="s">
        <v>279</v>
      </c>
      <c r="C262" s="8" t="n">
        <v>45320</v>
      </c>
      <c r="D262" s="6" t="n">
        <v>0</v>
      </c>
      <c r="E262" s="0" t="s">
        <v>16</v>
      </c>
      <c r="F262" s="0" t="s">
        <v>17</v>
      </c>
      <c r="G262" s="9" t="str">
        <f aca="false">IF(OR(N262="ERRO",Q262="ERRO",T262="ERRO",W262="ERRO",Z262="ERRO",AC262="ERRO",AF262="ERRO",AI262="ERRO",AL262="ERRO",AO262="ERRO",AR262="ERRO",AU262="ERRO",AX262="ERRO"),"ERRO","OK")</f>
        <v>OK</v>
      </c>
      <c r="H262" s="9" t="n">
        <f aca="false">COUNTIF(L262:AX262,"ERRO")</f>
        <v>0</v>
      </c>
      <c r="I262" s="9" t="s">
        <v>18</v>
      </c>
      <c r="J262" s="10" t="n">
        <v>1871</v>
      </c>
      <c r="K262" s="10" t="n">
        <v>1957</v>
      </c>
      <c r="L262" s="6" t="n">
        <f aca="false">(10-(LEN(M262)))+1</f>
        <v>8</v>
      </c>
      <c r="M262" s="6" t="n">
        <v>458</v>
      </c>
      <c r="N262" s="6" t="str">
        <f aca="false">IF($J262="NA","NA",IF(AND($J262&gt;2019,M262&gt;0),"ERRO","OK"))</f>
        <v>OK</v>
      </c>
      <c r="O262" s="6" t="n">
        <f aca="false">(10-(LEN(P262)))+1</f>
        <v>7</v>
      </c>
      <c r="P262" s="6" t="n">
        <v>2161</v>
      </c>
      <c r="Q262" s="6" t="str">
        <f aca="false">IF($J262="NA","NA",IF(AND($J262&gt;2009,P262&gt;0),"ERRO","OK"))</f>
        <v>OK</v>
      </c>
      <c r="R262" s="6" t="n">
        <f aca="false">(10-(LEN(S262)))+1</f>
        <v>7</v>
      </c>
      <c r="S262" s="6" t="n">
        <v>4244</v>
      </c>
      <c r="T262" s="6" t="str">
        <f aca="false">IF($J262="NA","NA",IF(AND($J262&gt;1999,S262&gt;0),"ERRO","OK"))</f>
        <v>OK</v>
      </c>
      <c r="U262" s="6" t="n">
        <f aca="false">(10-(LEN(V262)))+1</f>
        <v>7</v>
      </c>
      <c r="V262" s="6" t="n">
        <v>3633</v>
      </c>
      <c r="W262" s="6" t="str">
        <f aca="false">IF($J262="NA","NA",IF(AND($J262&gt;1989,V262&gt;0),"ERRO","OK"))</f>
        <v>OK</v>
      </c>
      <c r="X262" s="6" t="n">
        <f aca="false">(10-(LEN(Y262)))+1</f>
        <v>7</v>
      </c>
      <c r="Y262" s="6" t="n">
        <v>1338</v>
      </c>
      <c r="Z262" s="6" t="str">
        <f aca="false">IF($J262="NA","NA",IF(AND($J262&gt;1979,Y262&gt;0),"ERRO","OK"))</f>
        <v>OK</v>
      </c>
      <c r="AA262" s="6" t="n">
        <f aca="false">(10-(LEN(AB262)))+1</f>
        <v>8</v>
      </c>
      <c r="AB262" s="6" t="n">
        <v>762</v>
      </c>
      <c r="AC262" s="6" t="str">
        <f aca="false">IF($J262="NA","NA",IF(AND($J262&gt;1969,AB262&gt;0),"ERRO","OK"))</f>
        <v>OK</v>
      </c>
      <c r="AD262" s="6" t="n">
        <f aca="false">(10-(LEN(AE262)))+1</f>
        <v>8</v>
      </c>
      <c r="AE262" s="6" t="n">
        <v>269</v>
      </c>
      <c r="AF262" s="6" t="str">
        <f aca="false">IF($J262="NA","NA",IF(AND($J262&gt;1959,AE262&gt;0),"ERRO","OK"))</f>
        <v>OK</v>
      </c>
      <c r="AG262" s="6" t="n">
        <f aca="false">(10-(LEN(AH262)))+1</f>
        <v>8</v>
      </c>
      <c r="AH262" s="6" t="n">
        <v>441</v>
      </c>
      <c r="AI262" s="6" t="str">
        <f aca="false">IF($J262="NA","NA",IF(AND($J262&gt;1949,AH262&gt;0),"ERRO","OK"))</f>
        <v>OK</v>
      </c>
      <c r="AJ262" s="6" t="n">
        <f aca="false">(10-(LEN(AK262)))+1</f>
        <v>8</v>
      </c>
      <c r="AK262" s="6" t="n">
        <v>696</v>
      </c>
      <c r="AL262" s="6" t="str">
        <f aca="false">IF($J262="NA","NA",IF(AND($J262&gt;1939,AK262&gt;0),"ERRO","OK"))</f>
        <v>OK</v>
      </c>
      <c r="AM262" s="6" t="n">
        <f aca="false">(10-(LEN(AN262)))+1</f>
        <v>8</v>
      </c>
      <c r="AN262" s="6" t="n">
        <v>152</v>
      </c>
      <c r="AO262" s="6" t="str">
        <f aca="false">IF($J262="NA","NA",IF(AND($J262&gt;1929,AN262&gt;0),"ERRO","OK"))</f>
        <v>OK</v>
      </c>
      <c r="AP262" s="6" t="n">
        <f aca="false">(10-(LEN(AQ262)))+1</f>
        <v>8</v>
      </c>
      <c r="AQ262" s="6" t="n">
        <v>100</v>
      </c>
      <c r="AR262" s="6" t="str">
        <f aca="false">IF($J262="NA","NA",IF(AND($J262&gt;1919,AQ262&gt;0),"ERRO","OK"))</f>
        <v>OK</v>
      </c>
      <c r="AS262" s="6" t="n">
        <f aca="false">(10-(LEN(AT262)))+1</f>
        <v>10</v>
      </c>
      <c r="AT262" s="6" t="n">
        <v>0</v>
      </c>
      <c r="AU262" s="6" t="str">
        <f aca="false">IF($J262="NA","NA",IF(AND($J262&gt;1909,AT262&gt;0),"ERRO","OK"))</f>
        <v>OK</v>
      </c>
      <c r="AV262" s="6" t="n">
        <f aca="false">(10-(LEN(AW262)))+1</f>
        <v>10</v>
      </c>
      <c r="AW262" s="6" t="n">
        <v>0</v>
      </c>
      <c r="AX262" s="6" t="str">
        <f aca="false">IF($J262="NA","NA",IF(AND($J262&gt;1899,AW262&gt;0),"ERRO","OK"))</f>
        <v>OK</v>
      </c>
    </row>
    <row r="263" customFormat="false" ht="15" hidden="false" customHeight="false" outlineLevel="0" collapsed="false">
      <c r="A263" s="7" t="n">
        <v>261</v>
      </c>
      <c r="B263" s="0" t="s">
        <v>280</v>
      </c>
      <c r="C263" s="8" t="n">
        <v>45320</v>
      </c>
      <c r="D263" s="6" t="n">
        <v>0</v>
      </c>
      <c r="E263" s="0" t="s">
        <v>16</v>
      </c>
      <c r="F263" s="0" t="s">
        <v>17</v>
      </c>
      <c r="G263" s="9" t="str">
        <f aca="false">IF(OR(N263="ERRO",Q263="ERRO",T263="ERRO",W263="ERRO",Z263="ERRO",AC263="ERRO",AF263="ERRO",AI263="ERRO",AL263="ERRO",AO263="ERRO",AR263="ERRO",AU263="ERRO",AX263="ERRO"),"ERRO","OK")</f>
        <v>OK</v>
      </c>
      <c r="H263" s="9" t="n">
        <f aca="false">COUNTIF(L263:AX263,"ERRO")</f>
        <v>0</v>
      </c>
      <c r="I263" s="9" t="s">
        <v>18</v>
      </c>
      <c r="J263" s="10" t="s">
        <v>22</v>
      </c>
      <c r="K263" s="10" t="s">
        <v>22</v>
      </c>
      <c r="L263" s="6" t="n">
        <f aca="false">(10-(LEN(M263)))+1</f>
        <v>10</v>
      </c>
      <c r="M263" s="6" t="n">
        <v>0</v>
      </c>
      <c r="N263" s="6" t="str">
        <f aca="false">IF($J263="NA","NA",IF(AND($J263&gt;2019,M263&gt;0),"ERRO","OK"))</f>
        <v>NA</v>
      </c>
      <c r="O263" s="6" t="n">
        <f aca="false">(10-(LEN(P263)))+1</f>
        <v>9</v>
      </c>
      <c r="P263" s="6" t="n">
        <v>34</v>
      </c>
      <c r="Q263" s="6" t="str">
        <f aca="false">IF($J263="NA","NA",IF(AND($J263&gt;2009,P263&gt;0),"ERRO","OK"))</f>
        <v>NA</v>
      </c>
      <c r="R263" s="6" t="n">
        <f aca="false">(10-(LEN(S263)))+1</f>
        <v>9</v>
      </c>
      <c r="S263" s="6" t="n">
        <v>84</v>
      </c>
      <c r="T263" s="6" t="str">
        <f aca="false">IF($J263="NA","NA",IF(AND($J263&gt;1999,S263&gt;0),"ERRO","OK"))</f>
        <v>NA</v>
      </c>
      <c r="U263" s="6" t="n">
        <f aca="false">(10-(LEN(V263)))+1</f>
        <v>9</v>
      </c>
      <c r="V263" s="6" t="n">
        <v>92</v>
      </c>
      <c r="W263" s="6" t="str">
        <f aca="false">IF($J263="NA","NA",IF(AND($J263&gt;1989,V263&gt;0),"ERRO","OK"))</f>
        <v>NA</v>
      </c>
      <c r="X263" s="6" t="n">
        <f aca="false">(10-(LEN(Y263)))+1</f>
        <v>10</v>
      </c>
      <c r="Y263" s="6" t="n">
        <v>0</v>
      </c>
      <c r="Z263" s="6" t="str">
        <f aca="false">IF($J263="NA","NA",IF(AND($J263&gt;1979,Y263&gt;0),"ERRO","OK"))</f>
        <v>NA</v>
      </c>
      <c r="AA263" s="6" t="n">
        <f aca="false">(10-(LEN(AB263)))+1</f>
        <v>8</v>
      </c>
      <c r="AB263" s="6" t="n">
        <v>293</v>
      </c>
      <c r="AC263" s="6" t="str">
        <f aca="false">IF($J263="NA","NA",IF(AND($J263&gt;1969,AB263&gt;0),"ERRO","OK"))</f>
        <v>NA</v>
      </c>
      <c r="AD263" s="6" t="n">
        <f aca="false">(10-(LEN(AE263)))+1</f>
        <v>10</v>
      </c>
      <c r="AE263" s="6" t="n">
        <v>0</v>
      </c>
      <c r="AF263" s="6" t="str">
        <f aca="false">IF($J263="NA","NA",IF(AND($J263&gt;1959,AE263&gt;0),"ERRO","OK"))</f>
        <v>NA</v>
      </c>
      <c r="AG263" s="6" t="n">
        <f aca="false">(10-(LEN(AH263)))+1</f>
        <v>10</v>
      </c>
      <c r="AH263" s="6" t="n">
        <v>0</v>
      </c>
      <c r="AI263" s="6" t="str">
        <f aca="false">IF($J263="NA","NA",IF(AND($J263&gt;1949,AH263&gt;0),"ERRO","OK"))</f>
        <v>NA</v>
      </c>
      <c r="AJ263" s="6" t="n">
        <f aca="false">(10-(LEN(AK263)))+1</f>
        <v>10</v>
      </c>
      <c r="AK263" s="6" t="n">
        <v>0</v>
      </c>
      <c r="AL263" s="6" t="str">
        <f aca="false">IF($J263="NA","NA",IF(AND($J263&gt;1939,AK263&gt;0),"ERRO","OK"))</f>
        <v>NA</v>
      </c>
      <c r="AM263" s="6" t="n">
        <f aca="false">(10-(LEN(AN263)))+1</f>
        <v>10</v>
      </c>
      <c r="AN263" s="6" t="n">
        <v>0</v>
      </c>
      <c r="AO263" s="6" t="str">
        <f aca="false">IF($J263="NA","NA",IF(AND($J263&gt;1929,AN263&gt;0),"ERRO","OK"))</f>
        <v>NA</v>
      </c>
      <c r="AP263" s="6" t="n">
        <f aca="false">(10-(LEN(AQ263)))+1</f>
        <v>10</v>
      </c>
      <c r="AQ263" s="6" t="n">
        <v>0</v>
      </c>
      <c r="AR263" s="6" t="str">
        <f aca="false">IF($J263="NA","NA",IF(AND($J263&gt;1919,AQ263&gt;0),"ERRO","OK"))</f>
        <v>NA</v>
      </c>
      <c r="AS263" s="6" t="n">
        <f aca="false">(10-(LEN(AT263)))+1</f>
        <v>10</v>
      </c>
      <c r="AT263" s="6" t="n">
        <v>0</v>
      </c>
      <c r="AU263" s="6" t="str">
        <f aca="false">IF($J263="NA","NA",IF(AND($J263&gt;1909,AT263&gt;0),"ERRO","OK"))</f>
        <v>NA</v>
      </c>
      <c r="AV263" s="6" t="n">
        <f aca="false">(10-(LEN(AW263)))+1</f>
        <v>10</v>
      </c>
      <c r="AW263" s="6" t="n">
        <v>0</v>
      </c>
      <c r="AX263" s="6" t="str">
        <f aca="false">IF($J263="NA","NA",IF(AND($J263&gt;1899,AW263&gt;0),"ERRO","OK"))</f>
        <v>NA</v>
      </c>
    </row>
    <row r="264" customFormat="false" ht="15" hidden="false" customHeight="false" outlineLevel="0" collapsed="false">
      <c r="A264" s="7" t="n">
        <v>262</v>
      </c>
      <c r="B264" s="0" t="s">
        <v>281</v>
      </c>
      <c r="C264" s="8" t="n">
        <v>45320</v>
      </c>
      <c r="D264" s="6" t="n">
        <v>0</v>
      </c>
      <c r="E264" s="0" t="s">
        <v>16</v>
      </c>
      <c r="F264" s="0" t="s">
        <v>17</v>
      </c>
      <c r="G264" s="9" t="str">
        <f aca="false">IF(OR(N264="ERRO",Q264="ERRO",T264="ERRO",W264="ERRO",Z264="ERRO",AC264="ERRO",AF264="ERRO",AI264="ERRO",AL264="ERRO",AO264="ERRO",AR264="ERRO",AU264="ERRO",AX264="ERRO"),"ERRO","OK")</f>
        <v>OK</v>
      </c>
      <c r="H264" s="9" t="n">
        <f aca="false">COUNTIF(L264:AX264,"ERRO")</f>
        <v>0</v>
      </c>
      <c r="I264" s="9" t="s">
        <v>18</v>
      </c>
      <c r="J264" s="10" t="n">
        <v>1887</v>
      </c>
      <c r="K264" s="10" t="n">
        <v>1927</v>
      </c>
      <c r="L264" s="6" t="n">
        <f aca="false">(10-(LEN(M264)))+1</f>
        <v>6</v>
      </c>
      <c r="M264" s="6" t="n">
        <v>15242</v>
      </c>
      <c r="N264" s="6" t="str">
        <f aca="false">IF($J264="NA","NA",IF(AND($J264&gt;2019,M264&gt;0),"ERRO","OK"))</f>
        <v>OK</v>
      </c>
      <c r="O264" s="6" t="n">
        <f aca="false">(10-(LEN(P264)))+1</f>
        <v>6</v>
      </c>
      <c r="P264" s="6" t="n">
        <v>22332</v>
      </c>
      <c r="Q264" s="6" t="str">
        <f aca="false">IF($J264="NA","NA",IF(AND($J264&gt;2009,P264&gt;0),"ERRO","OK"))</f>
        <v>OK</v>
      </c>
      <c r="R264" s="6" t="n">
        <f aca="false">(10-(LEN(S264)))+1</f>
        <v>6</v>
      </c>
      <c r="S264" s="6" t="n">
        <v>31302</v>
      </c>
      <c r="T264" s="6" t="str">
        <f aca="false">IF($J264="NA","NA",IF(AND($J264&gt;1999,S264&gt;0),"ERRO","OK"))</f>
        <v>OK</v>
      </c>
      <c r="U264" s="6" t="n">
        <f aca="false">(10-(LEN(V264)))+1</f>
        <v>6</v>
      </c>
      <c r="V264" s="6" t="n">
        <v>37667</v>
      </c>
      <c r="W264" s="6" t="str">
        <f aca="false">IF($J264="NA","NA",IF(AND($J264&gt;1989,V264&gt;0),"ERRO","OK"))</f>
        <v>OK</v>
      </c>
      <c r="X264" s="6" t="n">
        <f aca="false">(10-(LEN(Y264)))+1</f>
        <v>6</v>
      </c>
      <c r="Y264" s="6" t="n">
        <v>26541</v>
      </c>
      <c r="Z264" s="6" t="str">
        <f aca="false">IF($J264="NA","NA",IF(AND($J264&gt;1979,Y264&gt;0),"ERRO","OK"))</f>
        <v>OK</v>
      </c>
      <c r="AA264" s="6" t="n">
        <f aca="false">(10-(LEN(AB264)))+1</f>
        <v>6</v>
      </c>
      <c r="AB264" s="6" t="n">
        <v>45999</v>
      </c>
      <c r="AC264" s="6" t="str">
        <f aca="false">IF($J264="NA","NA",IF(AND($J264&gt;1969,AB264&gt;0),"ERRO","OK"))</f>
        <v>OK</v>
      </c>
      <c r="AD264" s="6" t="n">
        <f aca="false">(10-(LEN(AE264)))+1</f>
        <v>6</v>
      </c>
      <c r="AE264" s="6" t="n">
        <v>45121</v>
      </c>
      <c r="AF264" s="6" t="str">
        <f aca="false">IF($J264="NA","NA",IF(AND($J264&gt;1959,AE264&gt;0),"ERRO","OK"))</f>
        <v>OK</v>
      </c>
      <c r="AG264" s="6" t="n">
        <f aca="false">(10-(LEN(AH264)))+1</f>
        <v>6</v>
      </c>
      <c r="AH264" s="6" t="n">
        <v>38879</v>
      </c>
      <c r="AI264" s="6" t="str">
        <f aca="false">IF($J264="NA","NA",IF(AND($J264&gt;1949,AH264&gt;0),"ERRO","OK"))</f>
        <v>OK</v>
      </c>
      <c r="AJ264" s="6" t="n">
        <f aca="false">(10-(LEN(AK264)))+1</f>
        <v>6</v>
      </c>
      <c r="AK264" s="6" t="n">
        <v>13926</v>
      </c>
      <c r="AL264" s="6" t="str">
        <f aca="false">IF($J264="NA","NA",IF(AND($J264&gt;1939,AK264&gt;0),"ERRO","OK"))</f>
        <v>OK</v>
      </c>
      <c r="AM264" s="6" t="n">
        <f aca="false">(10-(LEN(AN264)))+1</f>
        <v>7</v>
      </c>
      <c r="AN264" s="6" t="n">
        <v>7617</v>
      </c>
      <c r="AO264" s="6" t="str">
        <f aca="false">IF($J264="NA","NA",IF(AND($J264&gt;1929,AN264&gt;0),"ERRO","OK"))</f>
        <v>OK</v>
      </c>
      <c r="AP264" s="6" t="n">
        <f aca="false">(10-(LEN(AQ264)))+1</f>
        <v>7</v>
      </c>
      <c r="AQ264" s="6" t="n">
        <v>3905</v>
      </c>
      <c r="AR264" s="6" t="str">
        <f aca="false">IF($J264="NA","NA",IF(AND($J264&gt;1919,AQ264&gt;0),"ERRO","OK"))</f>
        <v>OK</v>
      </c>
      <c r="AS264" s="6" t="n">
        <f aca="false">(10-(LEN(AT264)))+1</f>
        <v>10</v>
      </c>
      <c r="AT264" s="6" t="n">
        <v>0</v>
      </c>
      <c r="AU264" s="6" t="str">
        <f aca="false">IF($J264="NA","NA",IF(AND($J264&gt;1909,AT264&gt;0),"ERRO","OK"))</f>
        <v>OK</v>
      </c>
      <c r="AV264" s="6" t="n">
        <f aca="false">(10-(LEN(AW264)))+1</f>
        <v>10</v>
      </c>
      <c r="AW264" s="6" t="n">
        <v>0</v>
      </c>
      <c r="AX264" s="6" t="str">
        <f aca="false">IF($J264="NA","NA",IF(AND($J264&gt;1899,AW264&gt;0),"ERRO","OK"))</f>
        <v>OK</v>
      </c>
    </row>
    <row r="265" customFormat="false" ht="15" hidden="false" customHeight="false" outlineLevel="0" collapsed="false">
      <c r="A265" s="7" t="n">
        <v>263</v>
      </c>
      <c r="B265" s="0" t="s">
        <v>282</v>
      </c>
      <c r="C265" s="8" t="n">
        <v>45320</v>
      </c>
      <c r="D265" s="6" t="n">
        <v>0</v>
      </c>
      <c r="E265" s="0" t="s">
        <v>16</v>
      </c>
      <c r="F265" s="0" t="s">
        <v>17</v>
      </c>
      <c r="G265" s="9" t="str">
        <f aca="false">IF(OR(N265="ERRO",Q265="ERRO",T265="ERRO",W265="ERRO",Z265="ERRO",AC265="ERRO",AF265="ERRO",AI265="ERRO",AL265="ERRO",AO265="ERRO",AR265="ERRO",AU265="ERRO",AX265="ERRO"),"ERRO","OK")</f>
        <v>OK</v>
      </c>
      <c r="H265" s="9" t="n">
        <f aca="false">COUNTIF(L265:AX265,"ERRO")</f>
        <v>0</v>
      </c>
      <c r="I265" s="9" t="s">
        <v>18</v>
      </c>
      <c r="J265" s="10" t="n">
        <v>1884</v>
      </c>
      <c r="K265" s="10" t="n">
        <v>1955</v>
      </c>
      <c r="L265" s="6" t="n">
        <f aca="false">(10-(LEN(M265)))+1</f>
        <v>7</v>
      </c>
      <c r="M265" s="6" t="n">
        <v>1374</v>
      </c>
      <c r="N265" s="6" t="str">
        <f aca="false">IF($J265="NA","NA",IF(AND($J265&gt;2019,M265&gt;0),"ERRO","OK"))</f>
        <v>OK</v>
      </c>
      <c r="O265" s="6" t="n">
        <f aca="false">(10-(LEN(P265)))+1</f>
        <v>7</v>
      </c>
      <c r="P265" s="6" t="n">
        <v>1852</v>
      </c>
      <c r="Q265" s="6" t="str">
        <f aca="false">IF($J265="NA","NA",IF(AND($J265&gt;2009,P265&gt;0),"ERRO","OK"))</f>
        <v>OK</v>
      </c>
      <c r="R265" s="6" t="n">
        <f aca="false">(10-(LEN(S265)))+1</f>
        <v>7</v>
      </c>
      <c r="S265" s="6" t="n">
        <v>1302</v>
      </c>
      <c r="T265" s="6" t="str">
        <f aca="false">IF($J265="NA","NA",IF(AND($J265&gt;1999,S265&gt;0),"ERRO","OK"))</f>
        <v>OK</v>
      </c>
      <c r="U265" s="6" t="n">
        <f aca="false">(10-(LEN(V265)))+1</f>
        <v>8</v>
      </c>
      <c r="V265" s="6" t="n">
        <v>828</v>
      </c>
      <c r="W265" s="6" t="str">
        <f aca="false">IF($J265="NA","NA",IF(AND($J265&gt;1989,V265&gt;0),"ERRO","OK"))</f>
        <v>OK</v>
      </c>
      <c r="X265" s="6" t="n">
        <f aca="false">(10-(LEN(Y265)))+1</f>
        <v>7</v>
      </c>
      <c r="Y265" s="6" t="n">
        <v>1873</v>
      </c>
      <c r="Z265" s="6" t="str">
        <f aca="false">IF($J265="NA","NA",IF(AND($J265&gt;1979,Y265&gt;0),"ERRO","OK"))</f>
        <v>OK</v>
      </c>
      <c r="AA265" s="6" t="n">
        <f aca="false">(10-(LEN(AB265)))+1</f>
        <v>7</v>
      </c>
      <c r="AB265" s="6" t="n">
        <v>1465</v>
      </c>
      <c r="AC265" s="6" t="str">
        <f aca="false">IF($J265="NA","NA",IF(AND($J265&gt;1969,AB265&gt;0),"ERRO","OK"))</f>
        <v>OK</v>
      </c>
      <c r="AD265" s="6" t="n">
        <f aca="false">(10-(LEN(AE265)))+1</f>
        <v>7</v>
      </c>
      <c r="AE265" s="6" t="n">
        <v>1076</v>
      </c>
      <c r="AF265" s="6" t="str">
        <f aca="false">IF($J265="NA","NA",IF(AND($J265&gt;1959,AE265&gt;0),"ERRO","OK"))</f>
        <v>OK</v>
      </c>
      <c r="AG265" s="6" t="n">
        <f aca="false">(10-(LEN(AH265)))+1</f>
        <v>8</v>
      </c>
      <c r="AH265" s="6" t="n">
        <v>771</v>
      </c>
      <c r="AI265" s="6" t="str">
        <f aca="false">IF($J265="NA","NA",IF(AND($J265&gt;1949,AH265&gt;0),"ERRO","OK"))</f>
        <v>OK</v>
      </c>
      <c r="AJ265" s="6" t="n">
        <f aca="false">(10-(LEN(AK265)))+1</f>
        <v>7</v>
      </c>
      <c r="AK265" s="6" t="n">
        <v>3064</v>
      </c>
      <c r="AL265" s="6" t="str">
        <f aca="false">IF($J265="NA","NA",IF(AND($J265&gt;1939,AK265&gt;0),"ERRO","OK"))</f>
        <v>OK</v>
      </c>
      <c r="AM265" s="6" t="n">
        <f aca="false">(10-(LEN(AN265)))+1</f>
        <v>7</v>
      </c>
      <c r="AN265" s="6" t="n">
        <v>1371</v>
      </c>
      <c r="AO265" s="6" t="str">
        <f aca="false">IF($J265="NA","NA",IF(AND($J265&gt;1929,AN265&gt;0),"ERRO","OK"))</f>
        <v>OK</v>
      </c>
      <c r="AP265" s="6" t="n">
        <f aca="false">(10-(LEN(AQ265)))+1</f>
        <v>7</v>
      </c>
      <c r="AQ265" s="6" t="n">
        <v>1402</v>
      </c>
      <c r="AR265" s="6" t="str">
        <f aca="false">IF($J265="NA","NA",IF(AND($J265&gt;1919,AQ265&gt;0),"ERRO","OK"))</f>
        <v>OK</v>
      </c>
      <c r="AS265" s="6" t="n">
        <f aca="false">(10-(LEN(AT265)))+1</f>
        <v>10</v>
      </c>
      <c r="AT265" s="6" t="n">
        <v>0</v>
      </c>
      <c r="AU265" s="6" t="str">
        <f aca="false">IF($J265="NA","NA",IF(AND($J265&gt;1909,AT265&gt;0),"ERRO","OK"))</f>
        <v>OK</v>
      </c>
      <c r="AV265" s="6" t="n">
        <f aca="false">(10-(LEN(AW265)))+1</f>
        <v>10</v>
      </c>
      <c r="AW265" s="6" t="n">
        <v>0</v>
      </c>
      <c r="AX265" s="6" t="str">
        <f aca="false">IF($J265="NA","NA",IF(AND($J265&gt;1899,AW265&gt;0),"ERRO","OK"))</f>
        <v>OK</v>
      </c>
    </row>
    <row r="266" customFormat="false" ht="15" hidden="false" customHeight="false" outlineLevel="0" collapsed="false">
      <c r="A266" s="7" t="n">
        <v>264</v>
      </c>
      <c r="B266" s="0" t="s">
        <v>283</v>
      </c>
      <c r="C266" s="8" t="n">
        <v>45320</v>
      </c>
      <c r="D266" s="6" t="n">
        <v>0</v>
      </c>
      <c r="E266" s="0" t="s">
        <v>16</v>
      </c>
      <c r="F266" s="0" t="s">
        <v>17</v>
      </c>
      <c r="G266" s="9" t="str">
        <f aca="false">IF(OR(N266="ERRO",Q266="ERRO",T266="ERRO",W266="ERRO",Z266="ERRO",AC266="ERRO",AF266="ERRO",AI266="ERRO",AL266="ERRO",AO266="ERRO",AR266="ERRO",AU266="ERRO",AX266="ERRO"),"ERRO","OK")</f>
        <v>OK</v>
      </c>
      <c r="H266" s="9" t="n">
        <f aca="false">COUNTIF(L266:AX266,"ERRO")</f>
        <v>0</v>
      </c>
      <c r="I266" s="9" t="s">
        <v>18</v>
      </c>
      <c r="J266" s="10" t="s">
        <v>22</v>
      </c>
      <c r="K266" s="10" t="s">
        <v>22</v>
      </c>
      <c r="L266" s="6" t="n">
        <f aca="false">(10-(LEN(M266)))+1</f>
        <v>8</v>
      </c>
      <c r="M266" s="6" t="n">
        <v>208</v>
      </c>
      <c r="N266" s="6" t="str">
        <f aca="false">IF($J266="NA","NA",IF(AND($J266&gt;2019,M266&gt;0),"ERRO","OK"))</f>
        <v>NA</v>
      </c>
      <c r="O266" s="6" t="n">
        <f aca="false">(10-(LEN(P266)))+1</f>
        <v>9</v>
      </c>
      <c r="P266" s="6" t="n">
        <v>69</v>
      </c>
      <c r="Q266" s="6" t="str">
        <f aca="false">IF($J266="NA","NA",IF(AND($J266&gt;2009,P266&gt;0),"ERRO","OK"))</f>
        <v>NA</v>
      </c>
      <c r="R266" s="6" t="n">
        <f aca="false">(10-(LEN(S266)))+1</f>
        <v>9</v>
      </c>
      <c r="S266" s="6" t="n">
        <v>42</v>
      </c>
      <c r="T266" s="6" t="str">
        <f aca="false">IF($J266="NA","NA",IF(AND($J266&gt;1999,S266&gt;0),"ERRO","OK"))</f>
        <v>NA</v>
      </c>
      <c r="U266" s="6" t="n">
        <f aca="false">(10-(LEN(V266)))+1</f>
        <v>10</v>
      </c>
      <c r="V266" s="6" t="n">
        <v>0</v>
      </c>
      <c r="W266" s="6" t="str">
        <f aca="false">IF($J266="NA","NA",IF(AND($J266&gt;1989,V266&gt;0),"ERRO","OK"))</f>
        <v>NA</v>
      </c>
      <c r="X266" s="6" t="n">
        <f aca="false">(10-(LEN(Y266)))+1</f>
        <v>8</v>
      </c>
      <c r="Y266" s="6" t="n">
        <v>268</v>
      </c>
      <c r="Z266" s="6" t="str">
        <f aca="false">IF($J266="NA","NA",IF(AND($J266&gt;1979,Y266&gt;0),"ERRO","OK"))</f>
        <v>NA</v>
      </c>
      <c r="AA266" s="6" t="n">
        <f aca="false">(10-(LEN(AB266)))+1</f>
        <v>10</v>
      </c>
      <c r="AB266" s="6" t="n">
        <v>0</v>
      </c>
      <c r="AC266" s="6" t="str">
        <f aca="false">IF($J266="NA","NA",IF(AND($J266&gt;1969,AB266&gt;0),"ERRO","OK"))</f>
        <v>NA</v>
      </c>
      <c r="AD266" s="6" t="n">
        <f aca="false">(10-(LEN(AE266)))+1</f>
        <v>10</v>
      </c>
      <c r="AE266" s="6" t="n">
        <v>0</v>
      </c>
      <c r="AF266" s="6" t="str">
        <f aca="false">IF($J266="NA","NA",IF(AND($J266&gt;1959,AE266&gt;0),"ERRO","OK"))</f>
        <v>NA</v>
      </c>
      <c r="AG266" s="6" t="n">
        <f aca="false">(10-(LEN(AH266)))+1</f>
        <v>10</v>
      </c>
      <c r="AH266" s="6" t="n">
        <v>0</v>
      </c>
      <c r="AI266" s="6" t="str">
        <f aca="false">IF($J266="NA","NA",IF(AND($J266&gt;1949,AH266&gt;0),"ERRO","OK"))</f>
        <v>NA</v>
      </c>
      <c r="AJ266" s="6" t="n">
        <f aca="false">(10-(LEN(AK266)))+1</f>
        <v>8</v>
      </c>
      <c r="AK266" s="6" t="n">
        <v>279</v>
      </c>
      <c r="AL266" s="6" t="str">
        <f aca="false">IF($J266="NA","NA",IF(AND($J266&gt;1939,AK266&gt;0),"ERRO","OK"))</f>
        <v>NA</v>
      </c>
      <c r="AM266" s="6" t="n">
        <f aca="false">(10-(LEN(AN266)))+1</f>
        <v>10</v>
      </c>
      <c r="AN266" s="6" t="n">
        <v>0</v>
      </c>
      <c r="AO266" s="6" t="str">
        <f aca="false">IF($J266="NA","NA",IF(AND($J266&gt;1929,AN266&gt;0),"ERRO","OK"))</f>
        <v>NA</v>
      </c>
      <c r="AP266" s="6" t="n">
        <f aca="false">(10-(LEN(AQ266)))+1</f>
        <v>10</v>
      </c>
      <c r="AQ266" s="6" t="n">
        <v>0</v>
      </c>
      <c r="AR266" s="6" t="str">
        <f aca="false">IF($J266="NA","NA",IF(AND($J266&gt;1919,AQ266&gt;0),"ERRO","OK"))</f>
        <v>NA</v>
      </c>
      <c r="AS266" s="6" t="n">
        <f aca="false">(10-(LEN(AT266)))+1</f>
        <v>10</v>
      </c>
      <c r="AT266" s="6" t="n">
        <v>0</v>
      </c>
      <c r="AU266" s="6" t="str">
        <f aca="false">IF($J266="NA","NA",IF(AND($J266&gt;1909,AT266&gt;0),"ERRO","OK"))</f>
        <v>NA</v>
      </c>
      <c r="AV266" s="6" t="n">
        <f aca="false">(10-(LEN(AW266)))+1</f>
        <v>10</v>
      </c>
      <c r="AW266" s="6" t="n">
        <v>0</v>
      </c>
      <c r="AX266" s="6" t="str">
        <f aca="false">IF($J266="NA","NA",IF(AND($J266&gt;1899,AW266&gt;0),"ERRO","OK"))</f>
        <v>NA</v>
      </c>
    </row>
    <row r="267" customFormat="false" ht="15" hidden="false" customHeight="false" outlineLevel="0" collapsed="false">
      <c r="A267" s="7" t="n">
        <v>265</v>
      </c>
      <c r="B267" s="0" t="s">
        <v>284</v>
      </c>
      <c r="C267" s="8" t="n">
        <v>45320</v>
      </c>
      <c r="D267" s="6" t="n">
        <v>0</v>
      </c>
      <c r="E267" s="0" t="s">
        <v>16</v>
      </c>
      <c r="F267" s="0" t="s">
        <v>17</v>
      </c>
      <c r="G267" s="9" t="str">
        <f aca="false">IF(OR(N267="ERRO",Q267="ERRO",T267="ERRO",W267="ERRO",Z267="ERRO",AC267="ERRO",AF267="ERRO",AI267="ERRO",AL267="ERRO",AO267="ERRO",AR267="ERRO",AU267="ERRO",AX267="ERRO"),"ERRO","OK")</f>
        <v>OK</v>
      </c>
      <c r="H267" s="9" t="n">
        <f aca="false">COUNTIF(L267:AX267,"ERRO")</f>
        <v>0</v>
      </c>
      <c r="I267" s="9" t="s">
        <v>18</v>
      </c>
      <c r="J267" s="10" t="n">
        <v>1883</v>
      </c>
      <c r="K267" s="10" t="n">
        <v>1956</v>
      </c>
      <c r="L267" s="6" t="n">
        <f aca="false">(10-(LEN(M267)))+1</f>
        <v>7</v>
      </c>
      <c r="M267" s="6" t="n">
        <v>4248</v>
      </c>
      <c r="N267" s="6" t="str">
        <f aca="false">IF($J267="NA","NA",IF(AND($J267&gt;2019,M267&gt;0),"ERRO","OK"))</f>
        <v>OK</v>
      </c>
      <c r="O267" s="6" t="n">
        <f aca="false">(10-(LEN(P267)))+1</f>
        <v>7</v>
      </c>
      <c r="P267" s="6" t="n">
        <v>5248</v>
      </c>
      <c r="Q267" s="6" t="str">
        <f aca="false">IF($J267="NA","NA",IF(AND($J267&gt;2009,P267&gt;0),"ERRO","OK"))</f>
        <v>OK</v>
      </c>
      <c r="R267" s="6" t="n">
        <f aca="false">(10-(LEN(S267)))+1</f>
        <v>7</v>
      </c>
      <c r="S267" s="6" t="n">
        <v>5210</v>
      </c>
      <c r="T267" s="6" t="str">
        <f aca="false">IF($J267="NA","NA",IF(AND($J267&gt;1999,S267&gt;0),"ERRO","OK"))</f>
        <v>OK</v>
      </c>
      <c r="U267" s="6" t="n">
        <f aca="false">(10-(LEN(V267)))+1</f>
        <v>7</v>
      </c>
      <c r="V267" s="6" t="n">
        <v>5151</v>
      </c>
      <c r="W267" s="6" t="str">
        <f aca="false">IF($J267="NA","NA",IF(AND($J267&gt;1989,V267&gt;0),"ERRO","OK"))</f>
        <v>OK</v>
      </c>
      <c r="X267" s="6" t="n">
        <f aca="false">(10-(LEN(Y267)))+1</f>
        <v>7</v>
      </c>
      <c r="Y267" s="6" t="n">
        <v>2622</v>
      </c>
      <c r="Z267" s="6" t="str">
        <f aca="false">IF($J267="NA","NA",IF(AND($J267&gt;1979,Y267&gt;0),"ERRO","OK"))</f>
        <v>OK</v>
      </c>
      <c r="AA267" s="6" t="n">
        <f aca="false">(10-(LEN(AB267)))+1</f>
        <v>7</v>
      </c>
      <c r="AB267" s="6" t="n">
        <v>5860</v>
      </c>
      <c r="AC267" s="6" t="str">
        <f aca="false">IF($J267="NA","NA",IF(AND($J267&gt;1969,AB267&gt;0),"ERRO","OK"))</f>
        <v>OK</v>
      </c>
      <c r="AD267" s="6" t="n">
        <f aca="false">(10-(LEN(AE267)))+1</f>
        <v>7</v>
      </c>
      <c r="AE267" s="6" t="n">
        <v>2332</v>
      </c>
      <c r="AF267" s="6" t="str">
        <f aca="false">IF($J267="NA","NA",IF(AND($J267&gt;1959,AE267&gt;0),"ERRO","OK"))</f>
        <v>OK</v>
      </c>
      <c r="AG267" s="6" t="n">
        <f aca="false">(10-(LEN(AH267)))+1</f>
        <v>7</v>
      </c>
      <c r="AH267" s="6" t="n">
        <v>4295</v>
      </c>
      <c r="AI267" s="6" t="str">
        <f aca="false">IF($J267="NA","NA",IF(AND($J267&gt;1949,AH267&gt;0),"ERRO","OK"))</f>
        <v>OK</v>
      </c>
      <c r="AJ267" s="6" t="n">
        <f aca="false">(10-(LEN(AK267)))+1</f>
        <v>7</v>
      </c>
      <c r="AK267" s="6" t="n">
        <v>1950</v>
      </c>
      <c r="AL267" s="6" t="str">
        <f aca="false">IF($J267="NA","NA",IF(AND($J267&gt;1939,AK267&gt;0),"ERRO","OK"))</f>
        <v>OK</v>
      </c>
      <c r="AM267" s="6" t="n">
        <f aca="false">(10-(LEN(AN267)))+1</f>
        <v>8</v>
      </c>
      <c r="AN267" s="6" t="n">
        <v>914</v>
      </c>
      <c r="AO267" s="6" t="str">
        <f aca="false">IF($J267="NA","NA",IF(AND($J267&gt;1929,AN267&gt;0),"ERRO","OK"))</f>
        <v>OK</v>
      </c>
      <c r="AP267" s="6" t="n">
        <f aca="false">(10-(LEN(AQ267)))+1</f>
        <v>7</v>
      </c>
      <c r="AQ267" s="6" t="n">
        <v>1101</v>
      </c>
      <c r="AR267" s="6" t="str">
        <f aca="false">IF($J267="NA","NA",IF(AND($J267&gt;1919,AQ267&gt;0),"ERRO","OK"))</f>
        <v>OK</v>
      </c>
      <c r="AS267" s="6" t="n">
        <f aca="false">(10-(LEN(AT267)))+1</f>
        <v>10</v>
      </c>
      <c r="AT267" s="6" t="n">
        <v>0</v>
      </c>
      <c r="AU267" s="6" t="str">
        <f aca="false">IF($J267="NA","NA",IF(AND($J267&gt;1909,AT267&gt;0),"ERRO","OK"))</f>
        <v>OK</v>
      </c>
      <c r="AV267" s="6" t="n">
        <f aca="false">(10-(LEN(AW267)))+1</f>
        <v>10</v>
      </c>
      <c r="AW267" s="6" t="n">
        <v>0</v>
      </c>
      <c r="AX267" s="6" t="str">
        <f aca="false">IF($J267="NA","NA",IF(AND($J267&gt;1899,AW267&gt;0),"ERRO","OK"))</f>
        <v>OK</v>
      </c>
    </row>
    <row r="268" customFormat="false" ht="15" hidden="false" customHeight="false" outlineLevel="0" collapsed="false">
      <c r="A268" s="7" t="n">
        <v>266</v>
      </c>
      <c r="B268" s="0" t="s">
        <v>285</v>
      </c>
      <c r="C268" s="8" t="n">
        <v>45322</v>
      </c>
      <c r="D268" s="6" t="n">
        <v>0</v>
      </c>
      <c r="E268" s="0" t="s">
        <v>16</v>
      </c>
      <c r="F268" s="0" t="s">
        <v>17</v>
      </c>
      <c r="G268" s="9" t="str">
        <f aca="false">IF(OR(N268="ERRO",Q268="ERRO",T268="ERRO",W268="ERRO",Z268="ERRO",AC268="ERRO",AF268="ERRO",AI268="ERRO",AL268="ERRO",AO268="ERRO",AR268="ERRO",AU268="ERRO",AX268="ERRO"),"ERRO","OK")</f>
        <v>OK</v>
      </c>
      <c r="H268" s="9" t="n">
        <f aca="false">COUNTIF(L268:AX268,"ERRO")</f>
        <v>0</v>
      </c>
      <c r="I268" s="9" t="s">
        <v>18</v>
      </c>
      <c r="J268" s="10" t="n">
        <v>1881</v>
      </c>
      <c r="K268" s="10" t="n">
        <v>1946</v>
      </c>
      <c r="L268" s="6" t="n">
        <f aca="false">(10-(LEN(M268)))+1</f>
        <v>8</v>
      </c>
      <c r="M268" s="6" t="n">
        <v>657</v>
      </c>
      <c r="N268" s="6" t="str">
        <f aca="false">IF($J268="NA","NA",IF(AND($J268&gt;2019,M268&gt;0),"ERRO","OK"))</f>
        <v>OK</v>
      </c>
      <c r="O268" s="6" t="n">
        <f aca="false">(10-(LEN(P268)))+1</f>
        <v>7</v>
      </c>
      <c r="P268" s="6" t="n">
        <v>1045</v>
      </c>
      <c r="Q268" s="6" t="str">
        <f aca="false">IF($J268="NA","NA",IF(AND($J268&gt;2009,P268&gt;0),"ERRO","OK"))</f>
        <v>OK</v>
      </c>
      <c r="R268" s="6" t="n">
        <f aca="false">(10-(LEN(S268)))+1</f>
        <v>8</v>
      </c>
      <c r="S268" s="6" t="n">
        <v>794</v>
      </c>
      <c r="T268" s="6" t="str">
        <f aca="false">IF($J268="NA","NA",IF(AND($J268&gt;1999,S268&gt;0),"ERRO","OK"))</f>
        <v>OK</v>
      </c>
      <c r="U268" s="6" t="n">
        <f aca="false">(10-(LEN(V268)))+1</f>
        <v>8</v>
      </c>
      <c r="V268" s="6" t="n">
        <v>870</v>
      </c>
      <c r="W268" s="6" t="str">
        <f aca="false">IF($J268="NA","NA",IF(AND($J268&gt;1989,V268&gt;0),"ERRO","OK"))</f>
        <v>OK</v>
      </c>
      <c r="X268" s="6" t="n">
        <f aca="false">(10-(LEN(Y268)))+1</f>
        <v>8</v>
      </c>
      <c r="Y268" s="6" t="n">
        <v>338</v>
      </c>
      <c r="Z268" s="6" t="str">
        <f aca="false">IF($J268="NA","NA",IF(AND($J268&gt;1979,Y268&gt;0),"ERRO","OK"))</f>
        <v>OK</v>
      </c>
      <c r="AA268" s="6" t="n">
        <f aca="false">(10-(LEN(AB268)))+1</f>
        <v>8</v>
      </c>
      <c r="AB268" s="6" t="n">
        <v>492</v>
      </c>
      <c r="AC268" s="6" t="str">
        <f aca="false">IF($J268="NA","NA",IF(AND($J268&gt;1969,AB268&gt;0),"ERRO","OK"))</f>
        <v>OK</v>
      </c>
      <c r="AD268" s="6" t="n">
        <f aca="false">(10-(LEN(AE268)))+1</f>
        <v>8</v>
      </c>
      <c r="AE268" s="6" t="n">
        <v>943</v>
      </c>
      <c r="AF268" s="6" t="str">
        <f aca="false">IF($J268="NA","NA",IF(AND($J268&gt;1959,AE268&gt;0),"ERRO","OK"))</f>
        <v>OK</v>
      </c>
      <c r="AG268" s="6" t="n">
        <f aca="false">(10-(LEN(AH268)))+1</f>
        <v>8</v>
      </c>
      <c r="AH268" s="6" t="n">
        <v>348</v>
      </c>
      <c r="AI268" s="6" t="str">
        <f aca="false">IF($J268="NA","NA",IF(AND($J268&gt;1949,AH268&gt;0),"ERRO","OK"))</f>
        <v>OK</v>
      </c>
      <c r="AJ268" s="6" t="n">
        <f aca="false">(10-(LEN(AK268)))+1</f>
        <v>8</v>
      </c>
      <c r="AK268" s="6" t="n">
        <v>147</v>
      </c>
      <c r="AL268" s="6" t="str">
        <f aca="false">IF($J268="NA","NA",IF(AND($J268&gt;1939,AK268&gt;0),"ERRO","OK"))</f>
        <v>OK</v>
      </c>
      <c r="AM268" s="6" t="n">
        <f aca="false">(10-(LEN(AN268)))+1</f>
        <v>10</v>
      </c>
      <c r="AN268" s="6" t="n">
        <v>0</v>
      </c>
      <c r="AO268" s="6" t="str">
        <f aca="false">IF($J268="NA","NA",IF(AND($J268&gt;1929,AN268&gt;0),"ERRO","OK"))</f>
        <v>OK</v>
      </c>
      <c r="AP268" s="6" t="n">
        <f aca="false">(10-(LEN(AQ268)))+1</f>
        <v>10</v>
      </c>
      <c r="AQ268" s="6" t="n">
        <v>0</v>
      </c>
      <c r="AR268" s="6" t="str">
        <f aca="false">IF($J268="NA","NA",IF(AND($J268&gt;1919,AQ268&gt;0),"ERRO","OK"))</f>
        <v>OK</v>
      </c>
      <c r="AS268" s="6" t="n">
        <f aca="false">(10-(LEN(AT268)))+1</f>
        <v>10</v>
      </c>
      <c r="AT268" s="6" t="n">
        <v>0</v>
      </c>
      <c r="AU268" s="6" t="str">
        <f aca="false">IF($J268="NA","NA",IF(AND($J268&gt;1909,AT268&gt;0),"ERRO","OK"))</f>
        <v>OK</v>
      </c>
      <c r="AV268" s="6" t="n">
        <f aca="false">(10-(LEN(AW268)))+1</f>
        <v>10</v>
      </c>
      <c r="AW268" s="6" t="n">
        <v>0</v>
      </c>
      <c r="AX268" s="6" t="str">
        <f aca="false">IF($J268="NA","NA",IF(AND($J268&gt;1899,AW268&gt;0),"ERRO","OK"))</f>
        <v>OK</v>
      </c>
    </row>
    <row r="269" customFormat="false" ht="15" hidden="false" customHeight="false" outlineLevel="0" collapsed="false">
      <c r="A269" s="7" t="n">
        <v>267</v>
      </c>
      <c r="B269" s="0" t="s">
        <v>286</v>
      </c>
      <c r="C269" s="8" t="n">
        <v>45322</v>
      </c>
      <c r="D269" s="6" t="n">
        <v>0</v>
      </c>
      <c r="E269" s="0" t="s">
        <v>16</v>
      </c>
      <c r="F269" s="0" t="s">
        <v>17</v>
      </c>
      <c r="G269" s="9" t="str">
        <f aca="false">IF(OR(N269="ERRO",Q269="ERRO",T269="ERRO",W269="ERRO",Z269="ERRO",AC269="ERRO",AF269="ERRO",AI269="ERRO",AL269="ERRO",AO269="ERRO",AR269="ERRO",AU269="ERRO",AX269="ERRO"),"ERRO","OK")</f>
        <v>OK</v>
      </c>
      <c r="H269" s="9" t="n">
        <f aca="false">COUNTIF(L269:AX269,"ERRO")</f>
        <v>0</v>
      </c>
      <c r="I269" s="9" t="s">
        <v>18</v>
      </c>
      <c r="J269" s="10" t="n">
        <v>1881</v>
      </c>
      <c r="K269" s="10" t="n">
        <v>1969</v>
      </c>
      <c r="L269" s="6" t="n">
        <f aca="false">(10-(LEN(M269)))+1</f>
        <v>7</v>
      </c>
      <c r="M269" s="6" t="n">
        <v>5955</v>
      </c>
      <c r="N269" s="6" t="str">
        <f aca="false">IF($J269="NA","NA",IF(AND($J269&gt;2019,M269&gt;0),"ERRO","OK"))</f>
        <v>OK</v>
      </c>
      <c r="O269" s="6" t="n">
        <f aca="false">(10-(LEN(P269)))+1</f>
        <v>7</v>
      </c>
      <c r="P269" s="6" t="n">
        <v>3602</v>
      </c>
      <c r="Q269" s="6" t="str">
        <f aca="false">IF($J269="NA","NA",IF(AND($J269&gt;2009,P269&gt;0),"ERRO","OK"))</f>
        <v>OK</v>
      </c>
      <c r="R269" s="6" t="n">
        <f aca="false">(10-(LEN(S269)))+1</f>
        <v>7</v>
      </c>
      <c r="S269" s="6" t="n">
        <v>2185</v>
      </c>
      <c r="T269" s="6" t="str">
        <f aca="false">IF($J269="NA","NA",IF(AND($J269&gt;1999,S269&gt;0),"ERRO","OK"))</f>
        <v>OK</v>
      </c>
      <c r="U269" s="6" t="n">
        <f aca="false">(10-(LEN(V269)))+1</f>
        <v>7</v>
      </c>
      <c r="V269" s="6" t="n">
        <v>2024</v>
      </c>
      <c r="W269" s="6" t="str">
        <f aca="false">IF($J269="NA","NA",IF(AND($J269&gt;1989,V269&gt;0),"ERRO","OK"))</f>
        <v>OK</v>
      </c>
      <c r="X269" s="6" t="n">
        <f aca="false">(10-(LEN(Y269)))+1</f>
        <v>7</v>
      </c>
      <c r="Y269" s="6" t="n">
        <v>1712</v>
      </c>
      <c r="Z269" s="6" t="str">
        <f aca="false">IF($J269="NA","NA",IF(AND($J269&gt;1979,Y269&gt;0),"ERRO","OK"))</f>
        <v>OK</v>
      </c>
      <c r="AA269" s="6" t="n">
        <f aca="false">(10-(LEN(AB269)))+1</f>
        <v>7</v>
      </c>
      <c r="AB269" s="6" t="n">
        <v>3281</v>
      </c>
      <c r="AC269" s="6" t="str">
        <f aca="false">IF($J269="NA","NA",IF(AND($J269&gt;1969,AB269&gt;0),"ERRO","OK"))</f>
        <v>OK</v>
      </c>
      <c r="AD269" s="6" t="n">
        <f aca="false">(10-(LEN(AE269)))+1</f>
        <v>7</v>
      </c>
      <c r="AE269" s="6" t="n">
        <v>5562</v>
      </c>
      <c r="AF269" s="6" t="str">
        <f aca="false">IF($J269="NA","NA",IF(AND($J269&gt;1959,AE269&gt;0),"ERRO","OK"))</f>
        <v>OK</v>
      </c>
      <c r="AG269" s="6" t="n">
        <f aca="false">(10-(LEN(AH269)))+1</f>
        <v>7</v>
      </c>
      <c r="AH269" s="6" t="n">
        <v>1432</v>
      </c>
      <c r="AI269" s="6" t="str">
        <f aca="false">IF($J269="NA","NA",IF(AND($J269&gt;1949,AH269&gt;0),"ERRO","OK"))</f>
        <v>OK</v>
      </c>
      <c r="AJ269" s="6" t="n">
        <f aca="false">(10-(LEN(AK269)))+1</f>
        <v>7</v>
      </c>
      <c r="AK269" s="6" t="n">
        <v>3203</v>
      </c>
      <c r="AL269" s="6" t="str">
        <f aca="false">IF($J269="NA","NA",IF(AND($J269&gt;1939,AK269&gt;0),"ERRO","OK"))</f>
        <v>OK</v>
      </c>
      <c r="AM269" s="6" t="n">
        <f aca="false">(10-(LEN(AN269)))+1</f>
        <v>7</v>
      </c>
      <c r="AN269" s="6" t="n">
        <v>2590</v>
      </c>
      <c r="AO269" s="6" t="str">
        <f aca="false">IF($J269="NA","NA",IF(AND($J269&gt;1929,AN269&gt;0),"ERRO","OK"))</f>
        <v>OK</v>
      </c>
      <c r="AP269" s="6" t="n">
        <f aca="false">(10-(LEN(AQ269)))+1</f>
        <v>7</v>
      </c>
      <c r="AQ269" s="6" t="n">
        <v>1903</v>
      </c>
      <c r="AR269" s="6" t="str">
        <f aca="false">IF($J269="NA","NA",IF(AND($J269&gt;1919,AQ269&gt;0),"ERRO","OK"))</f>
        <v>OK</v>
      </c>
      <c r="AS269" s="6" t="n">
        <f aca="false">(10-(LEN(AT269)))+1</f>
        <v>10</v>
      </c>
      <c r="AT269" s="6" t="n">
        <v>0</v>
      </c>
      <c r="AU269" s="6" t="str">
        <f aca="false">IF($J269="NA","NA",IF(AND($J269&gt;1909,AT269&gt;0),"ERRO","OK"))</f>
        <v>OK</v>
      </c>
      <c r="AV269" s="6" t="n">
        <f aca="false">(10-(LEN(AW269)))+1</f>
        <v>10</v>
      </c>
      <c r="AW269" s="6" t="n">
        <v>0</v>
      </c>
      <c r="AX269" s="6" t="str">
        <f aca="false">IF($J269="NA","NA",IF(AND($J269&gt;1899,AW269&gt;0),"ERRO","OK"))</f>
        <v>OK</v>
      </c>
    </row>
    <row r="270" customFormat="false" ht="15" hidden="false" customHeight="false" outlineLevel="0" collapsed="false">
      <c r="A270" s="7" t="n">
        <v>268</v>
      </c>
      <c r="B270" s="0" t="s">
        <v>287</v>
      </c>
      <c r="C270" s="8" t="n">
        <v>45322</v>
      </c>
      <c r="D270" s="6" t="n">
        <v>0</v>
      </c>
      <c r="E270" s="0" t="s">
        <v>16</v>
      </c>
      <c r="F270" s="0" t="s">
        <v>17</v>
      </c>
      <c r="G270" s="9" t="str">
        <f aca="false">IF(OR(N270="ERRO",Q270="ERRO",T270="ERRO",W270="ERRO",Z270="ERRO",AC270="ERRO",AF270="ERRO",AI270="ERRO",AL270="ERRO",AO270="ERRO",AR270="ERRO",AU270="ERRO",AX270="ERRO"),"ERRO","OK")</f>
        <v>OK</v>
      </c>
      <c r="H270" s="9" t="n">
        <f aca="false">COUNTIF(L270:AX270,"ERRO")</f>
        <v>0</v>
      </c>
      <c r="I270" s="9" t="s">
        <v>18</v>
      </c>
      <c r="J270" s="10" t="n">
        <v>1885</v>
      </c>
      <c r="K270" s="10" t="n">
        <v>1925</v>
      </c>
      <c r="L270" s="6" t="n">
        <f aca="false">(10-(LEN(M270)))+1</f>
        <v>8</v>
      </c>
      <c r="M270" s="6" t="n">
        <v>323</v>
      </c>
      <c r="N270" s="6" t="str">
        <f aca="false">IF($J270="NA","NA",IF(AND($J270&gt;2019,M270&gt;0),"ERRO","OK"))</f>
        <v>OK</v>
      </c>
      <c r="O270" s="6" t="n">
        <f aca="false">(10-(LEN(P270)))+1</f>
        <v>8</v>
      </c>
      <c r="P270" s="6" t="n">
        <v>683</v>
      </c>
      <c r="Q270" s="6" t="str">
        <f aca="false">IF($J270="NA","NA",IF(AND($J270&gt;2009,P270&gt;0),"ERRO","OK"))</f>
        <v>OK</v>
      </c>
      <c r="R270" s="6" t="n">
        <f aca="false">(10-(LEN(S270)))+1</f>
        <v>8</v>
      </c>
      <c r="S270" s="6" t="n">
        <v>836</v>
      </c>
      <c r="T270" s="6" t="str">
        <f aca="false">IF($J270="NA","NA",IF(AND($J270&gt;1999,S270&gt;0),"ERRO","OK"))</f>
        <v>OK</v>
      </c>
      <c r="U270" s="6" t="n">
        <f aca="false">(10-(LEN(V270)))+1</f>
        <v>7</v>
      </c>
      <c r="V270" s="6" t="n">
        <v>1224</v>
      </c>
      <c r="W270" s="6" t="str">
        <f aca="false">IF($J270="NA","NA",IF(AND($J270&gt;1989,V270&gt;0),"ERRO","OK"))</f>
        <v>OK</v>
      </c>
      <c r="X270" s="6" t="n">
        <f aca="false">(10-(LEN(Y270)))+1</f>
        <v>7</v>
      </c>
      <c r="Y270" s="6" t="n">
        <v>1898</v>
      </c>
      <c r="Z270" s="6" t="str">
        <f aca="false">IF($J270="NA","NA",IF(AND($J270&gt;1979,Y270&gt;0),"ERRO","OK"))</f>
        <v>OK</v>
      </c>
      <c r="AA270" s="6" t="n">
        <f aca="false">(10-(LEN(AB270)))+1</f>
        <v>7</v>
      </c>
      <c r="AB270" s="6" t="n">
        <v>4602</v>
      </c>
      <c r="AC270" s="6" t="str">
        <f aca="false">IF($J270="NA","NA",IF(AND($J270&gt;1969,AB270&gt;0),"ERRO","OK"))</f>
        <v>OK</v>
      </c>
      <c r="AD270" s="6" t="n">
        <f aca="false">(10-(LEN(AE270)))+1</f>
        <v>7</v>
      </c>
      <c r="AE270" s="6" t="n">
        <v>2483</v>
      </c>
      <c r="AF270" s="6" t="str">
        <f aca="false">IF($J270="NA","NA",IF(AND($J270&gt;1959,AE270&gt;0),"ERRO","OK"))</f>
        <v>OK</v>
      </c>
      <c r="AG270" s="6" t="n">
        <f aca="false">(10-(LEN(AH270)))+1</f>
        <v>8</v>
      </c>
      <c r="AH270" s="6" t="n">
        <v>855</v>
      </c>
      <c r="AI270" s="6" t="str">
        <f aca="false">IF($J270="NA","NA",IF(AND($J270&gt;1949,AH270&gt;0),"ERRO","OK"))</f>
        <v>OK</v>
      </c>
      <c r="AJ270" s="6" t="n">
        <f aca="false">(10-(LEN(AK270)))+1</f>
        <v>8</v>
      </c>
      <c r="AK270" s="6" t="n">
        <v>773</v>
      </c>
      <c r="AL270" s="6" t="str">
        <f aca="false">IF($J270="NA","NA",IF(AND($J270&gt;1939,AK270&gt;0),"ERRO","OK"))</f>
        <v>OK</v>
      </c>
      <c r="AM270" s="6" t="n">
        <f aca="false">(10-(LEN(AN270)))+1</f>
        <v>10</v>
      </c>
      <c r="AN270" s="6" t="n">
        <v>0</v>
      </c>
      <c r="AO270" s="6" t="str">
        <f aca="false">IF($J270="NA","NA",IF(AND($J270&gt;1929,AN270&gt;0),"ERRO","OK"))</f>
        <v>OK</v>
      </c>
      <c r="AP270" s="6" t="n">
        <f aca="false">(10-(LEN(AQ270)))+1</f>
        <v>8</v>
      </c>
      <c r="AQ270" s="6" t="n">
        <v>111</v>
      </c>
      <c r="AR270" s="6" t="str">
        <f aca="false">IF($J270="NA","NA",IF(AND($J270&gt;1919,AQ270&gt;0),"ERRO","OK"))</f>
        <v>OK</v>
      </c>
      <c r="AS270" s="6" t="n">
        <f aca="false">(10-(LEN(AT270)))+1</f>
        <v>10</v>
      </c>
      <c r="AT270" s="6" t="n">
        <v>0</v>
      </c>
      <c r="AU270" s="6" t="str">
        <f aca="false">IF($J270="NA","NA",IF(AND($J270&gt;1909,AT270&gt;0),"ERRO","OK"))</f>
        <v>OK</v>
      </c>
      <c r="AV270" s="6" t="n">
        <f aca="false">(10-(LEN(AW270)))+1</f>
        <v>10</v>
      </c>
      <c r="AW270" s="6" t="n">
        <v>0</v>
      </c>
      <c r="AX270" s="6" t="str">
        <f aca="false">IF($J270="NA","NA",IF(AND($J270&gt;1899,AW270&gt;0),"ERRO","OK"))</f>
        <v>OK</v>
      </c>
    </row>
    <row r="271" customFormat="false" ht="15" hidden="false" customHeight="false" outlineLevel="0" collapsed="false">
      <c r="A271" s="7" t="n">
        <v>269</v>
      </c>
      <c r="B271" s="0" t="s">
        <v>288</v>
      </c>
      <c r="C271" s="8" t="n">
        <v>45322</v>
      </c>
      <c r="D271" s="6" t="n">
        <v>0</v>
      </c>
      <c r="E271" s="0" t="s">
        <v>16</v>
      </c>
      <c r="F271" s="0" t="s">
        <v>17</v>
      </c>
      <c r="G271" s="9" t="str">
        <f aca="false">IF(OR(N271="ERRO",Q271="ERRO",T271="ERRO",W271="ERRO",Z271="ERRO",AC271="ERRO",AF271="ERRO",AI271="ERRO",AL271="ERRO",AO271="ERRO",AR271="ERRO",AU271="ERRO",AX271="ERRO"),"ERRO","OK")</f>
        <v>OK</v>
      </c>
      <c r="H271" s="9" t="n">
        <f aca="false">COUNTIF(L271:AX271,"ERRO")</f>
        <v>0</v>
      </c>
      <c r="I271" s="9" t="s">
        <v>18</v>
      </c>
      <c r="J271" s="10" t="n">
        <v>1875</v>
      </c>
      <c r="K271" s="10" t="n">
        <v>1973</v>
      </c>
      <c r="L271" s="6" t="n">
        <f aca="false">(10-(LEN(M271)))+1</f>
        <v>8</v>
      </c>
      <c r="M271" s="6" t="n">
        <v>333</v>
      </c>
      <c r="N271" s="6" t="str">
        <f aca="false">IF($J271="NA","NA",IF(AND($J271&gt;2019,M271&gt;0),"ERRO","OK"))</f>
        <v>OK</v>
      </c>
      <c r="O271" s="6" t="n">
        <f aca="false">(10-(LEN(P271)))+1</f>
        <v>8</v>
      </c>
      <c r="P271" s="6" t="n">
        <v>343</v>
      </c>
      <c r="Q271" s="6" t="str">
        <f aca="false">IF($J271="NA","NA",IF(AND($J271&gt;2009,P271&gt;0),"ERRO","OK"))</f>
        <v>OK</v>
      </c>
      <c r="R271" s="6" t="n">
        <f aca="false">(10-(LEN(S271)))+1</f>
        <v>8</v>
      </c>
      <c r="S271" s="6" t="n">
        <v>126</v>
      </c>
      <c r="T271" s="6" t="str">
        <f aca="false">IF($J271="NA","NA",IF(AND($J271&gt;1999,S271&gt;0),"ERRO","OK"))</f>
        <v>OK</v>
      </c>
      <c r="U271" s="6" t="n">
        <f aca="false">(10-(LEN(V271)))+1</f>
        <v>8</v>
      </c>
      <c r="V271" s="6" t="n">
        <v>138</v>
      </c>
      <c r="W271" s="6" t="str">
        <f aca="false">IF($J271="NA","NA",IF(AND($J271&gt;1989,V271&gt;0),"ERRO","OK"))</f>
        <v>OK</v>
      </c>
      <c r="X271" s="6" t="n">
        <f aca="false">(10-(LEN(Y271)))+1</f>
        <v>8</v>
      </c>
      <c r="Y271" s="6" t="n">
        <v>535</v>
      </c>
      <c r="Z271" s="6" t="str">
        <f aca="false">IF($J271="NA","NA",IF(AND($J271&gt;1979,Y271&gt;0),"ERRO","OK"))</f>
        <v>OK</v>
      </c>
      <c r="AA271" s="6" t="n">
        <f aca="false">(10-(LEN(AB271)))+1</f>
        <v>8</v>
      </c>
      <c r="AB271" s="6" t="n">
        <v>879</v>
      </c>
      <c r="AC271" s="6" t="str">
        <f aca="false">IF($J271="NA","NA",IF(AND($J271&gt;1969,AB271&gt;0),"ERRO","OK"))</f>
        <v>OK</v>
      </c>
      <c r="AD271" s="6" t="n">
        <f aca="false">(10-(LEN(AE271)))+1</f>
        <v>7</v>
      </c>
      <c r="AE271" s="6" t="n">
        <v>1166</v>
      </c>
      <c r="AF271" s="6" t="str">
        <f aca="false">IF($J271="NA","NA",IF(AND($J271&gt;1959,AE271&gt;0),"ERRO","OK"))</f>
        <v>OK</v>
      </c>
      <c r="AG271" s="6" t="n">
        <f aca="false">(10-(LEN(AH271)))+1</f>
        <v>10</v>
      </c>
      <c r="AH271" s="6" t="n">
        <v>0</v>
      </c>
      <c r="AI271" s="6" t="str">
        <f aca="false">IF($J271="NA","NA",IF(AND($J271&gt;1949,AH271&gt;0),"ERRO","OK"))</f>
        <v>OK</v>
      </c>
      <c r="AJ271" s="6" t="n">
        <f aca="false">(10-(LEN(AK271)))+1</f>
        <v>10</v>
      </c>
      <c r="AK271" s="6" t="n">
        <v>0</v>
      </c>
      <c r="AL271" s="6" t="str">
        <f aca="false">IF($J271="NA","NA",IF(AND($J271&gt;1939,AK271&gt;0),"ERRO","OK"))</f>
        <v>OK</v>
      </c>
      <c r="AM271" s="6" t="n">
        <f aca="false">(10-(LEN(AN271)))+1</f>
        <v>10</v>
      </c>
      <c r="AN271" s="6" t="n">
        <v>0</v>
      </c>
      <c r="AO271" s="6" t="str">
        <f aca="false">IF($J271="NA","NA",IF(AND($J271&gt;1929,AN271&gt;0),"ERRO","OK"))</f>
        <v>OK</v>
      </c>
      <c r="AP271" s="6" t="n">
        <f aca="false">(10-(LEN(AQ271)))+1</f>
        <v>10</v>
      </c>
      <c r="AQ271" s="6" t="n">
        <v>0</v>
      </c>
      <c r="AR271" s="6" t="str">
        <f aca="false">IF($J271="NA","NA",IF(AND($J271&gt;1919,AQ271&gt;0),"ERRO","OK"))</f>
        <v>OK</v>
      </c>
      <c r="AS271" s="6" t="n">
        <f aca="false">(10-(LEN(AT271)))+1</f>
        <v>10</v>
      </c>
      <c r="AT271" s="6" t="n">
        <v>0</v>
      </c>
      <c r="AU271" s="6" t="str">
        <f aca="false">IF($J271="NA","NA",IF(AND($J271&gt;1909,AT271&gt;0),"ERRO","OK"))</f>
        <v>OK</v>
      </c>
      <c r="AV271" s="6" t="n">
        <f aca="false">(10-(LEN(AW271)))+1</f>
        <v>10</v>
      </c>
      <c r="AW271" s="6" t="n">
        <v>0</v>
      </c>
      <c r="AX271" s="6" t="str">
        <f aca="false">IF($J271="NA","NA",IF(AND($J271&gt;1899,AW271&gt;0),"ERRO","OK"))</f>
        <v>OK</v>
      </c>
    </row>
    <row r="272" customFormat="false" ht="15" hidden="false" customHeight="false" outlineLevel="0" collapsed="false">
      <c r="A272" s="7" t="n">
        <v>270</v>
      </c>
      <c r="B272" s="0" t="s">
        <v>289</v>
      </c>
      <c r="C272" s="8" t="n">
        <v>45322</v>
      </c>
      <c r="D272" s="6" t="n">
        <v>0</v>
      </c>
      <c r="E272" s="0" t="s">
        <v>16</v>
      </c>
      <c r="F272" s="0" t="s">
        <v>17</v>
      </c>
      <c r="G272" s="9" t="str">
        <f aca="false">IF(OR(N272="ERRO",Q272="ERRO",T272="ERRO",W272="ERRO",Z272="ERRO",AC272="ERRO",AF272="ERRO",AI272="ERRO",AL272="ERRO",AO272="ERRO",AR272="ERRO",AU272="ERRO",AX272="ERRO"),"ERRO","OK")</f>
        <v>OK</v>
      </c>
      <c r="H272" s="9" t="n">
        <f aca="false">COUNTIF(L272:AX272,"ERRO")</f>
        <v>0</v>
      </c>
      <c r="I272" s="9" t="s">
        <v>18</v>
      </c>
      <c r="J272" s="10" t="n">
        <v>1874</v>
      </c>
      <c r="K272" s="10" t="n">
        <v>1946</v>
      </c>
      <c r="L272" s="6" t="n">
        <f aca="false">(10-(LEN(M272)))+1</f>
        <v>5</v>
      </c>
      <c r="M272" s="6" t="n">
        <v>290093</v>
      </c>
      <c r="N272" s="6" t="str">
        <f aca="false">IF($J272="NA","NA",IF(AND($J272&gt;2019,M272&gt;0),"ERRO","OK"))</f>
        <v>OK</v>
      </c>
      <c r="O272" s="6" t="n">
        <f aca="false">(10-(LEN(P272)))+1</f>
        <v>5</v>
      </c>
      <c r="P272" s="6" t="n">
        <v>332473</v>
      </c>
      <c r="Q272" s="6" t="str">
        <f aca="false">IF($J272="NA","NA",IF(AND($J272&gt;2009,P272&gt;0),"ERRO","OK"))</f>
        <v>OK</v>
      </c>
      <c r="R272" s="6" t="n">
        <f aca="false">(10-(LEN(S272)))+1</f>
        <v>5</v>
      </c>
      <c r="S272" s="6" t="n">
        <v>386881</v>
      </c>
      <c r="T272" s="6" t="str">
        <f aca="false">IF($J272="NA","NA",IF(AND($J272&gt;1999,S272&gt;0),"ERRO","OK"))</f>
        <v>OK</v>
      </c>
      <c r="U272" s="6" t="n">
        <f aca="false">(10-(LEN(V272)))+1</f>
        <v>5</v>
      </c>
      <c r="V272" s="6" t="n">
        <v>355702</v>
      </c>
      <c r="W272" s="6" t="str">
        <f aca="false">IF($J272="NA","NA",IF(AND($J272&gt;1989,V272&gt;0),"ERRO","OK"))</f>
        <v>OK</v>
      </c>
      <c r="X272" s="6" t="n">
        <f aca="false">(10-(LEN(Y272)))+1</f>
        <v>5</v>
      </c>
      <c r="Y272" s="6" t="n">
        <v>320039</v>
      </c>
      <c r="Z272" s="6" t="str">
        <f aca="false">IF($J272="NA","NA",IF(AND($J272&gt;1979,Y272&gt;0),"ERRO","OK"))</f>
        <v>OK</v>
      </c>
      <c r="AA272" s="6" t="n">
        <f aca="false">(10-(LEN(AB272)))+1</f>
        <v>5</v>
      </c>
      <c r="AB272" s="6" t="n">
        <v>263983</v>
      </c>
      <c r="AC272" s="6" t="str">
        <f aca="false">IF($J272="NA","NA",IF(AND($J272&gt;1969,AB272&gt;0),"ERRO","OK"))</f>
        <v>OK</v>
      </c>
      <c r="AD272" s="6" t="n">
        <f aca="false">(10-(LEN(AE272)))+1</f>
        <v>5</v>
      </c>
      <c r="AE272" s="6" t="n">
        <v>360432</v>
      </c>
      <c r="AF272" s="6" t="str">
        <f aca="false">IF($J272="NA","NA",IF(AND($J272&gt;1959,AE272&gt;0),"ERRO","OK"))</f>
        <v>OK</v>
      </c>
      <c r="AG272" s="6" t="n">
        <f aca="false">(10-(LEN(AH272)))+1</f>
        <v>5</v>
      </c>
      <c r="AH272" s="6" t="n">
        <v>273362</v>
      </c>
      <c r="AI272" s="6" t="str">
        <f aca="false">IF($J272="NA","NA",IF(AND($J272&gt;1949,AH272&gt;0),"ERRO","OK"))</f>
        <v>OK</v>
      </c>
      <c r="AJ272" s="6" t="n">
        <f aca="false">(10-(LEN(AK272)))+1</f>
        <v>5</v>
      </c>
      <c r="AK272" s="6" t="n">
        <v>152487</v>
      </c>
      <c r="AL272" s="6" t="str">
        <f aca="false">IF($J272="NA","NA",IF(AND($J272&gt;1939,AK272&gt;0),"ERRO","OK"))</f>
        <v>OK</v>
      </c>
      <c r="AM272" s="6" t="n">
        <f aca="false">(10-(LEN(AN272)))+1</f>
        <v>6</v>
      </c>
      <c r="AN272" s="6" t="n">
        <v>98710</v>
      </c>
      <c r="AO272" s="6" t="str">
        <f aca="false">IF($J272="NA","NA",IF(AND($J272&gt;1929,AN272&gt;0),"ERRO","OK"))</f>
        <v>OK</v>
      </c>
      <c r="AP272" s="6" t="n">
        <f aca="false">(10-(LEN(AQ272)))+1</f>
        <v>6</v>
      </c>
      <c r="AQ272" s="6" t="n">
        <v>10114</v>
      </c>
      <c r="AR272" s="6" t="str">
        <f aca="false">IF($J272="NA","NA",IF(AND($J272&gt;1919,AQ272&gt;0),"ERRO","OK"))</f>
        <v>OK</v>
      </c>
      <c r="AS272" s="6" t="n">
        <f aca="false">(10-(LEN(AT272)))+1</f>
        <v>7</v>
      </c>
      <c r="AT272" s="6" t="n">
        <v>2681</v>
      </c>
      <c r="AU272" s="6" t="str">
        <f aca="false">IF($J272="NA","NA",IF(AND($J272&gt;1909,AT272&gt;0),"ERRO","OK"))</f>
        <v>OK</v>
      </c>
      <c r="AV272" s="6" t="n">
        <f aca="false">(10-(LEN(AW272)))+1</f>
        <v>7</v>
      </c>
      <c r="AW272" s="6" t="n">
        <v>2967</v>
      </c>
      <c r="AX272" s="6" t="str">
        <f aca="false">IF($J272="NA","NA",IF(AND($J272&gt;1899,AW272&gt;0),"ERRO","OK"))</f>
        <v>OK</v>
      </c>
    </row>
    <row r="273" customFormat="false" ht="15" hidden="false" customHeight="false" outlineLevel="0" collapsed="false">
      <c r="A273" s="7" t="n">
        <v>271</v>
      </c>
      <c r="B273" s="0" t="s">
        <v>290</v>
      </c>
      <c r="C273" s="8" t="n">
        <v>45322</v>
      </c>
      <c r="D273" s="6" t="n">
        <v>0</v>
      </c>
      <c r="E273" s="0" t="s">
        <v>16</v>
      </c>
      <c r="F273" s="0" t="s">
        <v>17</v>
      </c>
      <c r="G273" s="9" t="str">
        <f aca="false">IF(OR(N273="ERRO",Q273="ERRO",T273="ERRO",W273="ERRO",Z273="ERRO",AC273="ERRO",AF273="ERRO",AI273="ERRO",AL273="ERRO",AO273="ERRO",AR273="ERRO",AU273="ERRO",AX273="ERRO"),"ERRO","OK")</f>
        <v>OK</v>
      </c>
      <c r="H273" s="9" t="n">
        <f aca="false">COUNTIF(L273:AX273,"ERRO")</f>
        <v>0</v>
      </c>
      <c r="I273" s="9" t="s">
        <v>18</v>
      </c>
      <c r="J273" s="10" t="n">
        <v>1879</v>
      </c>
      <c r="K273" s="10" t="n">
        <v>1962</v>
      </c>
      <c r="L273" s="6" t="n">
        <f aca="false">(10-(LEN(M273)))+1</f>
        <v>6</v>
      </c>
      <c r="M273" s="6" t="n">
        <v>23612</v>
      </c>
      <c r="N273" s="6" t="str">
        <f aca="false">IF($J273="NA","NA",IF(AND($J273&gt;2019,M273&gt;0),"ERRO","OK"))</f>
        <v>OK</v>
      </c>
      <c r="O273" s="6" t="n">
        <f aca="false">(10-(LEN(P273)))+1</f>
        <v>6</v>
      </c>
      <c r="P273" s="6" t="n">
        <v>49398</v>
      </c>
      <c r="Q273" s="6" t="str">
        <f aca="false">IF($J273="NA","NA",IF(AND($J273&gt;2009,P273&gt;0),"ERRO","OK"))</f>
        <v>OK</v>
      </c>
      <c r="R273" s="6" t="n">
        <f aca="false">(10-(LEN(S273)))+1</f>
        <v>6</v>
      </c>
      <c r="S273" s="6" t="n">
        <v>54831</v>
      </c>
      <c r="T273" s="6" t="str">
        <f aca="false">IF($J273="NA","NA",IF(AND($J273&gt;1999,S273&gt;0),"ERRO","OK"))</f>
        <v>OK</v>
      </c>
      <c r="U273" s="6" t="n">
        <f aca="false">(10-(LEN(V273)))+1</f>
        <v>6</v>
      </c>
      <c r="V273" s="6" t="n">
        <v>33482</v>
      </c>
      <c r="W273" s="6" t="str">
        <f aca="false">IF($J273="NA","NA",IF(AND($J273&gt;1989,V273&gt;0),"ERRO","OK"))</f>
        <v>OK</v>
      </c>
      <c r="X273" s="6" t="n">
        <f aca="false">(10-(LEN(Y273)))+1</f>
        <v>6</v>
      </c>
      <c r="Y273" s="6" t="n">
        <v>27343</v>
      </c>
      <c r="Z273" s="6" t="str">
        <f aca="false">IF($J273="NA","NA",IF(AND($J273&gt;1979,Y273&gt;0),"ERRO","OK"))</f>
        <v>OK</v>
      </c>
      <c r="AA273" s="6" t="n">
        <f aca="false">(10-(LEN(AB273)))+1</f>
        <v>6</v>
      </c>
      <c r="AB273" s="6" t="n">
        <v>26603</v>
      </c>
      <c r="AC273" s="6" t="str">
        <f aca="false">IF($J273="NA","NA",IF(AND($J273&gt;1969,AB273&gt;0),"ERRO","OK"))</f>
        <v>OK</v>
      </c>
      <c r="AD273" s="6" t="n">
        <f aca="false">(10-(LEN(AE273)))+1</f>
        <v>6</v>
      </c>
      <c r="AE273" s="6" t="n">
        <v>70956</v>
      </c>
      <c r="AF273" s="6" t="str">
        <f aca="false">IF($J273="NA","NA",IF(AND($J273&gt;1959,AE273&gt;0),"ERRO","OK"))</f>
        <v>OK</v>
      </c>
      <c r="AG273" s="6" t="n">
        <f aca="false">(10-(LEN(AH273)))+1</f>
        <v>6</v>
      </c>
      <c r="AH273" s="6" t="n">
        <v>12335</v>
      </c>
      <c r="AI273" s="6" t="str">
        <f aca="false">IF($J273="NA","NA",IF(AND($J273&gt;1949,AH273&gt;0),"ERRO","OK"))</f>
        <v>OK</v>
      </c>
      <c r="AJ273" s="6" t="n">
        <f aca="false">(10-(LEN(AK273)))+1</f>
        <v>6</v>
      </c>
      <c r="AK273" s="6" t="n">
        <v>23256</v>
      </c>
      <c r="AL273" s="6" t="str">
        <f aca="false">IF($J273="NA","NA",IF(AND($J273&gt;1939,AK273&gt;0),"ERRO","OK"))</f>
        <v>OK</v>
      </c>
      <c r="AM273" s="6" t="n">
        <f aca="false">(10-(LEN(AN273)))+1</f>
        <v>7</v>
      </c>
      <c r="AN273" s="6" t="n">
        <v>6093</v>
      </c>
      <c r="AO273" s="6" t="str">
        <f aca="false">IF($J273="NA","NA",IF(AND($J273&gt;1929,AN273&gt;0),"ERRO","OK"))</f>
        <v>OK</v>
      </c>
      <c r="AP273" s="6" t="n">
        <f aca="false">(10-(LEN(AQ273)))+1</f>
        <v>7</v>
      </c>
      <c r="AQ273" s="6" t="n">
        <v>1001</v>
      </c>
      <c r="AR273" s="6" t="str">
        <f aca="false">IF($J273="NA","NA",IF(AND($J273&gt;1919,AQ273&gt;0),"ERRO","OK"))</f>
        <v>OK</v>
      </c>
      <c r="AS273" s="6" t="n">
        <f aca="false">(10-(LEN(AT273)))+1</f>
        <v>8</v>
      </c>
      <c r="AT273" s="6" t="n">
        <v>103</v>
      </c>
      <c r="AU273" s="6" t="str">
        <f aca="false">IF($J273="NA","NA",IF(AND($J273&gt;1909,AT273&gt;0),"ERRO","OK"))</f>
        <v>OK</v>
      </c>
      <c r="AV273" s="6" t="n">
        <f aca="false">(10-(LEN(AW273)))+1</f>
        <v>8</v>
      </c>
      <c r="AW273" s="6" t="n">
        <v>129</v>
      </c>
      <c r="AX273" s="6" t="str">
        <f aca="false">IF($J273="NA","NA",IF(AND($J273&gt;1899,AW273&gt;0),"ERRO","OK"))</f>
        <v>OK</v>
      </c>
    </row>
    <row r="274" customFormat="false" ht="15" hidden="false" customHeight="false" outlineLevel="0" collapsed="false">
      <c r="A274" s="7" t="n">
        <v>272</v>
      </c>
      <c r="B274" s="0" t="s">
        <v>291</v>
      </c>
      <c r="C274" s="8" t="n">
        <v>45322</v>
      </c>
      <c r="D274" s="6" t="n">
        <v>0</v>
      </c>
      <c r="E274" s="0" t="s">
        <v>16</v>
      </c>
      <c r="F274" s="0" t="s">
        <v>17</v>
      </c>
      <c r="G274" s="9" t="str">
        <f aca="false">IF(OR(N274="ERRO",Q274="ERRO",T274="ERRO",W274="ERRO",Z274="ERRO",AC274="ERRO",AF274="ERRO",AI274="ERRO",AL274="ERRO",AO274="ERRO",AR274="ERRO",AU274="ERRO",AX274="ERRO"),"ERRO","OK")</f>
        <v>OK</v>
      </c>
      <c r="H274" s="9" t="n">
        <f aca="false">COUNTIF(L274:AX274,"ERRO")</f>
        <v>0</v>
      </c>
      <c r="I274" s="9" t="s">
        <v>18</v>
      </c>
      <c r="J274" s="10" t="n">
        <v>1879</v>
      </c>
      <c r="K274" s="10" t="n">
        <v>1955</v>
      </c>
      <c r="L274" s="6" t="n">
        <f aca="false">(10-(LEN(M274)))+1</f>
        <v>5</v>
      </c>
      <c r="M274" s="6" t="n">
        <v>130388</v>
      </c>
      <c r="N274" s="6" t="str">
        <f aca="false">IF($J274="NA","NA",IF(AND($J274&gt;2019,M274&gt;0),"ERRO","OK"))</f>
        <v>OK</v>
      </c>
      <c r="O274" s="6" t="n">
        <f aca="false">(10-(LEN(P274)))+1</f>
        <v>5</v>
      </c>
      <c r="P274" s="6" t="n">
        <v>195841</v>
      </c>
      <c r="Q274" s="6" t="str">
        <f aca="false">IF($J274="NA","NA",IF(AND($J274&gt;2009,P274&gt;0),"ERRO","OK"))</f>
        <v>OK</v>
      </c>
      <c r="R274" s="6" t="n">
        <f aca="false">(10-(LEN(S274)))+1</f>
        <v>5</v>
      </c>
      <c r="S274" s="6" t="n">
        <v>239112</v>
      </c>
      <c r="T274" s="6" t="str">
        <f aca="false">IF($J274="NA","NA",IF(AND($J274&gt;1999,S274&gt;0),"ERRO","OK"))</f>
        <v>OK</v>
      </c>
      <c r="U274" s="6" t="n">
        <f aca="false">(10-(LEN(V274)))+1</f>
        <v>5</v>
      </c>
      <c r="V274" s="6" t="n">
        <v>270939</v>
      </c>
      <c r="W274" s="6" t="str">
        <f aca="false">IF($J274="NA","NA",IF(AND($J274&gt;1989,V274&gt;0),"ERRO","OK"))</f>
        <v>OK</v>
      </c>
      <c r="X274" s="6" t="n">
        <f aca="false">(10-(LEN(Y274)))+1</f>
        <v>5</v>
      </c>
      <c r="Y274" s="6" t="n">
        <v>193329</v>
      </c>
      <c r="Z274" s="6" t="str">
        <f aca="false">IF($J274="NA","NA",IF(AND($J274&gt;1979,Y274&gt;0),"ERRO","OK"))</f>
        <v>OK</v>
      </c>
      <c r="AA274" s="6" t="n">
        <f aca="false">(10-(LEN(AB274)))+1</f>
        <v>5</v>
      </c>
      <c r="AB274" s="6" t="n">
        <v>194310</v>
      </c>
      <c r="AC274" s="6" t="str">
        <f aca="false">IF($J274="NA","NA",IF(AND($J274&gt;1969,AB274&gt;0),"ERRO","OK"))</f>
        <v>OK</v>
      </c>
      <c r="AD274" s="6" t="n">
        <f aca="false">(10-(LEN(AE274)))+1</f>
        <v>5</v>
      </c>
      <c r="AE274" s="6" t="n">
        <v>129623</v>
      </c>
      <c r="AF274" s="6" t="str">
        <f aca="false">IF($J274="NA","NA",IF(AND($J274&gt;1959,AE274&gt;0),"ERRO","OK"))</f>
        <v>OK</v>
      </c>
      <c r="AG274" s="6" t="n">
        <f aca="false">(10-(LEN(AH274)))+1</f>
        <v>6</v>
      </c>
      <c r="AH274" s="6" t="n">
        <v>85357</v>
      </c>
      <c r="AI274" s="6" t="str">
        <f aca="false">IF($J274="NA","NA",IF(AND($J274&gt;1949,AH274&gt;0),"ERRO","OK"))</f>
        <v>OK</v>
      </c>
      <c r="AJ274" s="6" t="n">
        <f aca="false">(10-(LEN(AK274)))+1</f>
        <v>6</v>
      </c>
      <c r="AK274" s="6" t="n">
        <v>33700</v>
      </c>
      <c r="AL274" s="6" t="str">
        <f aca="false">IF($J274="NA","NA",IF(AND($J274&gt;1939,AK274&gt;0),"ERRO","OK"))</f>
        <v>OK</v>
      </c>
      <c r="AM274" s="6" t="n">
        <f aca="false">(10-(LEN(AN274)))+1</f>
        <v>6</v>
      </c>
      <c r="AN274" s="6" t="n">
        <v>21022</v>
      </c>
      <c r="AO274" s="6" t="str">
        <f aca="false">IF($J274="NA","NA",IF(AND($J274&gt;1929,AN274&gt;0),"ERRO","OK"))</f>
        <v>OK</v>
      </c>
      <c r="AP274" s="6" t="n">
        <f aca="false">(10-(LEN(AQ274)))+1</f>
        <v>6</v>
      </c>
      <c r="AQ274" s="6" t="n">
        <v>20728</v>
      </c>
      <c r="AR274" s="6" t="str">
        <f aca="false">IF($J274="NA","NA",IF(AND($J274&gt;1919,AQ274&gt;0),"ERRO","OK"))</f>
        <v>OK</v>
      </c>
      <c r="AS274" s="6" t="n">
        <f aca="false">(10-(LEN(AT274)))+1</f>
        <v>8</v>
      </c>
      <c r="AT274" s="6" t="n">
        <v>825</v>
      </c>
      <c r="AU274" s="6" t="str">
        <f aca="false">IF($J274="NA","NA",IF(AND($J274&gt;1909,AT274&gt;0),"ERRO","OK"))</f>
        <v>OK</v>
      </c>
      <c r="AV274" s="6" t="n">
        <f aca="false">(10-(LEN(AW274)))+1</f>
        <v>7</v>
      </c>
      <c r="AW274" s="6" t="n">
        <v>3225</v>
      </c>
      <c r="AX274" s="6" t="str">
        <f aca="false">IF($J274="NA","NA",IF(AND($J274&gt;1899,AW274&gt;0),"ERRO","OK"))</f>
        <v>OK</v>
      </c>
    </row>
    <row r="275" customFormat="false" ht="15" hidden="false" customHeight="false" outlineLevel="0" collapsed="false">
      <c r="A275" s="7" t="n">
        <v>273</v>
      </c>
      <c r="B275" s="0" t="s">
        <v>292</v>
      </c>
      <c r="C275" s="8" t="n">
        <v>45322</v>
      </c>
      <c r="D275" s="6" t="n">
        <v>0</v>
      </c>
      <c r="E275" s="0" t="s">
        <v>16</v>
      </c>
      <c r="F275" s="0" t="s">
        <v>17</v>
      </c>
      <c r="G275" s="9" t="str">
        <f aca="false">IF(OR(N275="ERRO",Q275="ERRO",T275="ERRO",W275="ERRO",Z275="ERRO",AC275="ERRO",AF275="ERRO",AI275="ERRO",AL275="ERRO",AO275="ERRO",AR275="ERRO",AU275="ERRO",AX275="ERRO"),"ERRO","OK")</f>
        <v>OK</v>
      </c>
      <c r="H275" s="9" t="n">
        <f aca="false">COUNTIF(L275:AX275,"ERRO")</f>
        <v>0</v>
      </c>
      <c r="I275" s="9" t="s">
        <v>18</v>
      </c>
      <c r="J275" s="10" t="n">
        <v>1884</v>
      </c>
      <c r="K275" s="10" t="n">
        <v>1980</v>
      </c>
      <c r="L275" s="6" t="n">
        <f aca="false">(10-(LEN(M275)))+1</f>
        <v>7</v>
      </c>
      <c r="M275" s="6" t="n">
        <v>1249</v>
      </c>
      <c r="N275" s="6" t="str">
        <f aca="false">IF($J275="NA","NA",IF(AND($J275&gt;2019,M275&gt;0),"ERRO","OK"))</f>
        <v>OK</v>
      </c>
      <c r="O275" s="6" t="n">
        <f aca="false">(10-(LEN(P275)))+1</f>
        <v>8</v>
      </c>
      <c r="P275" s="6" t="n">
        <v>343</v>
      </c>
      <c r="Q275" s="6" t="str">
        <f aca="false">IF($J275="NA","NA",IF(AND($J275&gt;2009,P275&gt;0),"ERRO","OK"))</f>
        <v>OK</v>
      </c>
      <c r="R275" s="6" t="n">
        <f aca="false">(10-(LEN(S275)))+1</f>
        <v>8</v>
      </c>
      <c r="S275" s="6" t="n">
        <v>672</v>
      </c>
      <c r="T275" s="6" t="str">
        <f aca="false">IF($J275="NA","NA",IF(AND($J275&gt;1999,S275&gt;0),"ERRO","OK"))</f>
        <v>OK</v>
      </c>
      <c r="U275" s="6" t="n">
        <f aca="false">(10-(LEN(V275)))+1</f>
        <v>8</v>
      </c>
      <c r="V275" s="6" t="n">
        <v>414</v>
      </c>
      <c r="W275" s="6" t="str">
        <f aca="false">IF($J275="NA","NA",IF(AND($J275&gt;1989,V275&gt;0),"ERRO","OK"))</f>
        <v>OK</v>
      </c>
      <c r="X275" s="6" t="n">
        <f aca="false">(10-(LEN(Y275)))+1</f>
        <v>8</v>
      </c>
      <c r="Y275" s="6" t="n">
        <v>321</v>
      </c>
      <c r="Z275" s="6" t="str">
        <f aca="false">IF($J275="NA","NA",IF(AND($J275&gt;1979,Y275&gt;0),"ERRO","OK"))</f>
        <v>OK</v>
      </c>
      <c r="AA275" s="6" t="n">
        <f aca="false">(10-(LEN(AB275)))+1</f>
        <v>8</v>
      </c>
      <c r="AB275" s="6" t="n">
        <v>117</v>
      </c>
      <c r="AC275" s="6" t="str">
        <f aca="false">IF($J275="NA","NA",IF(AND($J275&gt;1969,AB275&gt;0),"ERRO","OK"))</f>
        <v>OK</v>
      </c>
      <c r="AD275" s="6" t="n">
        <f aca="false">(10-(LEN(AE275)))+1</f>
        <v>9</v>
      </c>
      <c r="AE275" s="6" t="n">
        <v>90</v>
      </c>
      <c r="AF275" s="6" t="str">
        <f aca="false">IF($J275="NA","NA",IF(AND($J275&gt;1959,AE275&gt;0),"ERRO","OK"))</f>
        <v>OK</v>
      </c>
      <c r="AG275" s="6" t="n">
        <f aca="false">(10-(LEN(AH275)))+1</f>
        <v>10</v>
      </c>
      <c r="AH275" s="6" t="n">
        <v>0</v>
      </c>
      <c r="AI275" s="6" t="str">
        <f aca="false">IF($J275="NA","NA",IF(AND($J275&gt;1949,AH275&gt;0),"ERRO","OK"))</f>
        <v>OK</v>
      </c>
      <c r="AJ275" s="6" t="n">
        <f aca="false">(10-(LEN(AK275)))+1</f>
        <v>10</v>
      </c>
      <c r="AK275" s="6" t="n">
        <v>0</v>
      </c>
      <c r="AL275" s="6" t="str">
        <f aca="false">IF($J275="NA","NA",IF(AND($J275&gt;1939,AK275&gt;0),"ERRO","OK"))</f>
        <v>OK</v>
      </c>
      <c r="AM275" s="6" t="n">
        <f aca="false">(10-(LEN(AN275)))+1</f>
        <v>10</v>
      </c>
      <c r="AN275" s="6" t="n">
        <v>0</v>
      </c>
      <c r="AO275" s="6" t="str">
        <f aca="false">IF($J275="NA","NA",IF(AND($J275&gt;1929,AN275&gt;0),"ERRO","OK"))</f>
        <v>OK</v>
      </c>
      <c r="AP275" s="6" t="n">
        <f aca="false">(10-(LEN(AQ275)))+1</f>
        <v>10</v>
      </c>
      <c r="AQ275" s="6" t="n">
        <v>0</v>
      </c>
      <c r="AR275" s="6" t="str">
        <f aca="false">IF($J275="NA","NA",IF(AND($J275&gt;1919,AQ275&gt;0),"ERRO","OK"))</f>
        <v>OK</v>
      </c>
      <c r="AS275" s="6" t="n">
        <f aca="false">(10-(LEN(AT275)))+1</f>
        <v>10</v>
      </c>
      <c r="AT275" s="6" t="n">
        <v>0</v>
      </c>
      <c r="AU275" s="6" t="str">
        <f aca="false">IF($J275="NA","NA",IF(AND($J275&gt;1909,AT275&gt;0),"ERRO","OK"))</f>
        <v>OK</v>
      </c>
      <c r="AV275" s="6" t="n">
        <f aca="false">(10-(LEN(AW275)))+1</f>
        <v>10</v>
      </c>
      <c r="AW275" s="6" t="n">
        <v>0</v>
      </c>
      <c r="AX275" s="6" t="str">
        <f aca="false">IF($J275="NA","NA",IF(AND($J275&gt;1899,AW275&gt;0),"ERRO","OK"))</f>
        <v>OK</v>
      </c>
    </row>
    <row r="276" customFormat="false" ht="15" hidden="false" customHeight="false" outlineLevel="0" collapsed="false">
      <c r="A276" s="7" t="n">
        <v>274</v>
      </c>
      <c r="B276" s="0" t="s">
        <v>293</v>
      </c>
      <c r="C276" s="8" t="n">
        <v>45322</v>
      </c>
      <c r="D276" s="6" t="n">
        <v>0</v>
      </c>
      <c r="E276" s="0" t="s">
        <v>16</v>
      </c>
      <c r="F276" s="0" t="s">
        <v>17</v>
      </c>
      <c r="G276" s="9" t="str">
        <f aca="false">IF(OR(N276="ERRO",Q276="ERRO",T276="ERRO",W276="ERRO",Z276="ERRO",AC276="ERRO",AF276="ERRO",AI276="ERRO",AL276="ERRO",AO276="ERRO",AR276="ERRO",AU276="ERRO",AX276="ERRO"),"ERRO","OK")</f>
        <v>OK</v>
      </c>
      <c r="H276" s="9" t="n">
        <f aca="false">COUNTIF(L276:AX276,"ERRO")</f>
        <v>0</v>
      </c>
      <c r="I276" s="9" t="s">
        <v>18</v>
      </c>
      <c r="J276" s="10" t="n">
        <v>1890</v>
      </c>
      <c r="K276" s="10" t="n">
        <v>1989</v>
      </c>
      <c r="L276" s="6" t="n">
        <f aca="false">(10-(LEN(M276)))+1</f>
        <v>7</v>
      </c>
      <c r="M276" s="6" t="n">
        <v>2165</v>
      </c>
      <c r="N276" s="6" t="str">
        <f aca="false">IF($J276="NA","NA",IF(AND($J276&gt;2019,M276&gt;0),"ERRO","OK"))</f>
        <v>OK</v>
      </c>
      <c r="O276" s="6" t="n">
        <f aca="false">(10-(LEN(P276)))+1</f>
        <v>7</v>
      </c>
      <c r="P276" s="6" t="n">
        <v>1784</v>
      </c>
      <c r="Q276" s="6" t="str">
        <f aca="false">IF($J276="NA","NA",IF(AND($J276&gt;2009,P276&gt;0),"ERRO","OK"))</f>
        <v>OK</v>
      </c>
      <c r="R276" s="6" t="n">
        <f aca="false">(10-(LEN(S276)))+1</f>
        <v>7</v>
      </c>
      <c r="S276" s="6" t="n">
        <v>1891</v>
      </c>
      <c r="T276" s="6" t="str">
        <f aca="false">IF($J276="NA","NA",IF(AND($J276&gt;1999,S276&gt;0),"ERRO","OK"))</f>
        <v>OK</v>
      </c>
      <c r="U276" s="6" t="n">
        <f aca="false">(10-(LEN(V276)))+1</f>
        <v>7</v>
      </c>
      <c r="V276" s="6" t="n">
        <v>1702</v>
      </c>
      <c r="W276" s="6" t="str">
        <f aca="false">IF($J276="NA","NA",IF(AND($J276&gt;1989,V276&gt;0),"ERRO","OK"))</f>
        <v>OK</v>
      </c>
      <c r="X276" s="6" t="n">
        <f aca="false">(10-(LEN(Y276)))+1</f>
        <v>8</v>
      </c>
      <c r="Y276" s="6" t="n">
        <v>428</v>
      </c>
      <c r="Z276" s="6" t="str">
        <f aca="false">IF($J276="NA","NA",IF(AND($J276&gt;1979,Y276&gt;0),"ERRO","OK"))</f>
        <v>OK</v>
      </c>
      <c r="AA276" s="6" t="n">
        <f aca="false">(10-(LEN(AB276)))+1</f>
        <v>7</v>
      </c>
      <c r="AB276" s="6" t="n">
        <v>1113</v>
      </c>
      <c r="AC276" s="6" t="str">
        <f aca="false">IF($J276="NA","NA",IF(AND($J276&gt;1969,AB276&gt;0),"ERRO","OK"))</f>
        <v>OK</v>
      </c>
      <c r="AD276" s="6" t="n">
        <f aca="false">(10-(LEN(AE276)))+1</f>
        <v>8</v>
      </c>
      <c r="AE276" s="6" t="n">
        <v>987</v>
      </c>
      <c r="AF276" s="6" t="str">
        <f aca="false">IF($J276="NA","NA",IF(AND($J276&gt;1959,AE276&gt;0),"ERRO","OK"))</f>
        <v>OK</v>
      </c>
      <c r="AG276" s="6" t="n">
        <f aca="false">(10-(LEN(AH276)))+1</f>
        <v>7</v>
      </c>
      <c r="AH276" s="6" t="n">
        <v>1322</v>
      </c>
      <c r="AI276" s="6" t="str">
        <f aca="false">IF($J276="NA","NA",IF(AND($J276&gt;1949,AH276&gt;0),"ERRO","OK"))</f>
        <v>OK</v>
      </c>
      <c r="AJ276" s="6" t="n">
        <f aca="false">(10-(LEN(AK276)))+1</f>
        <v>7</v>
      </c>
      <c r="AK276" s="6" t="n">
        <v>2089</v>
      </c>
      <c r="AL276" s="6" t="str">
        <f aca="false">IF($J276="NA","NA",IF(AND($J276&gt;1939,AK276&gt;0),"ERRO","OK"))</f>
        <v>OK</v>
      </c>
      <c r="AM276" s="6" t="n">
        <f aca="false">(10-(LEN(AN276)))+1</f>
        <v>7</v>
      </c>
      <c r="AN276" s="6" t="n">
        <v>1980</v>
      </c>
      <c r="AO276" s="6" t="str">
        <f aca="false">IF($J276="NA","NA",IF(AND($J276&gt;1929,AN276&gt;0),"ERRO","OK"))</f>
        <v>OK</v>
      </c>
      <c r="AP276" s="6" t="n">
        <f aca="false">(10-(LEN(AQ276)))+1</f>
        <v>8</v>
      </c>
      <c r="AQ276" s="6" t="n">
        <v>901</v>
      </c>
      <c r="AR276" s="6" t="str">
        <f aca="false">IF($J276="NA","NA",IF(AND($J276&gt;1919,AQ276&gt;0),"ERRO","OK"))</f>
        <v>OK</v>
      </c>
      <c r="AS276" s="6" t="n">
        <f aca="false">(10-(LEN(AT276)))+1</f>
        <v>7</v>
      </c>
      <c r="AT276" s="6" t="n">
        <v>1341</v>
      </c>
      <c r="AU276" s="6" t="str">
        <f aca="false">IF($J276="NA","NA",IF(AND($J276&gt;1909,AT276&gt;0),"ERRO","OK"))</f>
        <v>OK</v>
      </c>
      <c r="AV276" s="6" t="n">
        <f aca="false">(10-(LEN(AW276)))+1</f>
        <v>10</v>
      </c>
      <c r="AW276" s="6" t="n">
        <v>0</v>
      </c>
      <c r="AX276" s="6" t="str">
        <f aca="false">IF($J276="NA","NA",IF(AND($J276&gt;1899,AW276&gt;0),"ERRO","OK"))</f>
        <v>OK</v>
      </c>
    </row>
    <row r="277" customFormat="false" ht="15" hidden="false" customHeight="false" outlineLevel="0" collapsed="false">
      <c r="A277" s="7" t="n">
        <v>275</v>
      </c>
      <c r="B277" s="0" t="s">
        <v>294</v>
      </c>
      <c r="C277" s="8" t="n">
        <v>45322</v>
      </c>
      <c r="D277" s="6" t="n">
        <v>0</v>
      </c>
      <c r="E277" s="0" t="s">
        <v>16</v>
      </c>
      <c r="F277" s="0" t="s">
        <v>17</v>
      </c>
      <c r="G277" s="9" t="str">
        <f aca="false">IF(OR(N277="ERRO",Q277="ERRO",T277="ERRO",W277="ERRO",Z277="ERRO",AC277="ERRO",AF277="ERRO",AI277="ERRO",AL277="ERRO",AO277="ERRO",AR277="ERRO",AU277="ERRO",AX277="ERRO"),"ERRO","OK")</f>
        <v>OK</v>
      </c>
      <c r="H277" s="9" t="n">
        <f aca="false">COUNTIF(L277:AX277,"ERRO")</f>
        <v>0</v>
      </c>
      <c r="I277" s="9" t="s">
        <v>18</v>
      </c>
      <c r="J277" s="10" t="n">
        <v>1881</v>
      </c>
      <c r="K277" s="10" t="n">
        <v>1964</v>
      </c>
      <c r="L277" s="6" t="n">
        <f aca="false">(10-(LEN(M277)))+1</f>
        <v>10</v>
      </c>
      <c r="M277" s="6" t="n">
        <v>0</v>
      </c>
      <c r="N277" s="6" t="str">
        <f aca="false">IF($J277="NA","NA",IF(AND($J277&gt;2019,M277&gt;0),"ERRO","OK"))</f>
        <v>OK</v>
      </c>
      <c r="O277" s="6" t="n">
        <f aca="false">(10-(LEN(P277)))+1</f>
        <v>8</v>
      </c>
      <c r="P277" s="6" t="n">
        <v>240</v>
      </c>
      <c r="Q277" s="6" t="str">
        <f aca="false">IF($J277="NA","NA",IF(AND($J277&gt;2009,P277&gt;0),"ERRO","OK"))</f>
        <v>OK</v>
      </c>
      <c r="R277" s="6" t="n">
        <f aca="false">(10-(LEN(S277)))+1</f>
        <v>8</v>
      </c>
      <c r="S277" s="6" t="n">
        <v>546</v>
      </c>
      <c r="T277" s="6" t="str">
        <f aca="false">IF($J277="NA","NA",IF(AND($J277&gt;1999,S277&gt;0),"ERRO","OK"))</f>
        <v>OK</v>
      </c>
      <c r="U277" s="6" t="n">
        <f aca="false">(10-(LEN(V277)))+1</f>
        <v>8</v>
      </c>
      <c r="V277" s="6" t="n">
        <v>460</v>
      </c>
      <c r="W277" s="6" t="str">
        <f aca="false">IF($J277="NA","NA",IF(AND($J277&gt;1989,V277&gt;0),"ERRO","OK"))</f>
        <v>OK</v>
      </c>
      <c r="X277" s="6" t="n">
        <f aca="false">(10-(LEN(Y277)))+1</f>
        <v>8</v>
      </c>
      <c r="Y277" s="6" t="n">
        <v>214</v>
      </c>
      <c r="Z277" s="6" t="str">
        <f aca="false">IF($J277="NA","NA",IF(AND($J277&gt;1979,Y277&gt;0),"ERRO","OK"))</f>
        <v>OK</v>
      </c>
      <c r="AA277" s="6" t="n">
        <f aca="false">(10-(LEN(AB277)))+1</f>
        <v>8</v>
      </c>
      <c r="AB277" s="6" t="n">
        <v>234</v>
      </c>
      <c r="AC277" s="6" t="str">
        <f aca="false">IF($J277="NA","NA",IF(AND($J277&gt;1969,AB277&gt;0),"ERRO","OK"))</f>
        <v>OK</v>
      </c>
      <c r="AD277" s="6" t="n">
        <f aca="false">(10-(LEN(AE277)))+1</f>
        <v>7</v>
      </c>
      <c r="AE277" s="6" t="n">
        <v>1076</v>
      </c>
      <c r="AF277" s="6" t="str">
        <f aca="false">IF($J277="NA","NA",IF(AND($J277&gt;1959,AE277&gt;0),"ERRO","OK"))</f>
        <v>OK</v>
      </c>
      <c r="AG277" s="6" t="n">
        <f aca="false">(10-(LEN(AH277)))+1</f>
        <v>7</v>
      </c>
      <c r="AH277" s="6" t="n">
        <v>1432</v>
      </c>
      <c r="AI277" s="6" t="str">
        <f aca="false">IF($J277="NA","NA",IF(AND($J277&gt;1949,AH277&gt;0),"ERRO","OK"))</f>
        <v>OK</v>
      </c>
      <c r="AJ277" s="6" t="n">
        <f aca="false">(10-(LEN(AK277)))+1</f>
        <v>7</v>
      </c>
      <c r="AK277" s="6" t="n">
        <v>2507</v>
      </c>
      <c r="AL277" s="6" t="str">
        <f aca="false">IF($J277="NA","NA",IF(AND($J277&gt;1939,AK277&gt;0),"ERRO","OK"))</f>
        <v>OK</v>
      </c>
      <c r="AM277" s="6" t="n">
        <f aca="false">(10-(LEN(AN277)))+1</f>
        <v>7</v>
      </c>
      <c r="AN277" s="6" t="n">
        <v>2742</v>
      </c>
      <c r="AO277" s="6" t="str">
        <f aca="false">IF($J277="NA","NA",IF(AND($J277&gt;1929,AN277&gt;0),"ERRO","OK"))</f>
        <v>OK</v>
      </c>
      <c r="AP277" s="6" t="n">
        <f aca="false">(10-(LEN(AQ277)))+1</f>
        <v>7</v>
      </c>
      <c r="AQ277" s="6" t="n">
        <v>1001</v>
      </c>
      <c r="AR277" s="6" t="str">
        <f aca="false">IF($J277="NA","NA",IF(AND($J277&gt;1919,AQ277&gt;0),"ERRO","OK"))</f>
        <v>OK</v>
      </c>
      <c r="AS277" s="6" t="n">
        <f aca="false">(10-(LEN(AT277)))+1</f>
        <v>10</v>
      </c>
      <c r="AT277" s="6" t="n">
        <v>0</v>
      </c>
      <c r="AU277" s="6" t="str">
        <f aca="false">IF($J277="NA","NA",IF(AND($J277&gt;1909,AT277&gt;0),"ERRO","OK"))</f>
        <v>OK</v>
      </c>
      <c r="AV277" s="6" t="n">
        <f aca="false">(10-(LEN(AW277)))+1</f>
        <v>10</v>
      </c>
      <c r="AW277" s="6" t="n">
        <v>0</v>
      </c>
      <c r="AX277" s="6" t="str">
        <f aca="false">IF($J277="NA","NA",IF(AND($J277&gt;1899,AW277&gt;0),"ERRO","OK"))</f>
        <v>OK</v>
      </c>
    </row>
    <row r="278" customFormat="false" ht="15" hidden="false" customHeight="false" outlineLevel="0" collapsed="false">
      <c r="A278" s="7" t="n">
        <v>276</v>
      </c>
      <c r="B278" s="0" t="s">
        <v>295</v>
      </c>
      <c r="C278" s="8" t="n">
        <v>45322</v>
      </c>
      <c r="D278" s="6" t="n">
        <v>0</v>
      </c>
      <c r="E278" s="0" t="s">
        <v>16</v>
      </c>
      <c r="F278" s="0" t="s">
        <v>17</v>
      </c>
      <c r="G278" s="9" t="str">
        <f aca="false">IF(OR(N278="ERRO",Q278="ERRO",T278="ERRO",W278="ERRO",Z278="ERRO",AC278="ERRO",AF278="ERRO",AI278="ERRO",AL278="ERRO",AO278="ERRO",AR278="ERRO",AU278="ERRO",AX278="ERRO"),"ERRO","OK")</f>
        <v>OK</v>
      </c>
      <c r="H278" s="9" t="n">
        <f aca="false">COUNTIF(L278:AX278,"ERRO")</f>
        <v>0</v>
      </c>
      <c r="I278" s="9" t="s">
        <v>18</v>
      </c>
      <c r="J278" s="10" t="n">
        <v>1883</v>
      </c>
      <c r="K278" s="10" t="n">
        <v>1963</v>
      </c>
      <c r="L278" s="6" t="n">
        <f aca="false">(10-(LEN(M278)))+1</f>
        <v>5</v>
      </c>
      <c r="M278" s="6" t="n">
        <v>110444</v>
      </c>
      <c r="N278" s="6" t="str">
        <f aca="false">IF($J278="NA","NA",IF(AND($J278&gt;2019,M278&gt;0),"ERRO","OK"))</f>
        <v>OK</v>
      </c>
      <c r="O278" s="6" t="n">
        <f aca="false">(10-(LEN(P278)))+1</f>
        <v>5</v>
      </c>
      <c r="P278" s="6" t="n">
        <v>167521</v>
      </c>
      <c r="Q278" s="6" t="str">
        <f aca="false">IF($J278="NA","NA",IF(AND($J278&gt;2009,P278&gt;0),"ERRO","OK"))</f>
        <v>OK</v>
      </c>
      <c r="R278" s="6" t="n">
        <f aca="false">(10-(LEN(S278)))+1</f>
        <v>5</v>
      </c>
      <c r="S278" s="6" t="n">
        <v>219689</v>
      </c>
      <c r="T278" s="6" t="str">
        <f aca="false">IF($J278="NA","NA",IF(AND($J278&gt;1999,S278&gt;0),"ERRO","OK"))</f>
        <v>OK</v>
      </c>
      <c r="U278" s="6" t="n">
        <f aca="false">(10-(LEN(V278)))+1</f>
        <v>5</v>
      </c>
      <c r="V278" s="6" t="n">
        <v>287016</v>
      </c>
      <c r="W278" s="6" t="str">
        <f aca="false">IF($J278="NA","NA",IF(AND($J278&gt;1989,V278&gt;0),"ERRO","OK"))</f>
        <v>OK</v>
      </c>
      <c r="X278" s="6" t="n">
        <f aca="false">(10-(LEN(Y278)))+1</f>
        <v>5</v>
      </c>
      <c r="Y278" s="6" t="n">
        <v>185698</v>
      </c>
      <c r="Z278" s="6" t="str">
        <f aca="false">IF($J278="NA","NA",IF(AND($J278&gt;1979,Y278&gt;0),"ERRO","OK"))</f>
        <v>OK</v>
      </c>
      <c r="AA278" s="6" t="n">
        <f aca="false">(10-(LEN(AB278)))+1</f>
        <v>5</v>
      </c>
      <c r="AB278" s="6" t="n">
        <v>193518</v>
      </c>
      <c r="AC278" s="6" t="str">
        <f aca="false">IF($J278="NA","NA",IF(AND($J278&gt;1969,AB278&gt;0),"ERRO","OK"))</f>
        <v>OK</v>
      </c>
      <c r="AD278" s="6" t="n">
        <f aca="false">(10-(LEN(AE278)))+1</f>
        <v>5</v>
      </c>
      <c r="AE278" s="6" t="n">
        <v>132081</v>
      </c>
      <c r="AF278" s="6" t="str">
        <f aca="false">IF($J278="NA","NA",IF(AND($J278&gt;1959,AE278&gt;0),"ERRO","OK"))</f>
        <v>OK</v>
      </c>
      <c r="AG278" s="6" t="n">
        <f aca="false">(10-(LEN(AH278)))+1</f>
        <v>6</v>
      </c>
      <c r="AH278" s="6" t="n">
        <v>70081</v>
      </c>
      <c r="AI278" s="6" t="str">
        <f aca="false">IF($J278="NA","NA",IF(AND($J278&gt;1949,AH278&gt;0),"ERRO","OK"))</f>
        <v>OK</v>
      </c>
      <c r="AJ278" s="6" t="n">
        <f aca="false">(10-(LEN(AK278)))+1</f>
        <v>6</v>
      </c>
      <c r="AK278" s="6" t="n">
        <v>70057</v>
      </c>
      <c r="AL278" s="6" t="str">
        <f aca="false">IF($J278="NA","NA",IF(AND($J278&gt;1939,AK278&gt;0),"ERRO","OK"))</f>
        <v>OK</v>
      </c>
      <c r="AM278" s="6" t="n">
        <f aca="false">(10-(LEN(AN278)))+1</f>
        <v>6</v>
      </c>
      <c r="AN278" s="6" t="n">
        <v>45731</v>
      </c>
      <c r="AO278" s="6" t="str">
        <f aca="false">IF($J278="NA","NA",IF(AND($J278&gt;1929,AN278&gt;0),"ERRO","OK"))</f>
        <v>OK</v>
      </c>
      <c r="AP278" s="6" t="n">
        <f aca="false">(10-(LEN(AQ278)))+1</f>
        <v>6</v>
      </c>
      <c r="AQ278" s="6" t="n">
        <v>16753</v>
      </c>
      <c r="AR278" s="6" t="str">
        <f aca="false">IF($J278="NA","NA",IF(AND($J278&gt;1919,AQ278&gt;0),"ERRO","OK"))</f>
        <v>OK</v>
      </c>
      <c r="AS278" s="6" t="n">
        <f aca="false">(10-(LEN(AT278)))+1</f>
        <v>10</v>
      </c>
      <c r="AT278" s="6" t="n">
        <v>0</v>
      </c>
      <c r="AU278" s="6" t="str">
        <f aca="false">IF($J278="NA","NA",IF(AND($J278&gt;1909,AT278&gt;0),"ERRO","OK"))</f>
        <v>OK</v>
      </c>
      <c r="AV278" s="6" t="n">
        <f aca="false">(10-(LEN(AW278)))+1</f>
        <v>10</v>
      </c>
      <c r="AW278" s="6" t="n">
        <v>0</v>
      </c>
      <c r="AX278" s="6" t="str">
        <f aca="false">IF($J278="NA","NA",IF(AND($J278&gt;1899,AW278&gt;0),"ERRO","OK"))</f>
        <v>OK</v>
      </c>
    </row>
    <row r="279" customFormat="false" ht="15" hidden="false" customHeight="false" outlineLevel="0" collapsed="false">
      <c r="A279" s="7" t="n">
        <v>277</v>
      </c>
      <c r="B279" s="0" t="s">
        <v>296</v>
      </c>
      <c r="C279" s="8" t="n">
        <v>45324</v>
      </c>
      <c r="D279" s="6" t="n">
        <v>0</v>
      </c>
      <c r="E279" s="0" t="s">
        <v>16</v>
      </c>
      <c r="F279" s="0" t="s">
        <v>17</v>
      </c>
      <c r="G279" s="9" t="str">
        <f aca="false">IF(OR(N279="ERRO",Q279="ERRO",T279="ERRO",W279="ERRO",Z279="ERRO",AC279="ERRO",AF279="ERRO",AI279="ERRO",AL279="ERRO",AO279="ERRO",AR279="ERRO",AU279="ERRO",AX279="ERRO"),"ERRO","OK")</f>
        <v>OK</v>
      </c>
      <c r="H279" s="9" t="n">
        <f aca="false">COUNTIF(L279:AX279,"ERRO")</f>
        <v>0</v>
      </c>
      <c r="I279" s="9" t="s">
        <v>18</v>
      </c>
      <c r="J279" s="10" t="n">
        <v>1883</v>
      </c>
      <c r="K279" s="10" t="n">
        <v>1935</v>
      </c>
      <c r="L279" s="6" t="n">
        <f aca="false">(10-(LEN(M279)))+1</f>
        <v>7</v>
      </c>
      <c r="M279" s="6" t="n">
        <v>5664</v>
      </c>
      <c r="N279" s="6" t="str">
        <f aca="false">IF($J279="NA","NA",IF(AND($J279&gt;2019,M279&gt;0),"ERRO","OK"))</f>
        <v>OK</v>
      </c>
      <c r="O279" s="6" t="n">
        <f aca="false">(10-(LEN(P279)))+1</f>
        <v>6</v>
      </c>
      <c r="P279" s="6" t="n">
        <v>18627</v>
      </c>
      <c r="Q279" s="6" t="str">
        <f aca="false">IF($J279="NA","NA",IF(AND($J279&gt;2009,P279&gt;0),"ERRO","OK"))</f>
        <v>OK</v>
      </c>
      <c r="R279" s="6" t="n">
        <f aca="false">(10-(LEN(S279)))+1</f>
        <v>6</v>
      </c>
      <c r="S279" s="6" t="n">
        <v>21932</v>
      </c>
      <c r="T279" s="6" t="str">
        <f aca="false">IF($J279="NA","NA",IF(AND($J279&gt;1999,S279&gt;0),"ERRO","OK"))</f>
        <v>OK</v>
      </c>
      <c r="U279" s="6" t="n">
        <f aca="false">(10-(LEN(V279)))+1</f>
        <v>6</v>
      </c>
      <c r="V279" s="6" t="n">
        <v>27227</v>
      </c>
      <c r="W279" s="6" t="str">
        <f aca="false">IF($J279="NA","NA",IF(AND($J279&gt;1989,V279&gt;0),"ERRO","OK"))</f>
        <v>OK</v>
      </c>
      <c r="X279" s="6" t="n">
        <f aca="false">(10-(LEN(Y279)))+1</f>
        <v>6</v>
      </c>
      <c r="Y279" s="6" t="n">
        <v>23758</v>
      </c>
      <c r="Z279" s="6" t="str">
        <f aca="false">IF($J279="NA","NA",IF(AND($J279&gt;1979,Y279&gt;0),"ERRO","OK"))</f>
        <v>OK</v>
      </c>
      <c r="AA279" s="6" t="n">
        <f aca="false">(10-(LEN(AB279)))+1</f>
        <v>6</v>
      </c>
      <c r="AB279" s="6" t="n">
        <v>12716</v>
      </c>
      <c r="AC279" s="6" t="str">
        <f aca="false">IF($J279="NA","NA",IF(AND($J279&gt;1969,AB279&gt;0),"ERRO","OK"))</f>
        <v>OK</v>
      </c>
      <c r="AD279" s="6" t="n">
        <f aca="false">(10-(LEN(AE279)))+1</f>
        <v>7</v>
      </c>
      <c r="AE279" s="6" t="n">
        <v>9150</v>
      </c>
      <c r="AF279" s="6" t="str">
        <f aca="false">IF($J279="NA","NA",IF(AND($J279&gt;1959,AE279&gt;0),"ERRO","OK"))</f>
        <v>OK</v>
      </c>
      <c r="AG279" s="6" t="n">
        <f aca="false">(10-(LEN(AH279)))+1</f>
        <v>6</v>
      </c>
      <c r="AH279" s="6" t="n">
        <v>16961</v>
      </c>
      <c r="AI279" s="6" t="str">
        <f aca="false">IF($J279="NA","NA",IF(AND($J279&gt;1949,AH279&gt;0),"ERRO","OK"))</f>
        <v>OK</v>
      </c>
      <c r="AJ279" s="6" t="n">
        <f aca="false">(10-(LEN(AK279)))+1</f>
        <v>6</v>
      </c>
      <c r="AK279" s="6" t="n">
        <v>16293</v>
      </c>
      <c r="AL279" s="6" t="str">
        <f aca="false">IF($J279="NA","NA",IF(AND($J279&gt;1939,AK279&gt;0),"ERRO","OK"))</f>
        <v>OK</v>
      </c>
      <c r="AM279" s="6" t="n">
        <f aca="false">(10-(LEN(AN279)))+1</f>
        <v>6</v>
      </c>
      <c r="AN279" s="6" t="n">
        <v>11577</v>
      </c>
      <c r="AO279" s="6" t="str">
        <f aca="false">IF($J279="NA","NA",IF(AND($J279&gt;1929,AN279&gt;0),"ERRO","OK"))</f>
        <v>OK</v>
      </c>
      <c r="AP279" s="6" t="n">
        <f aca="false">(10-(LEN(AQ279)))+1</f>
        <v>7</v>
      </c>
      <c r="AQ279" s="6" t="n">
        <v>4306</v>
      </c>
      <c r="AR279" s="6" t="str">
        <f aca="false">IF($J279="NA","NA",IF(AND($J279&gt;1919,AQ279&gt;0),"ERRO","OK"))</f>
        <v>OK</v>
      </c>
      <c r="AS279" s="6" t="n">
        <f aca="false">(10-(LEN(AT279)))+1</f>
        <v>10</v>
      </c>
      <c r="AT279" s="6" t="n">
        <v>0</v>
      </c>
      <c r="AU279" s="6" t="str">
        <f aca="false">IF($J279="NA","NA",IF(AND($J279&gt;1909,AT279&gt;0),"ERRO","OK"))</f>
        <v>OK</v>
      </c>
      <c r="AV279" s="6" t="n">
        <f aca="false">(10-(LEN(AW279)))+1</f>
        <v>10</v>
      </c>
      <c r="AW279" s="6" t="n">
        <v>0</v>
      </c>
      <c r="AX279" s="6" t="str">
        <f aca="false">IF($J279="NA","NA",IF(AND($J279&gt;1899,AW279&gt;0),"ERRO","OK"))</f>
        <v>OK</v>
      </c>
    </row>
    <row r="280" customFormat="false" ht="15" hidden="false" customHeight="false" outlineLevel="0" collapsed="false">
      <c r="A280" s="7" t="n">
        <v>278</v>
      </c>
      <c r="B280" s="0" t="s">
        <v>297</v>
      </c>
      <c r="C280" s="8" t="n">
        <v>45324</v>
      </c>
      <c r="D280" s="6" t="n">
        <v>0</v>
      </c>
      <c r="E280" s="0" t="s">
        <v>16</v>
      </c>
      <c r="F280" s="0" t="s">
        <v>17</v>
      </c>
      <c r="G280" s="9" t="str">
        <f aca="false">IF(OR(N280="ERRO",Q280="ERRO",T280="ERRO",W280="ERRO",Z280="ERRO",AC280="ERRO",AF280="ERRO",AI280="ERRO",AL280="ERRO",AO280="ERRO",AR280="ERRO",AU280="ERRO",AX280="ERRO"),"ERRO","OK")</f>
        <v>OK</v>
      </c>
      <c r="H280" s="9" t="n">
        <f aca="false">COUNTIF(L280:AX280,"ERRO")</f>
        <v>0</v>
      </c>
      <c r="I280" s="9" t="s">
        <v>18</v>
      </c>
      <c r="J280" s="10" t="n">
        <v>1884</v>
      </c>
      <c r="K280" s="10" t="n">
        <v>1930</v>
      </c>
      <c r="L280" s="6" t="n">
        <f aca="false">(10-(LEN(M280)))+1</f>
        <v>8</v>
      </c>
      <c r="M280" s="6" t="n">
        <v>625</v>
      </c>
      <c r="N280" s="6" t="str">
        <f aca="false">IF($J280="NA","NA",IF(AND($J280&gt;2019,M280&gt;0),"ERRO","OK"))</f>
        <v>OK</v>
      </c>
      <c r="O280" s="6" t="n">
        <f aca="false">(10-(LEN(P280)))+1</f>
        <v>8</v>
      </c>
      <c r="P280" s="6" t="n">
        <v>617</v>
      </c>
      <c r="Q280" s="6" t="str">
        <f aca="false">IF($J280="NA","NA",IF(AND($J280&gt;2009,P280&gt;0),"ERRO","OK"))</f>
        <v>OK</v>
      </c>
      <c r="R280" s="6" t="n">
        <f aca="false">(10-(LEN(S280)))+1</f>
        <v>7</v>
      </c>
      <c r="S280" s="6" t="n">
        <v>1092</v>
      </c>
      <c r="T280" s="6" t="str">
        <f aca="false">IF($J280="NA","NA",IF(AND($J280&gt;1999,S280&gt;0),"ERRO","OK"))</f>
        <v>OK</v>
      </c>
      <c r="U280" s="6" t="n">
        <f aca="false">(10-(LEN(V280)))+1</f>
        <v>8</v>
      </c>
      <c r="V280" s="6" t="n">
        <v>552</v>
      </c>
      <c r="W280" s="6" t="str">
        <f aca="false">IF($J280="NA","NA",IF(AND($J280&gt;1989,V280&gt;0),"ERRO","OK"))</f>
        <v>OK</v>
      </c>
      <c r="X280" s="6" t="n">
        <f aca="false">(10-(LEN(Y280)))+1</f>
        <v>7</v>
      </c>
      <c r="Y280" s="6" t="n">
        <v>1070</v>
      </c>
      <c r="Z280" s="6" t="str">
        <f aca="false">IF($J280="NA","NA",IF(AND($J280&gt;1979,Y280&gt;0),"ERRO","OK"))</f>
        <v>OK</v>
      </c>
      <c r="AA280" s="6" t="n">
        <f aca="false">(10-(LEN(AB280)))+1</f>
        <v>7</v>
      </c>
      <c r="AB280" s="6" t="n">
        <v>3516</v>
      </c>
      <c r="AC280" s="6" t="str">
        <f aca="false">IF($J280="NA","NA",IF(AND($J280&gt;1969,AB280&gt;0),"ERRO","OK"))</f>
        <v>OK</v>
      </c>
      <c r="AD280" s="6" t="n">
        <f aca="false">(10-(LEN(AE280)))+1</f>
        <v>7</v>
      </c>
      <c r="AE280" s="6" t="n">
        <v>1525</v>
      </c>
      <c r="AF280" s="6" t="str">
        <f aca="false">IF($J280="NA","NA",IF(AND($J280&gt;1959,AE280&gt;0),"ERRO","OK"))</f>
        <v>OK</v>
      </c>
      <c r="AG280" s="6" t="n">
        <f aca="false">(10-(LEN(AH280)))+1</f>
        <v>8</v>
      </c>
      <c r="AH280" s="6" t="n">
        <v>551</v>
      </c>
      <c r="AI280" s="6" t="str">
        <f aca="false">IF($J280="NA","NA",IF(AND($J280&gt;1949,AH280&gt;0),"ERRO","OK"))</f>
        <v>OK</v>
      </c>
      <c r="AJ280" s="6" t="n">
        <f aca="false">(10-(LEN(AK280)))+1</f>
        <v>7</v>
      </c>
      <c r="AK280" s="6" t="n">
        <v>1671</v>
      </c>
      <c r="AL280" s="6" t="str">
        <f aca="false">IF($J280="NA","NA",IF(AND($J280&gt;1939,AK280&gt;0),"ERRO","OK"))</f>
        <v>OK</v>
      </c>
      <c r="AM280" s="6" t="n">
        <f aca="false">(10-(LEN(AN280)))+1</f>
        <v>7</v>
      </c>
      <c r="AN280" s="6" t="n">
        <v>5941</v>
      </c>
      <c r="AO280" s="6" t="str">
        <f aca="false">IF($J280="NA","NA",IF(AND($J280&gt;1929,AN280&gt;0),"ERRO","OK"))</f>
        <v>OK</v>
      </c>
      <c r="AP280" s="6" t="n">
        <f aca="false">(10-(LEN(AQ280)))+1</f>
        <v>7</v>
      </c>
      <c r="AQ280" s="6" t="n">
        <v>2603</v>
      </c>
      <c r="AR280" s="6" t="str">
        <f aca="false">IF($J280="NA","NA",IF(AND($J280&gt;1919,AQ280&gt;0),"ERRO","OK"))</f>
        <v>OK</v>
      </c>
      <c r="AS280" s="6" t="n">
        <f aca="false">(10-(LEN(AT280)))+1</f>
        <v>10</v>
      </c>
      <c r="AT280" s="6" t="n">
        <v>0</v>
      </c>
      <c r="AU280" s="6" t="str">
        <f aca="false">IF($J280="NA","NA",IF(AND($J280&gt;1909,AT280&gt;0),"ERRO","OK"))</f>
        <v>OK</v>
      </c>
      <c r="AV280" s="6" t="n">
        <f aca="false">(10-(LEN(AW280)))+1</f>
        <v>10</v>
      </c>
      <c r="AW280" s="6" t="n">
        <v>0</v>
      </c>
      <c r="AX280" s="6" t="str">
        <f aca="false">IF($J280="NA","NA",IF(AND($J280&gt;1899,AW280&gt;0),"ERRO","OK"))</f>
        <v>OK</v>
      </c>
    </row>
    <row r="281" customFormat="false" ht="15" hidden="false" customHeight="false" outlineLevel="0" collapsed="false">
      <c r="A281" s="7" t="n">
        <v>279</v>
      </c>
      <c r="B281" s="0" t="s">
        <v>298</v>
      </c>
      <c r="C281" s="8" t="n">
        <v>45324</v>
      </c>
      <c r="D281" s="6" t="n">
        <v>0</v>
      </c>
      <c r="E281" s="0" t="s">
        <v>16</v>
      </c>
      <c r="F281" s="0" t="s">
        <v>17</v>
      </c>
      <c r="G281" s="9" t="str">
        <f aca="false">IF(OR(N281="ERRO",Q281="ERRO",T281="ERRO",W281="ERRO",Z281="ERRO",AC281="ERRO",AF281="ERRO",AI281="ERRO",AL281="ERRO",AO281="ERRO",AR281="ERRO",AU281="ERRO",AX281="ERRO"),"ERRO","OK")</f>
        <v>OK</v>
      </c>
      <c r="H281" s="9" t="n">
        <f aca="false">COUNTIF(L281:AX281,"ERRO")</f>
        <v>0</v>
      </c>
      <c r="I281" s="9" t="s">
        <v>18</v>
      </c>
      <c r="J281" s="10" t="n">
        <v>1882</v>
      </c>
      <c r="K281" s="10" t="n">
        <v>1960</v>
      </c>
      <c r="L281" s="6" t="n">
        <f aca="false">(10-(LEN(M281)))+1</f>
        <v>8</v>
      </c>
      <c r="M281" s="6" t="n">
        <v>500</v>
      </c>
      <c r="N281" s="6" t="str">
        <f aca="false">IF($J281="NA","NA",IF(AND($J281&gt;2019,M281&gt;0),"ERRO","OK"))</f>
        <v>OK</v>
      </c>
      <c r="O281" s="6" t="n">
        <f aca="false">(10-(LEN(P281)))+1</f>
        <v>7</v>
      </c>
      <c r="P281" s="6" t="n">
        <v>1509</v>
      </c>
      <c r="Q281" s="6" t="str">
        <f aca="false">IF($J281="NA","NA",IF(AND($J281&gt;2009,P281&gt;0),"ERRO","OK"))</f>
        <v>OK</v>
      </c>
      <c r="R281" s="6" t="n">
        <f aca="false">(10-(LEN(S281)))+1</f>
        <v>7</v>
      </c>
      <c r="S281" s="6" t="n">
        <v>1134</v>
      </c>
      <c r="T281" s="6" t="str">
        <f aca="false">IF($J281="NA","NA",IF(AND($J281&gt;1999,S281&gt;0),"ERRO","OK"))</f>
        <v>OK</v>
      </c>
      <c r="U281" s="6" t="n">
        <f aca="false">(10-(LEN(V281)))+1</f>
        <v>7</v>
      </c>
      <c r="V281" s="6" t="n">
        <v>3863</v>
      </c>
      <c r="W281" s="6" t="str">
        <f aca="false">IF($J281="NA","NA",IF(AND($J281&gt;1989,V281&gt;0),"ERRO","OK"))</f>
        <v>OK</v>
      </c>
      <c r="X281" s="6" t="n">
        <f aca="false">(10-(LEN(Y281)))+1</f>
        <v>7</v>
      </c>
      <c r="Y281" s="6" t="n">
        <v>3425</v>
      </c>
      <c r="Z281" s="6" t="str">
        <f aca="false">IF($J281="NA","NA",IF(AND($J281&gt;1979,Y281&gt;0),"ERRO","OK"))</f>
        <v>OK</v>
      </c>
      <c r="AA281" s="6" t="n">
        <f aca="false">(10-(LEN(AB281)))+1</f>
        <v>7</v>
      </c>
      <c r="AB281" s="6" t="n">
        <v>1289</v>
      </c>
      <c r="AC281" s="6" t="str">
        <f aca="false">IF($J281="NA","NA",IF(AND($J281&gt;1969,AB281&gt;0),"ERRO","OK"))</f>
        <v>OK</v>
      </c>
      <c r="AD281" s="6" t="n">
        <f aca="false">(10-(LEN(AE281)))+1</f>
        <v>8</v>
      </c>
      <c r="AE281" s="6" t="n">
        <v>449</v>
      </c>
      <c r="AF281" s="6" t="str">
        <f aca="false">IF($J281="NA","NA",IF(AND($J281&gt;1959,AE281&gt;0),"ERRO","OK"))</f>
        <v>OK</v>
      </c>
      <c r="AG281" s="6" t="n">
        <f aca="false">(10-(LEN(AH281)))+1</f>
        <v>7</v>
      </c>
      <c r="AH281" s="6" t="n">
        <v>1212</v>
      </c>
      <c r="AI281" s="6" t="str">
        <f aca="false">IF($J281="NA","NA",IF(AND($J281&gt;1949,AH281&gt;0),"ERRO","OK"))</f>
        <v>OK</v>
      </c>
      <c r="AJ281" s="6" t="n">
        <f aca="false">(10-(LEN(AK281)))+1</f>
        <v>7</v>
      </c>
      <c r="AK281" s="6" t="n">
        <v>6406</v>
      </c>
      <c r="AL281" s="6" t="str">
        <f aca="false">IF($J281="NA","NA",IF(AND($J281&gt;1939,AK281&gt;0),"ERRO","OK"))</f>
        <v>OK</v>
      </c>
      <c r="AM281" s="6" t="n">
        <f aca="false">(10-(LEN(AN281)))+1</f>
        <v>7</v>
      </c>
      <c r="AN281" s="6" t="n">
        <v>8683</v>
      </c>
      <c r="AO281" s="6" t="str">
        <f aca="false">IF($J281="NA","NA",IF(AND($J281&gt;1929,AN281&gt;0),"ERRO","OK"))</f>
        <v>OK</v>
      </c>
      <c r="AP281" s="6" t="n">
        <f aca="false">(10-(LEN(AQ281)))+1</f>
        <v>7</v>
      </c>
      <c r="AQ281" s="6" t="n">
        <v>3204</v>
      </c>
      <c r="AR281" s="6" t="str">
        <f aca="false">IF($J281="NA","NA",IF(AND($J281&gt;1919,AQ281&gt;0),"ERRO","OK"))</f>
        <v>OK</v>
      </c>
      <c r="AS281" s="6" t="n">
        <f aca="false">(10-(LEN(AT281)))+1</f>
        <v>7</v>
      </c>
      <c r="AT281" s="6" t="n">
        <v>4022</v>
      </c>
      <c r="AU281" s="6" t="str">
        <f aca="false">IF($J281="NA","NA",IF(AND($J281&gt;1909,AT281&gt;0),"ERRO","OK"))</f>
        <v>OK</v>
      </c>
      <c r="AV281" s="6" t="n">
        <f aca="false">(10-(LEN(AW281)))+1</f>
        <v>7</v>
      </c>
      <c r="AW281" s="6" t="n">
        <v>4514</v>
      </c>
      <c r="AX281" s="6" t="str">
        <f aca="false">IF($J281="NA","NA",IF(AND($J281&gt;1899,AW281&gt;0),"ERRO","OK"))</f>
        <v>OK</v>
      </c>
    </row>
    <row r="282" customFormat="false" ht="15" hidden="false" customHeight="false" outlineLevel="0" collapsed="false">
      <c r="A282" s="7" t="n">
        <v>280</v>
      </c>
      <c r="B282" s="0" t="s">
        <v>299</v>
      </c>
      <c r="C282" s="8" t="n">
        <v>45324</v>
      </c>
      <c r="D282" s="6" t="n">
        <v>0</v>
      </c>
      <c r="E282" s="0" t="s">
        <v>16</v>
      </c>
      <c r="F282" s="0" t="s">
        <v>17</v>
      </c>
      <c r="G282" s="9" t="str">
        <f aca="false">IF(OR(N282="ERRO",Q282="ERRO",T282="ERRO",W282="ERRO",Z282="ERRO",AC282="ERRO",AF282="ERRO",AI282="ERRO",AL282="ERRO",AO282="ERRO",AR282="ERRO",AU282="ERRO",AX282="ERRO"),"ERRO","OK")</f>
        <v>OK</v>
      </c>
      <c r="H282" s="9" t="n">
        <f aca="false">COUNTIF(L282:AX282,"ERRO")</f>
        <v>0</v>
      </c>
      <c r="I282" s="9" t="s">
        <v>18</v>
      </c>
      <c r="J282" s="10" t="n">
        <v>1892</v>
      </c>
      <c r="K282" s="10" t="n">
        <v>1954</v>
      </c>
      <c r="L282" s="6" t="n">
        <f aca="false">(10-(LEN(M282)))+1</f>
        <v>7</v>
      </c>
      <c r="M282" s="6" t="n">
        <v>4956</v>
      </c>
      <c r="N282" s="6" t="str">
        <f aca="false">IF($J282="NA","NA",IF(AND($J282&gt;2019,M282&gt;0),"ERRO","OK"))</f>
        <v>OK</v>
      </c>
      <c r="O282" s="6" t="n">
        <f aca="false">(10-(LEN(P282)))+1</f>
        <v>7</v>
      </c>
      <c r="P282" s="6" t="n">
        <v>6243</v>
      </c>
      <c r="Q282" s="6" t="str">
        <f aca="false">IF($J282="NA","NA",IF(AND($J282&gt;2009,P282&gt;0),"ERRO","OK"))</f>
        <v>OK</v>
      </c>
      <c r="R282" s="6" t="n">
        <f aca="false">(10-(LEN(S282)))+1</f>
        <v>7</v>
      </c>
      <c r="S282" s="6" t="n">
        <v>4958</v>
      </c>
      <c r="T282" s="6" t="str">
        <f aca="false">IF($J282="NA","NA",IF(AND($J282&gt;1999,S282&gt;0),"ERRO","OK"))</f>
        <v>OK</v>
      </c>
      <c r="U282" s="6" t="n">
        <f aca="false">(10-(LEN(V282)))+1</f>
        <v>7</v>
      </c>
      <c r="V282" s="6" t="n">
        <v>4139</v>
      </c>
      <c r="W282" s="6" t="str">
        <f aca="false">IF($J282="NA","NA",IF(AND($J282&gt;1989,V282&gt;0),"ERRO","OK"))</f>
        <v>OK</v>
      </c>
      <c r="X282" s="6" t="n">
        <f aca="false">(10-(LEN(Y282)))+1</f>
        <v>7</v>
      </c>
      <c r="Y282" s="6" t="n">
        <v>5565</v>
      </c>
      <c r="Z282" s="6" t="str">
        <f aca="false">IF($J282="NA","NA",IF(AND($J282&gt;1979,Y282&gt;0),"ERRO","OK"))</f>
        <v>OK</v>
      </c>
      <c r="AA282" s="6" t="n">
        <f aca="false">(10-(LEN(AB282)))+1</f>
        <v>6</v>
      </c>
      <c r="AB282" s="6" t="n">
        <v>15294</v>
      </c>
      <c r="AC282" s="6" t="str">
        <f aca="false">IF($J282="NA","NA",IF(AND($J282&gt;1969,AB282&gt;0),"ERRO","OK"))</f>
        <v>OK</v>
      </c>
      <c r="AD282" s="6" t="n">
        <f aca="false">(10-(LEN(AE282)))+1</f>
        <v>6</v>
      </c>
      <c r="AE282" s="6" t="n">
        <v>16236</v>
      </c>
      <c r="AF282" s="6" t="str">
        <f aca="false">IF($J282="NA","NA",IF(AND($J282&gt;1959,AE282&gt;0),"ERRO","OK"))</f>
        <v>OK</v>
      </c>
      <c r="AG282" s="6" t="n">
        <f aca="false">(10-(LEN(AH282)))+1</f>
        <v>7</v>
      </c>
      <c r="AH282" s="6" t="n">
        <v>8481</v>
      </c>
      <c r="AI282" s="6" t="str">
        <f aca="false">IF($J282="NA","NA",IF(AND($J282&gt;1949,AH282&gt;0),"ERRO","OK"))</f>
        <v>OK</v>
      </c>
      <c r="AJ282" s="6" t="n">
        <f aca="false">(10-(LEN(AK282)))+1</f>
        <v>6</v>
      </c>
      <c r="AK282" s="6" t="n">
        <v>13926</v>
      </c>
      <c r="AL282" s="6" t="str">
        <f aca="false">IF($J282="NA","NA",IF(AND($J282&gt;1939,AK282&gt;0),"ERRO","OK"))</f>
        <v>OK</v>
      </c>
      <c r="AM282" s="6" t="n">
        <f aca="false">(10-(LEN(AN282)))+1</f>
        <v>6</v>
      </c>
      <c r="AN282" s="6" t="n">
        <v>24678</v>
      </c>
      <c r="AO282" s="6" t="str">
        <f aca="false">IF($J282="NA","NA",IF(AND($J282&gt;1929,AN282&gt;0),"ERRO","OK"))</f>
        <v>OK</v>
      </c>
      <c r="AP282" s="6" t="n">
        <f aca="false">(10-(LEN(AQ282)))+1</f>
        <v>6</v>
      </c>
      <c r="AQ282" s="6" t="n">
        <v>33345</v>
      </c>
      <c r="AR282" s="6" t="str">
        <f aca="false">IF($J282="NA","NA",IF(AND($J282&gt;1919,AQ282&gt;0),"ERRO","OK"))</f>
        <v>OK</v>
      </c>
      <c r="AS282" s="6" t="n">
        <f aca="false">(10-(LEN(AT282)))+1</f>
        <v>10</v>
      </c>
      <c r="AT282" s="6" t="n">
        <v>0</v>
      </c>
      <c r="AU282" s="6" t="str">
        <f aca="false">IF($J282="NA","NA",IF(AND($J282&gt;1909,AT282&gt;0),"ERRO","OK"))</f>
        <v>OK</v>
      </c>
      <c r="AV282" s="6" t="n">
        <f aca="false">(10-(LEN(AW282)))+1</f>
        <v>10</v>
      </c>
      <c r="AW282" s="6" t="n">
        <v>0</v>
      </c>
      <c r="AX282" s="6" t="str">
        <f aca="false">IF($J282="NA","NA",IF(AND($J282&gt;1899,AW282&gt;0),"ERRO","OK"))</f>
        <v>OK</v>
      </c>
    </row>
    <row r="283" customFormat="false" ht="15" hidden="false" customHeight="false" outlineLevel="0" collapsed="false">
      <c r="A283" s="7" t="n">
        <v>281</v>
      </c>
      <c r="B283" s="0" t="s">
        <v>300</v>
      </c>
      <c r="C283" s="8" t="n">
        <v>45324</v>
      </c>
      <c r="D283" s="6" t="n">
        <v>0</v>
      </c>
      <c r="E283" s="0" t="s">
        <v>16</v>
      </c>
      <c r="F283" s="0" t="s">
        <v>17</v>
      </c>
      <c r="G283" s="9" t="str">
        <f aca="false">IF(OR(N283="ERRO",Q283="ERRO",T283="ERRO",W283="ERRO",Z283="ERRO",AC283="ERRO",AF283="ERRO",AI283="ERRO",AL283="ERRO",AO283="ERRO",AR283="ERRO",AU283="ERRO",AX283="ERRO"),"ERRO","OK")</f>
        <v>OK</v>
      </c>
      <c r="H283" s="9" t="n">
        <f aca="false">COUNTIF(L283:AX283,"ERRO")</f>
        <v>0</v>
      </c>
      <c r="I283" s="9" t="s">
        <v>18</v>
      </c>
      <c r="J283" s="10" t="n">
        <v>1870</v>
      </c>
      <c r="K283" s="10" t="n">
        <v>1938</v>
      </c>
      <c r="L283" s="6" t="n">
        <f aca="false">(10-(LEN(M283)))+1</f>
        <v>7</v>
      </c>
      <c r="M283" s="6" t="n">
        <v>2457</v>
      </c>
      <c r="N283" s="6" t="str">
        <f aca="false">IF($J283="NA","NA",IF(AND($J283&gt;2019,M283&gt;0),"ERRO","OK"))</f>
        <v>OK</v>
      </c>
      <c r="O283" s="6" t="n">
        <f aca="false">(10-(LEN(P283)))+1</f>
        <v>7</v>
      </c>
      <c r="P283" s="6" t="n">
        <v>8919</v>
      </c>
      <c r="Q283" s="6" t="str">
        <f aca="false">IF($J283="NA","NA",IF(AND($J283&gt;2009,P283&gt;0),"ERRO","OK"))</f>
        <v>OK</v>
      </c>
      <c r="R283" s="6" t="n">
        <f aca="false">(10-(LEN(S283)))+1</f>
        <v>6</v>
      </c>
      <c r="S283" s="6" t="n">
        <v>10294</v>
      </c>
      <c r="T283" s="6" t="str">
        <f aca="false">IF($J283="NA","NA",IF(AND($J283&gt;1999,S283&gt;0),"ERRO","OK"))</f>
        <v>OK</v>
      </c>
      <c r="U283" s="6" t="n">
        <f aca="false">(10-(LEN(V283)))+1</f>
        <v>6</v>
      </c>
      <c r="V283" s="6" t="n">
        <v>16051</v>
      </c>
      <c r="W283" s="6" t="str">
        <f aca="false">IF($J283="NA","NA",IF(AND($J283&gt;1989,V283&gt;0),"ERRO","OK"))</f>
        <v>OK</v>
      </c>
      <c r="X283" s="6" t="n">
        <f aca="false">(10-(LEN(Y283)))+1</f>
        <v>6</v>
      </c>
      <c r="Y283" s="6" t="n">
        <v>14126</v>
      </c>
      <c r="Z283" s="6" t="str">
        <f aca="false">IF($J283="NA","NA",IF(AND($J283&gt;1979,Y283&gt;0),"ERRO","OK"))</f>
        <v>OK</v>
      </c>
      <c r="AA283" s="6" t="n">
        <f aca="false">(10-(LEN(AB283)))+1</f>
        <v>6</v>
      </c>
      <c r="AB283" s="6" t="n">
        <v>10489</v>
      </c>
      <c r="AC283" s="6" t="str">
        <f aca="false">IF($J283="NA","NA",IF(AND($J283&gt;1969,AB283&gt;0),"ERRO","OK"))</f>
        <v>OK</v>
      </c>
      <c r="AD283" s="6" t="n">
        <f aca="false">(10-(LEN(AE283)))+1</f>
        <v>7</v>
      </c>
      <c r="AE283" s="6" t="n">
        <v>8522</v>
      </c>
      <c r="AF283" s="6" t="str">
        <f aca="false">IF($J283="NA","NA",IF(AND($J283&gt;1959,AE283&gt;0),"ERRO","OK"))</f>
        <v>OK</v>
      </c>
      <c r="AG283" s="6" t="n">
        <f aca="false">(10-(LEN(AH283)))+1</f>
        <v>7</v>
      </c>
      <c r="AH283" s="6" t="n">
        <v>9912</v>
      </c>
      <c r="AI283" s="6" t="str">
        <f aca="false">IF($J283="NA","NA",IF(AND($J283&gt;1949,AH283&gt;0),"ERRO","OK"))</f>
        <v>OK</v>
      </c>
      <c r="AJ283" s="6" t="n">
        <f aca="false">(10-(LEN(AK283)))+1</f>
        <v>6</v>
      </c>
      <c r="AK283" s="6" t="n">
        <v>19914</v>
      </c>
      <c r="AL283" s="6" t="str">
        <f aca="false">IF($J283="NA","NA",IF(AND($J283&gt;1939,AK283&gt;0),"ERRO","OK"))</f>
        <v>OK</v>
      </c>
      <c r="AM283" s="6" t="n">
        <f aca="false">(10-(LEN(AN283)))+1</f>
        <v>7</v>
      </c>
      <c r="AN283" s="6" t="n">
        <v>5332</v>
      </c>
      <c r="AO283" s="6" t="str">
        <f aca="false">IF($J283="NA","NA",IF(AND($J283&gt;1929,AN283&gt;0),"ERRO","OK"))</f>
        <v>OK</v>
      </c>
      <c r="AP283" s="6" t="n">
        <f aca="false">(10-(LEN(AQ283)))+1</f>
        <v>7</v>
      </c>
      <c r="AQ283" s="6" t="n">
        <v>2003</v>
      </c>
      <c r="AR283" s="6" t="str">
        <f aca="false">IF($J283="NA","NA",IF(AND($J283&gt;1919,AQ283&gt;0),"ERRO","OK"))</f>
        <v>OK</v>
      </c>
      <c r="AS283" s="6" t="n">
        <f aca="false">(10-(LEN(AT283)))+1</f>
        <v>7</v>
      </c>
      <c r="AT283" s="6" t="n">
        <v>1134</v>
      </c>
      <c r="AU283" s="6" t="str">
        <f aca="false">IF($J283="NA","NA",IF(AND($J283&gt;1909,AT283&gt;0),"ERRO","OK"))</f>
        <v>OK</v>
      </c>
      <c r="AV283" s="6" t="n">
        <f aca="false">(10-(LEN(AW283)))+1</f>
        <v>8</v>
      </c>
      <c r="AW283" s="6" t="n">
        <v>129</v>
      </c>
      <c r="AX283" s="6" t="str">
        <f aca="false">IF($J283="NA","NA",IF(AND($J283&gt;1899,AW283&gt;0),"ERRO","OK"))</f>
        <v>OK</v>
      </c>
    </row>
    <row r="284" customFormat="false" ht="15" hidden="false" customHeight="false" outlineLevel="0" collapsed="false">
      <c r="A284" s="7" t="n">
        <v>282</v>
      </c>
      <c r="B284" s="0" t="s">
        <v>301</v>
      </c>
      <c r="C284" s="8" t="n">
        <v>45324</v>
      </c>
      <c r="D284" s="6" t="n">
        <v>0</v>
      </c>
      <c r="E284" s="0" t="s">
        <v>16</v>
      </c>
      <c r="F284" s="0" t="s">
        <v>17</v>
      </c>
      <c r="G284" s="9" t="str">
        <f aca="false">IF(OR(N284="ERRO",Q284="ERRO",T284="ERRO",W284="ERRO",Z284="ERRO",AC284="ERRO",AF284="ERRO",AI284="ERRO",AL284="ERRO",AO284="ERRO",AR284="ERRO",AU284="ERRO",AX284="ERRO"),"ERRO","OK")</f>
        <v>OK</v>
      </c>
      <c r="H284" s="9" t="n">
        <f aca="false">COUNTIF(L284:AX284,"ERRO")</f>
        <v>0</v>
      </c>
      <c r="I284" s="9" t="s">
        <v>18</v>
      </c>
      <c r="J284" s="10" t="n">
        <v>1882</v>
      </c>
      <c r="K284" s="10" t="n">
        <v>1925</v>
      </c>
      <c r="L284" s="6" t="n">
        <f aca="false">(10-(LEN(M284)))+1</f>
        <v>7</v>
      </c>
      <c r="M284" s="6" t="n">
        <v>9245</v>
      </c>
      <c r="N284" s="6" t="str">
        <f aca="false">IF($J284="NA","NA",IF(AND($J284&gt;2019,M284&gt;0),"ERRO","OK"))</f>
        <v>OK</v>
      </c>
      <c r="O284" s="6" t="n">
        <f aca="false">(10-(LEN(P284)))+1</f>
        <v>6</v>
      </c>
      <c r="P284" s="6" t="n">
        <v>20342</v>
      </c>
      <c r="Q284" s="6" t="str">
        <f aca="false">IF($J284="NA","NA",IF(AND($J284&gt;2009,P284&gt;0),"ERRO","OK"))</f>
        <v>OK</v>
      </c>
      <c r="R284" s="6" t="n">
        <f aca="false">(10-(LEN(S284)))+1</f>
        <v>6</v>
      </c>
      <c r="S284" s="6" t="n">
        <v>35125</v>
      </c>
      <c r="T284" s="6" t="str">
        <f aca="false">IF($J284="NA","NA",IF(AND($J284&gt;1999,S284&gt;0),"ERRO","OK"))</f>
        <v>OK</v>
      </c>
      <c r="U284" s="6" t="n">
        <f aca="false">(10-(LEN(V284)))+1</f>
        <v>6</v>
      </c>
      <c r="V284" s="6" t="n">
        <v>30079</v>
      </c>
      <c r="W284" s="6" t="str">
        <f aca="false">IF($J284="NA","NA",IF(AND($J284&gt;1989,V284&gt;0),"ERRO","OK"))</f>
        <v>OK</v>
      </c>
      <c r="X284" s="6" t="n">
        <f aca="false">(10-(LEN(Y284)))+1</f>
        <v>6</v>
      </c>
      <c r="Y284" s="6" t="n">
        <v>36440</v>
      </c>
      <c r="Z284" s="6" t="str">
        <f aca="false">IF($J284="NA","NA",IF(AND($J284&gt;1979,Y284&gt;0),"ERRO","OK"))</f>
        <v>OK</v>
      </c>
      <c r="AA284" s="6" t="n">
        <f aca="false">(10-(LEN(AB284)))+1</f>
        <v>6</v>
      </c>
      <c r="AB284" s="6" t="n">
        <v>29240</v>
      </c>
      <c r="AC284" s="6" t="str">
        <f aca="false">IF($J284="NA","NA",IF(AND($J284&gt;1969,AB284&gt;0),"ERRO","OK"))</f>
        <v>OK</v>
      </c>
      <c r="AD284" s="6" t="n">
        <f aca="false">(10-(LEN(AE284)))+1</f>
        <v>6</v>
      </c>
      <c r="AE284" s="6" t="n">
        <v>21529</v>
      </c>
      <c r="AF284" s="6" t="str">
        <f aca="false">IF($J284="NA","NA",IF(AND($J284&gt;1959,AE284&gt;0),"ERRO","OK"))</f>
        <v>OK</v>
      </c>
      <c r="AG284" s="6" t="n">
        <f aca="false">(10-(LEN(AH284)))+1</f>
        <v>6</v>
      </c>
      <c r="AH284" s="6" t="n">
        <v>29957</v>
      </c>
      <c r="AI284" s="6" t="str">
        <f aca="false">IF($J284="NA","NA",IF(AND($J284&gt;1949,AH284&gt;0),"ERRO","OK"))</f>
        <v>OK</v>
      </c>
      <c r="AJ284" s="6" t="n">
        <f aca="false">(10-(LEN(AK284)))+1</f>
        <v>6</v>
      </c>
      <c r="AK284" s="6" t="n">
        <v>67819</v>
      </c>
      <c r="AL284" s="6" t="str">
        <f aca="false">IF($J284="NA","NA",IF(AND($J284&gt;1939,AK284&gt;0),"ERRO","OK"))</f>
        <v>OK</v>
      </c>
      <c r="AM284" s="6" t="n">
        <f aca="false">(10-(LEN(AN284)))+1</f>
        <v>6</v>
      </c>
      <c r="AN284" s="6" t="n">
        <v>65350</v>
      </c>
      <c r="AO284" s="6" t="str">
        <f aca="false">IF($J284="NA","NA",IF(AND($J284&gt;1929,AN284&gt;0),"ERRO","OK"))</f>
        <v>OK</v>
      </c>
      <c r="AP284" s="6" t="n">
        <f aca="false">(10-(LEN(AQ284)))+1</f>
        <v>6</v>
      </c>
      <c r="AQ284" s="6" t="n">
        <v>34847</v>
      </c>
      <c r="AR284" s="6" t="str">
        <f aca="false">IF($J284="NA","NA",IF(AND($J284&gt;1919,AQ284&gt;0),"ERRO","OK"))</f>
        <v>OK</v>
      </c>
      <c r="AS284" s="6" t="n">
        <f aca="false">(10-(LEN(AT284)))+1</f>
        <v>7</v>
      </c>
      <c r="AT284" s="6" t="n">
        <v>9075</v>
      </c>
      <c r="AU284" s="6" t="str">
        <f aca="false">IF($J284="NA","NA",IF(AND($J284&gt;1909,AT284&gt;0),"ERRO","OK"))</f>
        <v>OK</v>
      </c>
      <c r="AV284" s="6" t="n">
        <f aca="false">(10-(LEN(AW284)))+1</f>
        <v>7</v>
      </c>
      <c r="AW284" s="6" t="n">
        <v>3999</v>
      </c>
      <c r="AX284" s="6" t="str">
        <f aca="false">IF($J284="NA","NA",IF(AND($J284&gt;1899,AW284&gt;0),"ERRO","OK"))</f>
        <v>OK</v>
      </c>
    </row>
    <row r="285" customFormat="false" ht="15" hidden="false" customHeight="false" outlineLevel="0" collapsed="false">
      <c r="A285" s="7" t="n">
        <v>283</v>
      </c>
      <c r="B285" s="0" t="s">
        <v>302</v>
      </c>
      <c r="C285" s="8" t="n">
        <v>45324</v>
      </c>
      <c r="D285" s="6" t="n">
        <v>0</v>
      </c>
      <c r="E285" s="0" t="s">
        <v>16</v>
      </c>
      <c r="F285" s="0" t="s">
        <v>17</v>
      </c>
      <c r="G285" s="9" t="str">
        <f aca="false">IF(OR(N285="ERRO",Q285="ERRO",T285="ERRO",W285="ERRO",Z285="ERRO",AC285="ERRO",AF285="ERRO",AI285="ERRO",AL285="ERRO",AO285="ERRO",AR285="ERRO",AU285="ERRO",AX285="ERRO"),"ERRO","OK")</f>
        <v>OK</v>
      </c>
      <c r="H285" s="9" t="n">
        <f aca="false">COUNTIF(L285:AX285,"ERRO")</f>
        <v>0</v>
      </c>
      <c r="I285" s="9" t="s">
        <v>18</v>
      </c>
      <c r="J285" s="10" t="n">
        <v>1882</v>
      </c>
      <c r="K285" s="10" t="n">
        <v>1971</v>
      </c>
      <c r="L285" s="6" t="n">
        <f aca="false">(10-(LEN(M285)))+1</f>
        <v>7</v>
      </c>
      <c r="M285" s="6" t="n">
        <v>8162</v>
      </c>
      <c r="N285" s="6" t="str">
        <f aca="false">IF($J285="NA","NA",IF(AND($J285&gt;2019,M285&gt;0),"ERRO","OK"))</f>
        <v>OK</v>
      </c>
      <c r="O285" s="6" t="n">
        <f aca="false">(10-(LEN(P285)))+1</f>
        <v>6</v>
      </c>
      <c r="P285" s="6" t="n">
        <v>18353</v>
      </c>
      <c r="Q285" s="6" t="str">
        <f aca="false">IF($J285="NA","NA",IF(AND($J285&gt;2009,P285&gt;0),"ERRO","OK"))</f>
        <v>OK</v>
      </c>
      <c r="R285" s="6" t="n">
        <f aca="false">(10-(LEN(S285)))+1</f>
        <v>6</v>
      </c>
      <c r="S285" s="6" t="n">
        <v>37268</v>
      </c>
      <c r="T285" s="6" t="str">
        <f aca="false">IF($J285="NA","NA",IF(AND($J285&gt;1999,S285&gt;0),"ERRO","OK"))</f>
        <v>OK</v>
      </c>
      <c r="U285" s="6" t="n">
        <f aca="false">(10-(LEN(V285)))+1</f>
        <v>6</v>
      </c>
      <c r="V285" s="6" t="n">
        <v>30677</v>
      </c>
      <c r="W285" s="6" t="str">
        <f aca="false">IF($J285="NA","NA",IF(AND($J285&gt;1989,V285&gt;0),"ERRO","OK"))</f>
        <v>OK</v>
      </c>
      <c r="X285" s="6" t="n">
        <f aca="false">(10-(LEN(Y285)))+1</f>
        <v>6</v>
      </c>
      <c r="Y285" s="6" t="n">
        <v>33871</v>
      </c>
      <c r="Z285" s="6" t="str">
        <f aca="false">IF($J285="NA","NA",IF(AND($J285&gt;1979,Y285&gt;0),"ERRO","OK"))</f>
        <v>OK</v>
      </c>
      <c r="AA285" s="6" t="n">
        <f aca="false">(10-(LEN(AB285)))+1</f>
        <v>6</v>
      </c>
      <c r="AB285" s="6" t="n">
        <v>30998</v>
      </c>
      <c r="AC285" s="6" t="str">
        <f aca="false">IF($J285="NA","NA",IF(AND($J285&gt;1969,AB285&gt;0),"ERRO","OK"))</f>
        <v>OK</v>
      </c>
      <c r="AD285" s="6" t="n">
        <f aca="false">(10-(LEN(AE285)))+1</f>
        <v>6</v>
      </c>
      <c r="AE285" s="6" t="n">
        <v>68893</v>
      </c>
      <c r="AF285" s="6" t="str">
        <f aca="false">IF($J285="NA","NA",IF(AND($J285&gt;1959,AE285&gt;0),"ERRO","OK"))</f>
        <v>OK</v>
      </c>
      <c r="AG285" s="6" t="n">
        <f aca="false">(10-(LEN(AH285)))+1</f>
        <v>5</v>
      </c>
      <c r="AH285" s="6" t="n">
        <v>106063</v>
      </c>
      <c r="AI285" s="6" t="str">
        <f aca="false">IF($J285="NA","NA",IF(AND($J285&gt;1949,AH285&gt;0),"ERRO","OK"))</f>
        <v>OK</v>
      </c>
      <c r="AJ285" s="6" t="n">
        <f aca="false">(10-(LEN(AK285)))+1</f>
        <v>5</v>
      </c>
      <c r="AK285" s="6" t="n">
        <v>168920</v>
      </c>
      <c r="AL285" s="6" t="str">
        <f aca="false">IF($J285="NA","NA",IF(AND($J285&gt;1939,AK285&gt;0),"ERRO","OK"))</f>
        <v>OK</v>
      </c>
      <c r="AM285" s="6" t="n">
        <f aca="false">(10-(LEN(AN285)))+1</f>
        <v>5</v>
      </c>
      <c r="AN285" s="6" t="n">
        <v>158119</v>
      </c>
      <c r="AO285" s="6" t="str">
        <f aca="false">IF($J285="NA","NA",IF(AND($J285&gt;1929,AN285&gt;0),"ERRO","OK"))</f>
        <v>OK</v>
      </c>
      <c r="AP285" s="6" t="n">
        <f aca="false">(10-(LEN(AQ285)))+1</f>
        <v>6</v>
      </c>
      <c r="AQ285" s="6" t="n">
        <v>31242</v>
      </c>
      <c r="AR285" s="6" t="str">
        <f aca="false">IF($J285="NA","NA",IF(AND($J285&gt;1919,AQ285&gt;0),"ERRO","OK"))</f>
        <v>OK</v>
      </c>
      <c r="AS285" s="6" t="n">
        <f aca="false">(10-(LEN(AT285)))+1</f>
        <v>7</v>
      </c>
      <c r="AT285" s="6" t="n">
        <v>2888</v>
      </c>
      <c r="AU285" s="6" t="str">
        <f aca="false">IF($J285="NA","NA",IF(AND($J285&gt;1909,AT285&gt;0),"ERRO","OK"))</f>
        <v>OK</v>
      </c>
      <c r="AV285" s="6" t="n">
        <f aca="false">(10-(LEN(AW285)))+1</f>
        <v>7</v>
      </c>
      <c r="AW285" s="6" t="n">
        <v>1161</v>
      </c>
      <c r="AX285" s="6" t="str">
        <f aca="false">IF($J285="NA","NA",IF(AND($J285&gt;1899,AW285&gt;0),"ERRO","OK"))</f>
        <v>OK</v>
      </c>
    </row>
    <row r="286" customFormat="false" ht="15" hidden="false" customHeight="false" outlineLevel="0" collapsed="false">
      <c r="A286" s="7" t="n">
        <v>284</v>
      </c>
      <c r="B286" s="0" t="s">
        <v>303</v>
      </c>
      <c r="C286" s="8" t="n">
        <v>45324</v>
      </c>
      <c r="D286" s="6" t="n">
        <v>0</v>
      </c>
      <c r="E286" s="0" t="s">
        <v>16</v>
      </c>
      <c r="F286" s="0" t="s">
        <v>17</v>
      </c>
      <c r="G286" s="9" t="str">
        <f aca="false">IF(OR(N286="ERRO",Q286="ERRO",T286="ERRO",W286="ERRO",Z286="ERRO",AC286="ERRO",AF286="ERRO",AI286="ERRO",AL286="ERRO",AO286="ERRO",AR286="ERRO",AU286="ERRO",AX286="ERRO"),"ERRO","OK")</f>
        <v>OK</v>
      </c>
      <c r="H286" s="9" t="n">
        <f aca="false">COUNTIF(L286:AX286,"ERRO")</f>
        <v>0</v>
      </c>
      <c r="I286" s="9" t="s">
        <v>18</v>
      </c>
      <c r="J286" s="10" t="n">
        <v>1858</v>
      </c>
      <c r="K286" s="10" t="n">
        <v>1924</v>
      </c>
      <c r="L286" s="6" t="n">
        <f aca="false">(10-(LEN(M286)))+1</f>
        <v>7</v>
      </c>
      <c r="M286" s="6" t="n">
        <v>1582</v>
      </c>
      <c r="N286" s="6" t="str">
        <f aca="false">IF($J286="NA","NA",IF(AND($J286&gt;2019,M286&gt;0),"ERRO","OK"))</f>
        <v>OK</v>
      </c>
      <c r="O286" s="6" t="n">
        <f aca="false">(10-(LEN(P286)))+1</f>
        <v>6</v>
      </c>
      <c r="P286" s="6" t="n">
        <v>10428</v>
      </c>
      <c r="Q286" s="6" t="str">
        <f aca="false">IF($J286="NA","NA",IF(AND($J286&gt;2009,P286&gt;0),"ERRO","OK"))</f>
        <v>OK</v>
      </c>
      <c r="R286" s="6" t="n">
        <f aca="false">(10-(LEN(S286)))+1</f>
        <v>6</v>
      </c>
      <c r="S286" s="6" t="n">
        <v>14453</v>
      </c>
      <c r="T286" s="6" t="str">
        <f aca="false">IF($J286="NA","NA",IF(AND($J286&gt;1999,S286&gt;0),"ERRO","OK"))</f>
        <v>OK</v>
      </c>
      <c r="U286" s="6" t="n">
        <f aca="false">(10-(LEN(V286)))+1</f>
        <v>6</v>
      </c>
      <c r="V286" s="6" t="n">
        <v>22306</v>
      </c>
      <c r="W286" s="6" t="str">
        <f aca="false">IF($J286="NA","NA",IF(AND($J286&gt;1989,V286&gt;0),"ERRO","OK"))</f>
        <v>OK</v>
      </c>
      <c r="X286" s="6" t="n">
        <f aca="false">(10-(LEN(Y286)))+1</f>
        <v>6</v>
      </c>
      <c r="Y286" s="6" t="n">
        <v>20280</v>
      </c>
      <c r="Z286" s="6" t="str">
        <f aca="false">IF($J286="NA","NA",IF(AND($J286&gt;1979,Y286&gt;0),"ERRO","OK"))</f>
        <v>OK</v>
      </c>
      <c r="AA286" s="6" t="n">
        <f aca="false">(10-(LEN(AB286)))+1</f>
        <v>6</v>
      </c>
      <c r="AB286" s="6" t="n">
        <v>11427</v>
      </c>
      <c r="AC286" s="6" t="str">
        <f aca="false">IF($J286="NA","NA",IF(AND($J286&gt;1969,AB286&gt;0),"ERRO","OK"))</f>
        <v>OK</v>
      </c>
      <c r="AD286" s="6" t="n">
        <f aca="false">(10-(LEN(AE286)))+1</f>
        <v>7</v>
      </c>
      <c r="AE286" s="6" t="n">
        <v>9060</v>
      </c>
      <c r="AF286" s="6" t="str">
        <f aca="false">IF($J286="NA","NA",IF(AND($J286&gt;1959,AE286&gt;0),"ERRO","OK"))</f>
        <v>OK</v>
      </c>
      <c r="AG286" s="6" t="n">
        <f aca="false">(10-(LEN(AH286)))+1</f>
        <v>6</v>
      </c>
      <c r="AH286" s="6" t="n">
        <v>12886</v>
      </c>
      <c r="AI286" s="6" t="str">
        <f aca="false">IF($J286="NA","NA",IF(AND($J286&gt;1949,AH286&gt;0),"ERRO","OK"))</f>
        <v>OK</v>
      </c>
      <c r="AJ286" s="6" t="n">
        <f aca="false">(10-(LEN(AK286)))+1</f>
        <v>6</v>
      </c>
      <c r="AK286" s="6" t="n">
        <v>22838</v>
      </c>
      <c r="AL286" s="6" t="str">
        <f aca="false">IF($J286="NA","NA",IF(AND($J286&gt;1939,AK286&gt;0),"ERRO","OK"))</f>
        <v>OK</v>
      </c>
      <c r="AM286" s="6" t="n">
        <f aca="false">(10-(LEN(AN286)))+1</f>
        <v>6</v>
      </c>
      <c r="AN286" s="6" t="n">
        <v>17518</v>
      </c>
      <c r="AO286" s="6" t="str">
        <f aca="false">IF($J286="NA","NA",IF(AND($J286&gt;1929,AN286&gt;0),"ERRO","OK"))</f>
        <v>OK</v>
      </c>
      <c r="AP286" s="6" t="n">
        <f aca="false">(10-(LEN(AQ286)))+1</f>
        <v>7</v>
      </c>
      <c r="AQ286" s="6" t="n">
        <v>6409</v>
      </c>
      <c r="AR286" s="6" t="str">
        <f aca="false">IF($J286="NA","NA",IF(AND($J286&gt;1919,AQ286&gt;0),"ERRO","OK"))</f>
        <v>OK</v>
      </c>
      <c r="AS286" s="6" t="n">
        <f aca="false">(10-(LEN(AT286)))+1</f>
        <v>7</v>
      </c>
      <c r="AT286" s="6" t="n">
        <v>2269</v>
      </c>
      <c r="AU286" s="6" t="str">
        <f aca="false">IF($J286="NA","NA",IF(AND($J286&gt;1909,AT286&gt;0),"ERRO","OK"))</f>
        <v>OK</v>
      </c>
      <c r="AV286" s="6" t="n">
        <f aca="false">(10-(LEN(AW286)))+1</f>
        <v>8</v>
      </c>
      <c r="AW286" s="6" t="n">
        <v>774</v>
      </c>
      <c r="AX286" s="6" t="str">
        <f aca="false">IF($J286="NA","NA",IF(AND($J286&gt;1899,AW286&gt;0),"ERRO","OK"))</f>
        <v>OK</v>
      </c>
    </row>
    <row r="287" customFormat="false" ht="15" hidden="false" customHeight="false" outlineLevel="0" collapsed="false">
      <c r="A287" s="7" t="n">
        <v>285</v>
      </c>
      <c r="B287" s="0" t="s">
        <v>304</v>
      </c>
      <c r="C287" s="8" t="n">
        <v>45324</v>
      </c>
      <c r="D287" s="6" t="n">
        <v>0</v>
      </c>
      <c r="E287" s="0" t="s">
        <v>16</v>
      </c>
      <c r="F287" s="0" t="s">
        <v>17</v>
      </c>
      <c r="G287" s="9" t="str">
        <f aca="false">IF(OR(N287="ERRO",Q287="ERRO",T287="ERRO",W287="ERRO",Z287="ERRO",AC287="ERRO",AF287="ERRO",AI287="ERRO",AL287="ERRO",AO287="ERRO",AR287="ERRO",AU287="ERRO",AX287="ERRO"),"ERRO","OK")</f>
        <v>OK</v>
      </c>
      <c r="H287" s="9" t="n">
        <f aca="false">COUNTIF(L287:AX287,"ERRO")</f>
        <v>0</v>
      </c>
      <c r="I287" s="9" t="s">
        <v>18</v>
      </c>
      <c r="J287" s="10" t="n">
        <v>1870</v>
      </c>
      <c r="K287" s="10" t="n">
        <v>1953</v>
      </c>
      <c r="L287" s="6" t="n">
        <f aca="false">(10-(LEN(M287)))+1</f>
        <v>7</v>
      </c>
      <c r="M287" s="6" t="n">
        <v>6080</v>
      </c>
      <c r="N287" s="6" t="str">
        <f aca="false">IF($J287="NA","NA",IF(AND($J287&gt;2019,M287&gt;0),"ERRO","OK"))</f>
        <v>OK</v>
      </c>
      <c r="O287" s="6" t="n">
        <f aca="false">(10-(LEN(P287)))+1</f>
        <v>6</v>
      </c>
      <c r="P287" s="6" t="n">
        <v>14716</v>
      </c>
      <c r="Q287" s="6" t="str">
        <f aca="false">IF($J287="NA","NA",IF(AND($J287&gt;2009,P287&gt;0),"ERRO","OK"))</f>
        <v>OK</v>
      </c>
      <c r="R287" s="6" t="n">
        <f aca="false">(10-(LEN(S287)))+1</f>
        <v>6</v>
      </c>
      <c r="S287" s="6" t="n">
        <v>27730</v>
      </c>
      <c r="T287" s="6" t="str">
        <f aca="false">IF($J287="NA","NA",IF(AND($J287&gt;1999,S287&gt;0),"ERRO","OK"))</f>
        <v>OK</v>
      </c>
      <c r="U287" s="6" t="n">
        <f aca="false">(10-(LEN(V287)))+1</f>
        <v>6</v>
      </c>
      <c r="V287" s="6" t="n">
        <v>42819</v>
      </c>
      <c r="W287" s="6" t="str">
        <f aca="false">IF($J287="NA","NA",IF(AND($J287&gt;1989,V287&gt;0),"ERRO","OK"))</f>
        <v>OK</v>
      </c>
      <c r="X287" s="6" t="n">
        <f aca="false">(10-(LEN(Y287)))+1</f>
        <v>6</v>
      </c>
      <c r="Y287" s="6" t="n">
        <v>45376</v>
      </c>
      <c r="Z287" s="6" t="str">
        <f aca="false">IF($J287="NA","NA",IF(AND($J287&gt;1979,Y287&gt;0),"ERRO","OK"))</f>
        <v>OK</v>
      </c>
      <c r="AA287" s="6" t="n">
        <f aca="false">(10-(LEN(AB287)))+1</f>
        <v>6</v>
      </c>
      <c r="AB287" s="6" t="n">
        <v>61762</v>
      </c>
      <c r="AC287" s="6" t="str">
        <f aca="false">IF($J287="NA","NA",IF(AND($J287&gt;1969,AB287&gt;0),"ERRO","OK"))</f>
        <v>OK</v>
      </c>
      <c r="AD287" s="6" t="n">
        <f aca="false">(10-(LEN(AE287)))+1</f>
        <v>6</v>
      </c>
      <c r="AE287" s="6" t="n">
        <v>29782</v>
      </c>
      <c r="AF287" s="6" t="str">
        <f aca="false">IF($J287="NA","NA",IF(AND($J287&gt;1959,AE287&gt;0),"ERRO","OK"))</f>
        <v>OK</v>
      </c>
      <c r="AG287" s="6" t="n">
        <f aca="false">(10-(LEN(AH287)))+1</f>
        <v>6</v>
      </c>
      <c r="AH287" s="6" t="n">
        <v>64210</v>
      </c>
      <c r="AI287" s="6" t="str">
        <f aca="false">IF($J287="NA","NA",IF(AND($J287&gt;1949,AH287&gt;0),"ERRO","OK"))</f>
        <v>OK</v>
      </c>
      <c r="AJ287" s="6" t="n">
        <f aca="false">(10-(LEN(AK287)))+1</f>
        <v>6</v>
      </c>
      <c r="AK287" s="6" t="n">
        <v>49576</v>
      </c>
      <c r="AL287" s="6" t="str">
        <f aca="false">IF($J287="NA","NA",IF(AND($J287&gt;1939,AK287&gt;0),"ERRO","OK"))</f>
        <v>OK</v>
      </c>
      <c r="AM287" s="6" t="n">
        <f aca="false">(10-(LEN(AN287)))+1</f>
        <v>6</v>
      </c>
      <c r="AN287" s="6" t="n">
        <v>19194</v>
      </c>
      <c r="AO287" s="6" t="str">
        <f aca="false">IF($J287="NA","NA",IF(AND($J287&gt;1929,AN287&gt;0),"ERRO","OK"))</f>
        <v>OK</v>
      </c>
      <c r="AP287" s="6" t="n">
        <f aca="false">(10-(LEN(AQ287)))+1</f>
        <v>7</v>
      </c>
      <c r="AQ287" s="6" t="n">
        <v>7911</v>
      </c>
      <c r="AR287" s="6" t="str">
        <f aca="false">IF($J287="NA","NA",IF(AND($J287&gt;1919,AQ287&gt;0),"ERRO","OK"))</f>
        <v>OK</v>
      </c>
      <c r="AS287" s="6" t="n">
        <f aca="false">(10-(LEN(AT287)))+1</f>
        <v>7</v>
      </c>
      <c r="AT287" s="6" t="n">
        <v>3506</v>
      </c>
      <c r="AU287" s="6" t="str">
        <f aca="false">IF($J287="NA","NA",IF(AND($J287&gt;1909,AT287&gt;0),"ERRO","OK"))</f>
        <v>OK</v>
      </c>
      <c r="AV287" s="6" t="n">
        <f aca="false">(10-(LEN(AW287)))+1</f>
        <v>8</v>
      </c>
      <c r="AW287" s="6" t="n">
        <v>258</v>
      </c>
      <c r="AX287" s="6" t="str">
        <f aca="false">IF($J287="NA","NA",IF(AND($J287&gt;1899,AW287&gt;0),"ERRO","OK"))</f>
        <v>OK</v>
      </c>
    </row>
    <row r="288" customFormat="false" ht="15" hidden="false" customHeight="false" outlineLevel="0" collapsed="false">
      <c r="A288" s="7" t="n">
        <v>286</v>
      </c>
      <c r="B288" s="0" t="s">
        <v>305</v>
      </c>
      <c r="C288" s="8" t="n">
        <v>45324</v>
      </c>
      <c r="D288" s="6" t="n">
        <v>0</v>
      </c>
      <c r="E288" s="0" t="s">
        <v>16</v>
      </c>
      <c r="F288" s="0" t="s">
        <v>17</v>
      </c>
      <c r="G288" s="9" t="str">
        <f aca="false">IF(OR(N288="ERRO",Q288="ERRO",T288="ERRO",W288="ERRO",Z288="ERRO",AC288="ERRO",AF288="ERRO",AI288="ERRO",AL288="ERRO",AO288="ERRO",AR288="ERRO",AU288="ERRO",AX288="ERRO"),"ERRO","OK")</f>
        <v>OK</v>
      </c>
      <c r="H288" s="9" t="n">
        <f aca="false">COUNTIF(L288:AX288,"ERRO")</f>
        <v>0</v>
      </c>
      <c r="I288" s="9" t="s">
        <v>18</v>
      </c>
      <c r="J288" s="10" t="n">
        <v>1871</v>
      </c>
      <c r="K288" s="10" t="n">
        <v>1951</v>
      </c>
      <c r="L288" s="6" t="n">
        <f aca="false">(10-(LEN(M288)))+1</f>
        <v>6</v>
      </c>
      <c r="M288" s="6" t="n">
        <v>17074</v>
      </c>
      <c r="N288" s="6" t="str">
        <f aca="false">IF($J288="NA","NA",IF(AND($J288&gt;2019,M288&gt;0),"ERRO","OK"))</f>
        <v>OK</v>
      </c>
      <c r="O288" s="6" t="n">
        <f aca="false">(10-(LEN(P288)))+1</f>
        <v>6</v>
      </c>
      <c r="P288" s="6" t="n">
        <v>35985</v>
      </c>
      <c r="Q288" s="6" t="str">
        <f aca="false">IF($J288="NA","NA",IF(AND($J288&gt;2009,P288&gt;0),"ERRO","OK"))</f>
        <v>OK</v>
      </c>
      <c r="R288" s="6" t="n">
        <f aca="false">(10-(LEN(S288)))+1</f>
        <v>6</v>
      </c>
      <c r="S288" s="6" t="n">
        <v>51049</v>
      </c>
      <c r="T288" s="6" t="str">
        <f aca="false">IF($J288="NA","NA",IF(AND($J288&gt;1999,S288&gt;0),"ERRO","OK"))</f>
        <v>OK</v>
      </c>
      <c r="U288" s="6" t="n">
        <f aca="false">(10-(LEN(V288)))+1</f>
        <v>6</v>
      </c>
      <c r="V288" s="6" t="n">
        <v>62089</v>
      </c>
      <c r="W288" s="6" t="str">
        <f aca="false">IF($J288="NA","NA",IF(AND($J288&gt;1989,V288&gt;0),"ERRO","OK"))</f>
        <v>OK</v>
      </c>
      <c r="X288" s="6" t="n">
        <f aca="false">(10-(LEN(Y288)))+1</f>
        <v>6</v>
      </c>
      <c r="Y288" s="6" t="n">
        <v>64318</v>
      </c>
      <c r="Z288" s="6" t="str">
        <f aca="false">IF($J288="NA","NA",IF(AND($J288&gt;1979,Y288&gt;0),"ERRO","OK"))</f>
        <v>OK</v>
      </c>
      <c r="AA288" s="6" t="n">
        <f aca="false">(10-(LEN(AB288)))+1</f>
        <v>6</v>
      </c>
      <c r="AB288" s="6" t="n">
        <v>57250</v>
      </c>
      <c r="AC288" s="6" t="str">
        <f aca="false">IF($J288="NA","NA",IF(AND($J288&gt;1969,AB288&gt;0),"ERRO","OK"))</f>
        <v>OK</v>
      </c>
      <c r="AD288" s="6" t="n">
        <f aca="false">(10-(LEN(AE288)))+1</f>
        <v>6</v>
      </c>
      <c r="AE288" s="6" t="n">
        <v>62614</v>
      </c>
      <c r="AF288" s="6" t="str">
        <f aca="false">IF($J288="NA","NA",IF(AND($J288&gt;1959,AE288&gt;0),"ERRO","OK"))</f>
        <v>OK</v>
      </c>
      <c r="AG288" s="6" t="n">
        <f aca="false">(10-(LEN(AH288)))+1</f>
        <v>6</v>
      </c>
      <c r="AH288" s="6" t="n">
        <v>74563</v>
      </c>
      <c r="AI288" s="6" t="str">
        <f aca="false">IF($J288="NA","NA",IF(AND($J288&gt;1949,AH288&gt;0),"ERRO","OK"))</f>
        <v>OK</v>
      </c>
      <c r="AJ288" s="6" t="n">
        <f aca="false">(10-(LEN(AK288)))+1</f>
        <v>5</v>
      </c>
      <c r="AK288" s="6" t="n">
        <v>121154</v>
      </c>
      <c r="AL288" s="6" t="str">
        <f aca="false">IF($J288="NA","NA",IF(AND($J288&gt;1939,AK288&gt;0),"ERRO","OK"))</f>
        <v>OK</v>
      </c>
      <c r="AM288" s="6" t="n">
        <f aca="false">(10-(LEN(AN288)))+1</f>
        <v>6</v>
      </c>
      <c r="AN288" s="6" t="n">
        <v>48593</v>
      </c>
      <c r="AO288" s="6" t="str">
        <f aca="false">IF($J288="NA","NA",IF(AND($J288&gt;1929,AN288&gt;0),"ERRO","OK"))</f>
        <v>OK</v>
      </c>
      <c r="AP288" s="6" t="n">
        <f aca="false">(10-(LEN(AQ288)))+1</f>
        <v>6</v>
      </c>
      <c r="AQ288" s="6" t="n">
        <v>35147</v>
      </c>
      <c r="AR288" s="6" t="str">
        <f aca="false">IF($J288="NA","NA",IF(AND($J288&gt;1919,AQ288&gt;0),"ERRO","OK"))</f>
        <v>OK</v>
      </c>
      <c r="AS288" s="6" t="n">
        <f aca="false">(10-(LEN(AT288)))+1</f>
        <v>6</v>
      </c>
      <c r="AT288" s="6" t="n">
        <v>21450</v>
      </c>
      <c r="AU288" s="6" t="str">
        <f aca="false">IF($J288="NA","NA",IF(AND($J288&gt;1909,AT288&gt;0),"ERRO","OK"))</f>
        <v>OK</v>
      </c>
      <c r="AV288" s="6" t="n">
        <f aca="false">(10-(LEN(AW288)))+1</f>
        <v>6</v>
      </c>
      <c r="AW288" s="6" t="n">
        <v>16252</v>
      </c>
      <c r="AX288" s="6" t="str">
        <f aca="false">IF($J288="NA","NA",IF(AND($J288&gt;1899,AW288&gt;0),"ERRO","OK"))</f>
        <v>OK</v>
      </c>
    </row>
    <row r="289" customFormat="false" ht="15" hidden="false" customHeight="false" outlineLevel="0" collapsed="false">
      <c r="A289" s="7" t="n">
        <v>287</v>
      </c>
      <c r="B289" s="0" t="s">
        <v>306</v>
      </c>
      <c r="C289" s="8" t="n">
        <v>45324</v>
      </c>
      <c r="D289" s="6" t="n">
        <v>0</v>
      </c>
      <c r="E289" s="0" t="s">
        <v>16</v>
      </c>
      <c r="F289" s="0" t="s">
        <v>17</v>
      </c>
      <c r="G289" s="9" t="str">
        <f aca="false">IF(OR(N289="ERRO",Q289="ERRO",T289="ERRO",W289="ERRO",Z289="ERRO",AC289="ERRO",AF289="ERRO",AI289="ERRO",AL289="ERRO",AO289="ERRO",AR289="ERRO",AU289="ERRO",AX289="ERRO"),"ERRO","OK")</f>
        <v>OK</v>
      </c>
      <c r="H289" s="9" t="n">
        <f aca="false">COUNTIF(L289:AX289,"ERRO")</f>
        <v>0</v>
      </c>
      <c r="I289" s="9" t="s">
        <v>18</v>
      </c>
      <c r="J289" s="10" t="n">
        <v>1871</v>
      </c>
      <c r="K289" s="10" t="n">
        <v>1948</v>
      </c>
      <c r="L289" s="6" t="n">
        <f aca="false">(10-(LEN(M289)))+1</f>
        <v>7</v>
      </c>
      <c r="M289" s="6" t="n">
        <v>2915</v>
      </c>
      <c r="N289" s="6" t="str">
        <f aca="false">IF($J289="NA","NA",IF(AND($J289&gt;2019,M289&gt;0),"ERRO","OK"))</f>
        <v>OK</v>
      </c>
      <c r="O289" s="6" t="n">
        <f aca="false">(10-(LEN(P289)))+1</f>
        <v>7</v>
      </c>
      <c r="P289" s="6" t="n">
        <v>3568</v>
      </c>
      <c r="Q289" s="6" t="str">
        <f aca="false">IF($J289="NA","NA",IF(AND($J289&gt;2009,P289&gt;0),"ERRO","OK"))</f>
        <v>OK</v>
      </c>
      <c r="R289" s="6" t="n">
        <f aca="false">(10-(LEN(S289)))+1</f>
        <v>7</v>
      </c>
      <c r="S289" s="6" t="n">
        <v>6512</v>
      </c>
      <c r="T289" s="6" t="str">
        <f aca="false">IF($J289="NA","NA",IF(AND($J289&gt;1999,S289&gt;0),"ERRO","OK"))</f>
        <v>OK</v>
      </c>
      <c r="U289" s="6" t="n">
        <f aca="false">(10-(LEN(V289)))+1</f>
        <v>7</v>
      </c>
      <c r="V289" s="6" t="n">
        <v>3909</v>
      </c>
      <c r="W289" s="6" t="str">
        <f aca="false">IF($J289="NA","NA",IF(AND($J289&gt;1989,V289&gt;0),"ERRO","OK"))</f>
        <v>OK</v>
      </c>
      <c r="X289" s="6" t="n">
        <f aca="false">(10-(LEN(Y289)))+1</f>
        <v>7</v>
      </c>
      <c r="Y289" s="6" t="n">
        <v>8669</v>
      </c>
      <c r="Z289" s="6" t="str">
        <f aca="false">IF($J289="NA","NA",IF(AND($J289&gt;1979,Y289&gt;0),"ERRO","OK"))</f>
        <v>OK</v>
      </c>
      <c r="AA289" s="6" t="n">
        <f aca="false">(10-(LEN(AB289)))+1</f>
        <v>6</v>
      </c>
      <c r="AB289" s="6" t="n">
        <v>25842</v>
      </c>
      <c r="AC289" s="6" t="str">
        <f aca="false">IF($J289="NA","NA",IF(AND($J289&gt;1969,AB289&gt;0),"ERRO","OK"))</f>
        <v>OK</v>
      </c>
      <c r="AD289" s="6" t="n">
        <f aca="false">(10-(LEN(AE289)))+1</f>
        <v>7</v>
      </c>
      <c r="AE289" s="6" t="n">
        <v>7625</v>
      </c>
      <c r="AF289" s="6" t="str">
        <f aca="false">IF($J289="NA","NA",IF(AND($J289&gt;1959,AE289&gt;0),"ERRO","OK"))</f>
        <v>OK</v>
      </c>
      <c r="AG289" s="6" t="n">
        <f aca="false">(10-(LEN(AH289)))+1</f>
        <v>7</v>
      </c>
      <c r="AH289" s="6" t="n">
        <v>3084</v>
      </c>
      <c r="AI289" s="6" t="str">
        <f aca="false">IF($J289="NA","NA",IF(AND($J289&gt;1949,AH289&gt;0),"ERRO","OK"))</f>
        <v>OK</v>
      </c>
      <c r="AJ289" s="6" t="n">
        <f aca="false">(10-(LEN(AK289)))+1</f>
        <v>7</v>
      </c>
      <c r="AK289" s="6" t="n">
        <v>4456</v>
      </c>
      <c r="AL289" s="6" t="str">
        <f aca="false">IF($J289="NA","NA",IF(AND($J289&gt;1939,AK289&gt;0),"ERRO","OK"))</f>
        <v>OK</v>
      </c>
      <c r="AM289" s="6" t="n">
        <f aca="false">(10-(LEN(AN289)))+1</f>
        <v>7</v>
      </c>
      <c r="AN289" s="6" t="n">
        <v>9292</v>
      </c>
      <c r="AO289" s="6" t="str">
        <f aca="false">IF($J289="NA","NA",IF(AND($J289&gt;1929,AN289&gt;0),"ERRO","OK"))</f>
        <v>OK</v>
      </c>
      <c r="AP289" s="6" t="n">
        <f aca="false">(10-(LEN(AQ289)))+1</f>
        <v>7</v>
      </c>
      <c r="AQ289" s="6" t="n">
        <v>5908</v>
      </c>
      <c r="AR289" s="6" t="str">
        <f aca="false">IF($J289="NA","NA",IF(AND($J289&gt;1919,AQ289&gt;0),"ERRO","OK"))</f>
        <v>OK</v>
      </c>
      <c r="AS289" s="6" t="n">
        <f aca="false">(10-(LEN(AT289)))+1</f>
        <v>7</v>
      </c>
      <c r="AT289" s="6" t="n">
        <v>4641</v>
      </c>
      <c r="AU289" s="6" t="str">
        <f aca="false">IF($J289="NA","NA",IF(AND($J289&gt;1909,AT289&gt;0),"ERRO","OK"))</f>
        <v>OK</v>
      </c>
      <c r="AV289" s="6" t="n">
        <f aca="false">(10-(LEN(AW289)))+1</f>
        <v>7</v>
      </c>
      <c r="AW289" s="6" t="n">
        <v>2709</v>
      </c>
      <c r="AX289" s="6" t="str">
        <f aca="false">IF($J289="NA","NA",IF(AND($J289&gt;1899,AW289&gt;0),"ERRO","OK"))</f>
        <v>OK</v>
      </c>
    </row>
    <row r="290" customFormat="false" ht="15" hidden="false" customHeight="false" outlineLevel="0" collapsed="false">
      <c r="A290" s="7" t="n">
        <v>288</v>
      </c>
      <c r="B290" s="0" t="s">
        <v>307</v>
      </c>
      <c r="C290" s="8" t="n">
        <v>45324</v>
      </c>
      <c r="D290" s="6" t="n">
        <v>0</v>
      </c>
      <c r="E290" s="0" t="s">
        <v>16</v>
      </c>
      <c r="F290" s="0" t="s">
        <v>17</v>
      </c>
      <c r="G290" s="9" t="str">
        <f aca="false">IF(OR(N290="ERRO",Q290="ERRO",T290="ERRO",W290="ERRO",Z290="ERRO",AC290="ERRO",AF290="ERRO",AI290="ERRO",AL290="ERRO",AO290="ERRO",AR290="ERRO",AU290="ERRO",AX290="ERRO"),"ERRO","OK")</f>
        <v>OK</v>
      </c>
      <c r="H290" s="9" t="n">
        <f aca="false">COUNTIF(L290:AX290,"ERRO")</f>
        <v>0</v>
      </c>
      <c r="I290" s="9" t="s">
        <v>18</v>
      </c>
      <c r="J290" s="10" t="n">
        <v>1892</v>
      </c>
      <c r="K290" s="10" t="n">
        <v>1978</v>
      </c>
      <c r="L290" s="6" t="n">
        <f aca="false">(10-(LEN(M290)))+1</f>
        <v>7</v>
      </c>
      <c r="M290" s="6" t="n">
        <v>3290</v>
      </c>
      <c r="N290" s="6" t="str">
        <f aca="false">IF($J290="NA","NA",IF(AND($J290&gt;2019,M290&gt;0),"ERRO","OK"))</f>
        <v>OK</v>
      </c>
      <c r="O290" s="6" t="n">
        <f aca="false">(10-(LEN(P290)))+1</f>
        <v>7</v>
      </c>
      <c r="P290" s="6" t="n">
        <v>2641</v>
      </c>
      <c r="Q290" s="6" t="str">
        <f aca="false">IF($J290="NA","NA",IF(AND($J290&gt;2009,P290&gt;0),"ERRO","OK"))</f>
        <v>OK</v>
      </c>
      <c r="R290" s="6" t="n">
        <f aca="false">(10-(LEN(S290)))+1</f>
        <v>7</v>
      </c>
      <c r="S290" s="6" t="n">
        <v>1933</v>
      </c>
      <c r="T290" s="6" t="str">
        <f aca="false">IF($J290="NA","NA",IF(AND($J290&gt;1999,S290&gt;0),"ERRO","OK"))</f>
        <v>OK</v>
      </c>
      <c r="U290" s="6" t="n">
        <f aca="false">(10-(LEN(V290)))+1</f>
        <v>7</v>
      </c>
      <c r="V290" s="6" t="n">
        <v>1334</v>
      </c>
      <c r="W290" s="6" t="str">
        <f aca="false">IF($J290="NA","NA",IF(AND($J290&gt;1989,V290&gt;0),"ERRO","OK"))</f>
        <v>OK</v>
      </c>
      <c r="X290" s="6" t="n">
        <f aca="false">(10-(LEN(Y290)))+1</f>
        <v>7</v>
      </c>
      <c r="Y290" s="6" t="n">
        <v>1819</v>
      </c>
      <c r="Z290" s="6" t="str">
        <f aca="false">IF($J290="NA","NA",IF(AND($J290&gt;1979,Y290&gt;0),"ERRO","OK"))</f>
        <v>OK</v>
      </c>
      <c r="AA290" s="6" t="n">
        <f aca="false">(10-(LEN(AB290)))+1</f>
        <v>8</v>
      </c>
      <c r="AB290" s="6" t="n">
        <v>996</v>
      </c>
      <c r="AC290" s="6" t="str">
        <f aca="false">IF($J290="NA","NA",IF(AND($J290&gt;1969,AB290&gt;0),"ERRO","OK"))</f>
        <v>OK</v>
      </c>
      <c r="AD290" s="6" t="n">
        <f aca="false">(10-(LEN(AE290)))+1</f>
        <v>8</v>
      </c>
      <c r="AE290" s="6" t="n">
        <v>987</v>
      </c>
      <c r="AF290" s="6" t="str">
        <f aca="false">IF($J290="NA","NA",IF(AND($J290&gt;1959,AE290&gt;0),"ERRO","OK"))</f>
        <v>OK</v>
      </c>
      <c r="AG290" s="6" t="n">
        <f aca="false">(10-(LEN(AH290)))+1</f>
        <v>8</v>
      </c>
      <c r="AH290" s="6" t="n">
        <v>771</v>
      </c>
      <c r="AI290" s="6" t="str">
        <f aca="false">IF($J290="NA","NA",IF(AND($J290&gt;1949,AH290&gt;0),"ERRO","OK"))</f>
        <v>OK</v>
      </c>
      <c r="AJ290" s="6" t="n">
        <f aca="false">(10-(LEN(AK290)))+1</f>
        <v>8</v>
      </c>
      <c r="AK290" s="6" t="n">
        <v>557</v>
      </c>
      <c r="AL290" s="6" t="str">
        <f aca="false">IF($J290="NA","NA",IF(AND($J290&gt;1939,AK290&gt;0),"ERRO","OK"))</f>
        <v>OK</v>
      </c>
      <c r="AM290" s="6" t="n">
        <f aca="false">(10-(LEN(AN290)))+1</f>
        <v>8</v>
      </c>
      <c r="AN290" s="6" t="n">
        <v>457</v>
      </c>
      <c r="AO290" s="6" t="str">
        <f aca="false">IF($J290="NA","NA",IF(AND($J290&gt;1929,AN290&gt;0),"ERRO","OK"))</f>
        <v>OK</v>
      </c>
      <c r="AP290" s="6" t="n">
        <f aca="false">(10-(LEN(AQ290)))+1</f>
        <v>8</v>
      </c>
      <c r="AQ290" s="6" t="n">
        <v>701</v>
      </c>
      <c r="AR290" s="6" t="str">
        <f aca="false">IF($J290="NA","NA",IF(AND($J290&gt;1919,AQ290&gt;0),"ERRO","OK"))</f>
        <v>OK</v>
      </c>
      <c r="AS290" s="6" t="n">
        <f aca="false">(10-(LEN(AT290)))+1</f>
        <v>10</v>
      </c>
      <c r="AT290" s="6" t="n">
        <v>0</v>
      </c>
      <c r="AU290" s="6" t="str">
        <f aca="false">IF($J290="NA","NA",IF(AND($J290&gt;1909,AT290&gt;0),"ERRO","OK"))</f>
        <v>OK</v>
      </c>
      <c r="AV290" s="6" t="n">
        <f aca="false">(10-(LEN(AW290)))+1</f>
        <v>10</v>
      </c>
      <c r="AW290" s="6" t="n">
        <v>0</v>
      </c>
      <c r="AX290" s="6" t="str">
        <f aca="false">IF($J290="NA","NA",IF(AND($J290&gt;1899,AW290&gt;0),"ERRO","OK"))</f>
        <v>OK</v>
      </c>
    </row>
    <row r="291" customFormat="false" ht="15" hidden="false" customHeight="false" outlineLevel="0" collapsed="false">
      <c r="A291" s="7" t="n">
        <v>289</v>
      </c>
      <c r="B291" s="0" t="s">
        <v>308</v>
      </c>
      <c r="C291" s="8" t="n">
        <v>45324</v>
      </c>
      <c r="D291" s="6" t="n">
        <v>0</v>
      </c>
      <c r="E291" s="0" t="s">
        <v>16</v>
      </c>
      <c r="F291" s="0" t="s">
        <v>17</v>
      </c>
      <c r="G291" s="9" t="str">
        <f aca="false">IF(OR(N291="ERRO",Q291="ERRO",T291="ERRO",W291="ERRO",Z291="ERRO",AC291="ERRO",AF291="ERRO",AI291="ERRO",AL291="ERRO",AO291="ERRO",AR291="ERRO",AU291="ERRO",AX291="ERRO"),"ERRO","OK")</f>
        <v>OK</v>
      </c>
      <c r="H291" s="9" t="n">
        <f aca="false">COUNTIF(L291:AX291,"ERRO")</f>
        <v>0</v>
      </c>
      <c r="I291" s="9" t="s">
        <v>18</v>
      </c>
      <c r="J291" s="10" t="n">
        <v>1866</v>
      </c>
      <c r="K291" s="10" t="n">
        <v>1925</v>
      </c>
      <c r="L291" s="6" t="n">
        <f aca="false">(10-(LEN(M291)))+1</f>
        <v>6</v>
      </c>
      <c r="M291" s="6" t="n">
        <v>27568</v>
      </c>
      <c r="N291" s="6" t="str">
        <f aca="false">IF($J291="NA","NA",IF(AND($J291&gt;2019,M291&gt;0),"ERRO","OK"))</f>
        <v>OK</v>
      </c>
      <c r="O291" s="6" t="n">
        <f aca="false">(10-(LEN(P291)))+1</f>
        <v>6</v>
      </c>
      <c r="P291" s="6" t="n">
        <v>27169</v>
      </c>
      <c r="Q291" s="6" t="str">
        <f aca="false">IF($J291="NA","NA",IF(AND($J291&gt;2009,P291&gt;0),"ERRO","OK"))</f>
        <v>OK</v>
      </c>
      <c r="R291" s="6" t="n">
        <f aca="false">(10-(LEN(S291)))+1</f>
        <v>6</v>
      </c>
      <c r="S291" s="6" t="n">
        <v>49200</v>
      </c>
      <c r="T291" s="6" t="str">
        <f aca="false">IF($J291="NA","NA",IF(AND($J291&gt;1999,S291&gt;0),"ERRO","OK"))</f>
        <v>OK</v>
      </c>
      <c r="U291" s="6" t="n">
        <f aca="false">(10-(LEN(V291)))+1</f>
        <v>6</v>
      </c>
      <c r="V291" s="6" t="n">
        <v>65079</v>
      </c>
      <c r="W291" s="6" t="str">
        <f aca="false">IF($J291="NA","NA",IF(AND($J291&gt;1989,V291&gt;0),"ERRO","OK"))</f>
        <v>OK</v>
      </c>
      <c r="X291" s="6" t="n">
        <f aca="false">(10-(LEN(Y291)))+1</f>
        <v>6</v>
      </c>
      <c r="Y291" s="6" t="n">
        <v>27343</v>
      </c>
      <c r="Z291" s="6" t="str">
        <f aca="false">IF($J291="NA","NA",IF(AND($J291&gt;1979,Y291&gt;0),"ERRO","OK"))</f>
        <v>OK</v>
      </c>
      <c r="AA291" s="6" t="n">
        <f aca="false">(10-(LEN(AB291)))+1</f>
        <v>6</v>
      </c>
      <c r="AB291" s="6" t="n">
        <v>40081</v>
      </c>
      <c r="AC291" s="6" t="str">
        <f aca="false">IF($J291="NA","NA",IF(AND($J291&gt;1969,AB291&gt;0),"ERRO","OK"))</f>
        <v>OK</v>
      </c>
      <c r="AD291" s="6" t="n">
        <f aca="false">(10-(LEN(AE291)))+1</f>
        <v>6</v>
      </c>
      <c r="AE291" s="6" t="n">
        <v>21978</v>
      </c>
      <c r="AF291" s="6" t="str">
        <f aca="false">IF($J291="NA","NA",IF(AND($J291&gt;1959,AE291&gt;0),"ERRO","OK"))</f>
        <v>OK</v>
      </c>
      <c r="AG291" s="6" t="n">
        <f aca="false">(10-(LEN(AH291)))+1</f>
        <v>6</v>
      </c>
      <c r="AH291" s="6" t="n">
        <v>21367</v>
      </c>
      <c r="AI291" s="6" t="str">
        <f aca="false">IF($J291="NA","NA",IF(AND($J291&gt;1949,AH291&gt;0),"ERRO","OK"))</f>
        <v>OK</v>
      </c>
      <c r="AJ291" s="6" t="n">
        <f aca="false">(10-(LEN(AK291)))+1</f>
        <v>6</v>
      </c>
      <c r="AK291" s="6" t="n">
        <v>11419</v>
      </c>
      <c r="AL291" s="6" t="str">
        <f aca="false">IF($J291="NA","NA",IF(AND($J291&gt;1939,AK291&gt;0),"ERRO","OK"))</f>
        <v>OK</v>
      </c>
      <c r="AM291" s="6" t="n">
        <f aca="false">(10-(LEN(AN291)))+1</f>
        <v>7</v>
      </c>
      <c r="AN291" s="6" t="n">
        <v>9444</v>
      </c>
      <c r="AO291" s="6" t="str">
        <f aca="false">IF($J291="NA","NA",IF(AND($J291&gt;1929,AN291&gt;0),"ERRO","OK"))</f>
        <v>OK</v>
      </c>
      <c r="AP291" s="6" t="n">
        <f aca="false">(10-(LEN(AQ291)))+1</f>
        <v>6</v>
      </c>
      <c r="AQ291" s="6" t="n">
        <v>21028</v>
      </c>
      <c r="AR291" s="6" t="str">
        <f aca="false">IF($J291="NA","NA",IF(AND($J291&gt;1919,AQ291&gt;0),"ERRO","OK"))</f>
        <v>OK</v>
      </c>
      <c r="AS291" s="6" t="n">
        <f aca="false">(10-(LEN(AT291)))+1</f>
        <v>8</v>
      </c>
      <c r="AT291" s="6" t="n">
        <v>309</v>
      </c>
      <c r="AU291" s="6" t="str">
        <f aca="false">IF($J291="NA","NA",IF(AND($J291&gt;1909,AT291&gt;0),"ERRO","OK"))</f>
        <v>OK</v>
      </c>
      <c r="AV291" s="6" t="n">
        <f aca="false">(10-(LEN(AW291)))+1</f>
        <v>10</v>
      </c>
      <c r="AW291" s="6" t="n">
        <v>0</v>
      </c>
      <c r="AX291" s="6" t="str">
        <f aca="false">IF($J291="NA","NA",IF(AND($J291&gt;1899,AW291&gt;0),"ERRO","OK"))</f>
        <v>OK</v>
      </c>
    </row>
    <row r="292" customFormat="false" ht="15" hidden="false" customHeight="false" outlineLevel="0" collapsed="false">
      <c r="A292" s="7" t="n">
        <v>290</v>
      </c>
      <c r="B292" s="0" t="s">
        <v>309</v>
      </c>
      <c r="C292" s="8" t="n">
        <v>45324</v>
      </c>
      <c r="D292" s="6" t="n">
        <v>0</v>
      </c>
      <c r="E292" s="0" t="s">
        <v>16</v>
      </c>
      <c r="F292" s="0" t="s">
        <v>17</v>
      </c>
      <c r="G292" s="9" t="str">
        <f aca="false">IF(OR(N292="ERRO",Q292="ERRO",T292="ERRO",W292="ERRO",Z292="ERRO",AC292="ERRO",AF292="ERRO",AI292="ERRO",AL292="ERRO",AO292="ERRO",AR292="ERRO",AU292="ERRO",AX292="ERRO"),"ERRO","OK")</f>
        <v>OK</v>
      </c>
      <c r="H292" s="9" t="n">
        <f aca="false">COUNTIF(L292:AX292,"ERRO")</f>
        <v>0</v>
      </c>
      <c r="I292" s="9" t="s">
        <v>18</v>
      </c>
      <c r="J292" s="10" t="n">
        <v>1898</v>
      </c>
      <c r="K292" s="10" t="n">
        <v>1929</v>
      </c>
      <c r="L292" s="6" t="n">
        <f aca="false">(10-(LEN(M292)))+1</f>
        <v>7</v>
      </c>
      <c r="M292" s="6" t="n">
        <v>2207</v>
      </c>
      <c r="N292" s="6" t="str">
        <f aca="false">IF($J292="NA","NA",IF(AND($J292&gt;2019,M292&gt;0),"ERRO","OK"))</f>
        <v>OK</v>
      </c>
      <c r="O292" s="6" t="n">
        <f aca="false">(10-(LEN(P292)))+1</f>
        <v>7</v>
      </c>
      <c r="P292" s="6" t="n">
        <v>1166</v>
      </c>
      <c r="Q292" s="6" t="str">
        <f aca="false">IF($J292="NA","NA",IF(AND($J292&gt;2009,P292&gt;0),"ERRO","OK"))</f>
        <v>OK</v>
      </c>
      <c r="R292" s="6" t="n">
        <f aca="false">(10-(LEN(S292)))+1</f>
        <v>8</v>
      </c>
      <c r="S292" s="6" t="n">
        <v>882</v>
      </c>
      <c r="T292" s="6" t="str">
        <f aca="false">IF($J292="NA","NA",IF(AND($J292&gt;1999,S292&gt;0),"ERRO","OK"))</f>
        <v>OK</v>
      </c>
      <c r="U292" s="6" t="n">
        <f aca="false">(10-(LEN(V292)))+1</f>
        <v>7</v>
      </c>
      <c r="V292" s="6" t="n">
        <v>1288</v>
      </c>
      <c r="W292" s="6" t="str">
        <f aca="false">IF($J292="NA","NA",IF(AND($J292&gt;1989,V292&gt;0),"ERRO","OK"))</f>
        <v>OK</v>
      </c>
      <c r="X292" s="6" t="n">
        <f aca="false">(10-(LEN(Y292)))+1</f>
        <v>7</v>
      </c>
      <c r="Y292" s="6" t="n">
        <v>1231</v>
      </c>
      <c r="Z292" s="6" t="str">
        <f aca="false">IF($J292="NA","NA",IF(AND($J292&gt;1979,Y292&gt;0),"ERRO","OK"))</f>
        <v>OK</v>
      </c>
      <c r="AA292" s="6" t="n">
        <f aca="false">(10-(LEN(AB292)))+1</f>
        <v>7</v>
      </c>
      <c r="AB292" s="6" t="n">
        <v>1113</v>
      </c>
      <c r="AC292" s="6" t="str">
        <f aca="false">IF($J292="NA","NA",IF(AND($J292&gt;1969,AB292&gt;0),"ERRO","OK"))</f>
        <v>OK</v>
      </c>
      <c r="AD292" s="6" t="n">
        <f aca="false">(10-(LEN(AE292)))+1</f>
        <v>8</v>
      </c>
      <c r="AE292" s="6" t="n">
        <v>449</v>
      </c>
      <c r="AF292" s="6" t="str">
        <f aca="false">IF($J292="NA","NA",IF(AND($J292&gt;1959,AE292&gt;0),"ERRO","OK"))</f>
        <v>OK</v>
      </c>
      <c r="AG292" s="6" t="n">
        <f aca="false">(10-(LEN(AH292)))+1</f>
        <v>10</v>
      </c>
      <c r="AH292" s="6" t="n">
        <v>0</v>
      </c>
      <c r="AI292" s="6" t="str">
        <f aca="false">IF($J292="NA","NA",IF(AND($J292&gt;1949,AH292&gt;0),"ERRO","OK"))</f>
        <v>OK</v>
      </c>
      <c r="AJ292" s="6" t="n">
        <f aca="false">(10-(LEN(AK292)))+1</f>
        <v>7</v>
      </c>
      <c r="AK292" s="6" t="n">
        <v>2924</v>
      </c>
      <c r="AL292" s="6" t="str">
        <f aca="false">IF($J292="NA","NA",IF(AND($J292&gt;1939,AK292&gt;0),"ERRO","OK"))</f>
        <v>OK</v>
      </c>
      <c r="AM292" s="6" t="n">
        <f aca="false">(10-(LEN(AN292)))+1</f>
        <v>8</v>
      </c>
      <c r="AN292" s="6" t="n">
        <v>152</v>
      </c>
      <c r="AO292" s="6" t="str">
        <f aca="false">IF($J292="NA","NA",IF(AND($J292&gt;1929,AN292&gt;0),"ERRO","OK"))</f>
        <v>OK</v>
      </c>
      <c r="AP292" s="6" t="n">
        <f aca="false">(10-(LEN(AQ292)))+1</f>
        <v>10</v>
      </c>
      <c r="AQ292" s="6" t="n">
        <v>0</v>
      </c>
      <c r="AR292" s="6" t="str">
        <f aca="false">IF($J292="NA","NA",IF(AND($J292&gt;1919,AQ292&gt;0),"ERRO","OK"))</f>
        <v>OK</v>
      </c>
      <c r="AS292" s="6" t="n">
        <f aca="false">(10-(LEN(AT292)))+1</f>
        <v>10</v>
      </c>
      <c r="AT292" s="6" t="n">
        <v>0</v>
      </c>
      <c r="AU292" s="6" t="str">
        <f aca="false">IF($J292="NA","NA",IF(AND($J292&gt;1909,AT292&gt;0),"ERRO","OK"))</f>
        <v>OK</v>
      </c>
      <c r="AV292" s="6" t="n">
        <f aca="false">(10-(LEN(AW292)))+1</f>
        <v>10</v>
      </c>
      <c r="AW292" s="6" t="n">
        <v>0</v>
      </c>
      <c r="AX292" s="6" t="str">
        <f aca="false">IF($J292="NA","NA",IF(AND($J292&gt;1899,AW292&gt;0),"ERRO","OK"))</f>
        <v>OK</v>
      </c>
    </row>
    <row r="293" customFormat="false" ht="15" hidden="false" customHeight="false" outlineLevel="0" collapsed="false">
      <c r="A293" s="7" t="n">
        <v>291</v>
      </c>
      <c r="B293" s="0" t="s">
        <v>310</v>
      </c>
      <c r="C293" s="8" t="n">
        <v>45327</v>
      </c>
      <c r="D293" s="6" t="n">
        <v>0</v>
      </c>
      <c r="E293" s="0" t="s">
        <v>16</v>
      </c>
      <c r="F293" s="0" t="s">
        <v>17</v>
      </c>
      <c r="G293" s="9" t="str">
        <f aca="false">IF(OR(N293="ERRO",Q293="ERRO",T293="ERRO",W293="ERRO",Z293="ERRO",AC293="ERRO",AF293="ERRO",AI293="ERRO",AL293="ERRO",AO293="ERRO",AR293="ERRO",AU293="ERRO",AX293="ERRO"),"ERRO","OK")</f>
        <v>OK</v>
      </c>
      <c r="H293" s="9" t="n">
        <f aca="false">COUNTIF(L293:AX293,"ERRO")</f>
        <v>0</v>
      </c>
      <c r="I293" s="9" t="s">
        <v>18</v>
      </c>
      <c r="J293" s="10" t="n">
        <v>1895</v>
      </c>
      <c r="K293" s="10" t="n">
        <v>1952</v>
      </c>
      <c r="L293" s="6" t="n">
        <f aca="false">(10-(LEN(M293)))+1</f>
        <v>7</v>
      </c>
      <c r="M293" s="6" t="n">
        <v>8329</v>
      </c>
      <c r="N293" s="6" t="str">
        <f aca="false">IF($J293="NA","NA",IF(AND($J293&gt;2019,M293&gt;0),"ERRO","OK"))</f>
        <v>OK</v>
      </c>
      <c r="O293" s="6" t="n">
        <f aca="false">(10-(LEN(P293)))+1</f>
        <v>6</v>
      </c>
      <c r="P293" s="6" t="n">
        <v>23532</v>
      </c>
      <c r="Q293" s="6" t="str">
        <f aca="false">IF($J293="NA","NA",IF(AND($J293&gt;2009,P293&gt;0),"ERRO","OK"))</f>
        <v>OK</v>
      </c>
      <c r="R293" s="6" t="n">
        <f aca="false">(10-(LEN(S293)))+1</f>
        <v>6</v>
      </c>
      <c r="S293" s="6" t="n">
        <v>32604</v>
      </c>
      <c r="T293" s="6" t="str">
        <f aca="false">IF($J293="NA","NA",IF(AND($J293&gt;1999,S293&gt;0),"ERRO","OK"))</f>
        <v>OK</v>
      </c>
      <c r="U293" s="6" t="n">
        <f aca="false">(10-(LEN(V293)))+1</f>
        <v>6</v>
      </c>
      <c r="V293" s="6" t="n">
        <v>39829</v>
      </c>
      <c r="W293" s="6" t="str">
        <f aca="false">IF($J293="NA","NA",IF(AND($J293&gt;1989,V293&gt;0),"ERRO","OK"))</f>
        <v>OK</v>
      </c>
      <c r="X293" s="6" t="n">
        <f aca="false">(10-(LEN(Y293)))+1</f>
        <v>6</v>
      </c>
      <c r="Y293" s="6" t="n">
        <v>28627</v>
      </c>
      <c r="Z293" s="6" t="str">
        <f aca="false">IF($J293="NA","NA",IF(AND($J293&gt;1979,Y293&gt;0),"ERRO","OK"))</f>
        <v>OK</v>
      </c>
      <c r="AA293" s="6" t="n">
        <f aca="false">(10-(LEN(AB293)))+1</f>
        <v>6</v>
      </c>
      <c r="AB293" s="6" t="n">
        <v>33225</v>
      </c>
      <c r="AC293" s="6" t="str">
        <f aca="false">IF($J293="NA","NA",IF(AND($J293&gt;1969,AB293&gt;0),"ERRO","OK"))</f>
        <v>OK</v>
      </c>
      <c r="AD293" s="6" t="n">
        <f aca="false">(10-(LEN(AE293)))+1</f>
        <v>6</v>
      </c>
      <c r="AE293" s="6" t="n">
        <v>28077</v>
      </c>
      <c r="AF293" s="6" t="str">
        <f aca="false">IF($J293="NA","NA",IF(AND($J293&gt;1959,AE293&gt;0),"ERRO","OK"))</f>
        <v>OK</v>
      </c>
      <c r="AG293" s="6" t="n">
        <f aca="false">(10-(LEN(AH293)))+1</f>
        <v>6</v>
      </c>
      <c r="AH293" s="6" t="n">
        <v>23349</v>
      </c>
      <c r="AI293" s="6" t="str">
        <f aca="false">IF($J293="NA","NA",IF(AND($J293&gt;1949,AH293&gt;0),"ERRO","OK"))</f>
        <v>OK</v>
      </c>
      <c r="AJ293" s="6" t="n">
        <f aca="false">(10-(LEN(AK293)))+1</f>
        <v>6</v>
      </c>
      <c r="AK293" s="6" t="n">
        <v>13926</v>
      </c>
      <c r="AL293" s="6" t="str">
        <f aca="false">IF($J293="NA","NA",IF(AND($J293&gt;1939,AK293&gt;0),"ERRO","OK"))</f>
        <v>OK</v>
      </c>
      <c r="AM293" s="6" t="n">
        <f aca="false">(10-(LEN(AN293)))+1</f>
        <v>7</v>
      </c>
      <c r="AN293" s="6" t="n">
        <v>3199</v>
      </c>
      <c r="AO293" s="6" t="str">
        <f aca="false">IF($J293="NA","NA",IF(AND($J293&gt;1929,AN293&gt;0),"ERRO","OK"))</f>
        <v>OK</v>
      </c>
      <c r="AP293" s="6" t="n">
        <f aca="false">(10-(LEN(AQ293)))+1</f>
        <v>8</v>
      </c>
      <c r="AQ293" s="6" t="n">
        <v>401</v>
      </c>
      <c r="AR293" s="6" t="str">
        <f aca="false">IF($J293="NA","NA",IF(AND($J293&gt;1919,AQ293&gt;0),"ERRO","OK"))</f>
        <v>OK</v>
      </c>
      <c r="AS293" s="6" t="n">
        <f aca="false">(10-(LEN(AT293)))+1</f>
        <v>10</v>
      </c>
      <c r="AT293" s="6" t="n">
        <v>0</v>
      </c>
      <c r="AU293" s="6" t="str">
        <f aca="false">IF($J293="NA","NA",IF(AND($J293&gt;1909,AT293&gt;0),"ERRO","OK"))</f>
        <v>OK</v>
      </c>
      <c r="AV293" s="6" t="n">
        <f aca="false">(10-(LEN(AW293)))+1</f>
        <v>10</v>
      </c>
      <c r="AW293" s="6" t="n">
        <v>0</v>
      </c>
      <c r="AX293" s="6" t="str">
        <f aca="false">IF($J293="NA","NA",IF(AND($J293&gt;1899,AW293&gt;0),"ERRO","OK"))</f>
        <v>OK</v>
      </c>
    </row>
    <row r="294" customFormat="false" ht="15" hidden="false" customHeight="false" outlineLevel="0" collapsed="false">
      <c r="A294" s="7" t="n">
        <v>292</v>
      </c>
      <c r="B294" s="0" t="s">
        <v>311</v>
      </c>
      <c r="C294" s="8" t="n">
        <v>45327</v>
      </c>
      <c r="D294" s="6" t="n">
        <v>0</v>
      </c>
      <c r="E294" s="0" t="s">
        <v>16</v>
      </c>
      <c r="F294" s="0" t="s">
        <v>17</v>
      </c>
      <c r="G294" s="9" t="str">
        <f aca="false">IF(OR(N294="ERRO",Q294="ERRO",T294="ERRO",W294="ERRO",Z294="ERRO",AC294="ERRO",AF294="ERRO",AI294="ERRO",AL294="ERRO",AO294="ERRO",AR294="ERRO",AU294="ERRO",AX294="ERRO"),"ERRO","OK")</f>
        <v>OK</v>
      </c>
      <c r="H294" s="9" t="n">
        <f aca="false">COUNTIF(L294:AX294,"ERRO")</f>
        <v>0</v>
      </c>
      <c r="I294" s="9" t="s">
        <v>18</v>
      </c>
      <c r="J294" s="10" t="n">
        <v>1896</v>
      </c>
      <c r="K294" s="10" t="n">
        <v>1964</v>
      </c>
      <c r="L294" s="6" t="n">
        <f aca="false">(10-(LEN(M294)))+1</f>
        <v>8</v>
      </c>
      <c r="M294" s="6" t="n">
        <v>125</v>
      </c>
      <c r="N294" s="6" t="str">
        <f aca="false">IF($J294="NA","NA",IF(AND($J294&gt;2019,M294&gt;0),"ERRO","OK"))</f>
        <v>OK</v>
      </c>
      <c r="O294" s="6" t="n">
        <f aca="false">(10-(LEN(P294)))+1</f>
        <v>8</v>
      </c>
      <c r="P294" s="6" t="n">
        <v>789</v>
      </c>
      <c r="Q294" s="6" t="str">
        <f aca="false">IF($J294="NA","NA",IF(AND($J294&gt;2009,P294&gt;0),"ERRO","OK"))</f>
        <v>OK</v>
      </c>
      <c r="R294" s="6" t="n">
        <f aca="false">(10-(LEN(S294)))+1</f>
        <v>8</v>
      </c>
      <c r="S294" s="6" t="n">
        <v>126</v>
      </c>
      <c r="T294" s="6" t="str">
        <f aca="false">IF($J294="NA","NA",IF(AND($J294&gt;1999,S294&gt;0),"ERRO","OK"))</f>
        <v>OK</v>
      </c>
      <c r="U294" s="6" t="n">
        <f aca="false">(10-(LEN(V294)))+1</f>
        <v>8</v>
      </c>
      <c r="V294" s="6" t="n">
        <v>552</v>
      </c>
      <c r="W294" s="6" t="str">
        <f aca="false">IF($J294="NA","NA",IF(AND($J294&gt;1989,V294&gt;0),"ERRO","OK"))</f>
        <v>OK</v>
      </c>
      <c r="X294" s="6" t="n">
        <f aca="false">(10-(LEN(Y294)))+1</f>
        <v>8</v>
      </c>
      <c r="Y294" s="6" t="n">
        <v>321</v>
      </c>
      <c r="Z294" s="6" t="str">
        <f aca="false">IF($J294="NA","NA",IF(AND($J294&gt;1979,Y294&gt;0),"ERRO","OK"))</f>
        <v>OK</v>
      </c>
      <c r="AA294" s="6" t="n">
        <f aca="false">(10-(LEN(AB294)))+1</f>
        <v>8</v>
      </c>
      <c r="AB294" s="6" t="n">
        <v>352</v>
      </c>
      <c r="AC294" s="6" t="str">
        <f aca="false">IF($J294="NA","NA",IF(AND($J294&gt;1969,AB294&gt;0),"ERRO","OK"))</f>
        <v>OK</v>
      </c>
      <c r="AD294" s="6" t="n">
        <f aca="false">(10-(LEN(AE294)))+1</f>
        <v>10</v>
      </c>
      <c r="AE294" s="6" t="n">
        <v>0</v>
      </c>
      <c r="AF294" s="6" t="str">
        <f aca="false">IF($J294="NA","NA",IF(AND($J294&gt;1959,AE294&gt;0),"ERRO","OK"))</f>
        <v>OK</v>
      </c>
      <c r="AG294" s="6" t="n">
        <f aca="false">(10-(LEN(AH294)))+1</f>
        <v>10</v>
      </c>
      <c r="AH294" s="6" t="n">
        <v>0</v>
      </c>
      <c r="AI294" s="6" t="str">
        <f aca="false">IF($J294="NA","NA",IF(AND($J294&gt;1949,AH294&gt;0),"ERRO","OK"))</f>
        <v>OK</v>
      </c>
      <c r="AJ294" s="6" t="n">
        <f aca="false">(10-(LEN(AK294)))+1</f>
        <v>10</v>
      </c>
      <c r="AK294" s="6" t="n">
        <v>0</v>
      </c>
      <c r="AL294" s="6" t="str">
        <f aca="false">IF($J294="NA","NA",IF(AND($J294&gt;1939,AK294&gt;0),"ERRO","OK"))</f>
        <v>OK</v>
      </c>
      <c r="AM294" s="6" t="n">
        <f aca="false">(10-(LEN(AN294)))+1</f>
        <v>10</v>
      </c>
      <c r="AN294" s="6" t="n">
        <v>0</v>
      </c>
      <c r="AO294" s="6" t="str">
        <f aca="false">IF($J294="NA","NA",IF(AND($J294&gt;1929,AN294&gt;0),"ERRO","OK"))</f>
        <v>OK</v>
      </c>
      <c r="AP294" s="6" t="n">
        <f aca="false">(10-(LEN(AQ294)))+1</f>
        <v>10</v>
      </c>
      <c r="AQ294" s="6" t="n">
        <v>0</v>
      </c>
      <c r="AR294" s="6" t="str">
        <f aca="false">IF($J294="NA","NA",IF(AND($J294&gt;1919,AQ294&gt;0),"ERRO","OK"))</f>
        <v>OK</v>
      </c>
      <c r="AS294" s="6" t="n">
        <f aca="false">(10-(LEN(AT294)))+1</f>
        <v>10</v>
      </c>
      <c r="AT294" s="6" t="n">
        <v>0</v>
      </c>
      <c r="AU294" s="6" t="str">
        <f aca="false">IF($J294="NA","NA",IF(AND($J294&gt;1909,AT294&gt;0),"ERRO","OK"))</f>
        <v>OK</v>
      </c>
      <c r="AV294" s="6" t="n">
        <f aca="false">(10-(LEN(AW294)))+1</f>
        <v>10</v>
      </c>
      <c r="AW294" s="6" t="n">
        <v>0</v>
      </c>
      <c r="AX294" s="6" t="str">
        <f aca="false">IF($J294="NA","NA",IF(AND($J294&gt;1899,AW294&gt;0),"ERRO","OK"))</f>
        <v>OK</v>
      </c>
    </row>
    <row r="295" customFormat="false" ht="15" hidden="false" customHeight="false" outlineLevel="0" collapsed="false">
      <c r="A295" s="7" t="n">
        <v>293</v>
      </c>
      <c r="B295" s="0" t="s">
        <v>312</v>
      </c>
      <c r="C295" s="8" t="n">
        <v>45327</v>
      </c>
      <c r="D295" s="6" t="n">
        <v>0</v>
      </c>
      <c r="E295" s="0" t="s">
        <v>16</v>
      </c>
      <c r="F295" s="0" t="s">
        <v>17</v>
      </c>
      <c r="G295" s="9" t="str">
        <f aca="false">IF(OR(N295="ERRO",Q295="ERRO",T295="ERRO",W295="ERRO",Z295="ERRO",AC295="ERRO",AF295="ERRO",AI295="ERRO",AL295="ERRO",AO295="ERRO",AR295="ERRO",AU295="ERRO",AX295="ERRO"),"ERRO","OK")</f>
        <v>OK</v>
      </c>
      <c r="H295" s="9" t="n">
        <f aca="false">COUNTIF(L295:AX295,"ERRO")</f>
        <v>0</v>
      </c>
      <c r="I295" s="9" t="s">
        <v>18</v>
      </c>
      <c r="J295" s="10" t="n">
        <v>1897</v>
      </c>
      <c r="K295" s="10" t="n">
        <v>1990</v>
      </c>
      <c r="L295" s="6" t="n">
        <f aca="false">(10-(LEN(M295)))+1</f>
        <v>7</v>
      </c>
      <c r="M295" s="6" t="n">
        <v>8079</v>
      </c>
      <c r="N295" s="6" t="str">
        <f aca="false">IF($J295="NA","NA",IF(AND($J295&gt;2019,M295&gt;0),"ERRO","OK"))</f>
        <v>OK</v>
      </c>
      <c r="O295" s="6" t="n">
        <f aca="false">(10-(LEN(P295)))+1</f>
        <v>6</v>
      </c>
      <c r="P295" s="6" t="n">
        <v>12144</v>
      </c>
      <c r="Q295" s="6" t="str">
        <f aca="false">IF($J295="NA","NA",IF(AND($J295&gt;2009,P295&gt;0),"ERRO","OK"))</f>
        <v>OK</v>
      </c>
      <c r="R295" s="6" t="n">
        <f aca="false">(10-(LEN(S295)))+1</f>
        <v>6</v>
      </c>
      <c r="S295" s="6" t="n">
        <v>10672</v>
      </c>
      <c r="T295" s="6" t="str">
        <f aca="false">IF($J295="NA","NA",IF(AND($J295&gt;1999,S295&gt;0),"ERRO","OK"))</f>
        <v>OK</v>
      </c>
      <c r="U295" s="6" t="n">
        <f aca="false">(10-(LEN(V295)))+1</f>
        <v>6</v>
      </c>
      <c r="V295" s="6" t="n">
        <v>10486</v>
      </c>
      <c r="W295" s="6" t="str">
        <f aca="false">IF($J295="NA","NA",IF(AND($J295&gt;1989,V295&gt;0),"ERRO","OK"))</f>
        <v>OK</v>
      </c>
      <c r="X295" s="6" t="n">
        <f aca="false">(10-(LEN(Y295)))+1</f>
        <v>6</v>
      </c>
      <c r="Y295" s="6" t="n">
        <v>11451</v>
      </c>
      <c r="Z295" s="6" t="str">
        <f aca="false">IF($J295="NA","NA",IF(AND($J295&gt;1979,Y295&gt;0),"ERRO","OK"))</f>
        <v>OK</v>
      </c>
      <c r="AA295" s="6" t="n">
        <f aca="false">(10-(LEN(AB295)))+1</f>
        <v>6</v>
      </c>
      <c r="AB295" s="6" t="n">
        <v>12188</v>
      </c>
      <c r="AC295" s="6" t="str">
        <f aca="false">IF($J295="NA","NA",IF(AND($J295&gt;1969,AB295&gt;0),"ERRO","OK"))</f>
        <v>OK</v>
      </c>
      <c r="AD295" s="6" t="n">
        <f aca="false">(10-(LEN(AE295)))+1</f>
        <v>7</v>
      </c>
      <c r="AE295" s="6" t="n">
        <v>9778</v>
      </c>
      <c r="AF295" s="6" t="str">
        <f aca="false">IF($J295="NA","NA",IF(AND($J295&gt;1959,AE295&gt;0),"ERRO","OK"))</f>
        <v>OK</v>
      </c>
      <c r="AG295" s="6" t="n">
        <f aca="false">(10-(LEN(AH295)))+1</f>
        <v>6</v>
      </c>
      <c r="AH295" s="6" t="n">
        <v>11564</v>
      </c>
      <c r="AI295" s="6" t="str">
        <f aca="false">IF($J295="NA","NA",IF(AND($J295&gt;1949,AH295&gt;0),"ERRO","OK"))</f>
        <v>OK</v>
      </c>
      <c r="AJ295" s="6" t="n">
        <f aca="false">(10-(LEN(AK295)))+1</f>
        <v>7</v>
      </c>
      <c r="AK295" s="6" t="n">
        <v>2924</v>
      </c>
      <c r="AL295" s="6" t="str">
        <f aca="false">IF($J295="NA","NA",IF(AND($J295&gt;1939,AK295&gt;0),"ERRO","OK"))</f>
        <v>OK</v>
      </c>
      <c r="AM295" s="6" t="n">
        <f aca="false">(10-(LEN(AN295)))+1</f>
        <v>6</v>
      </c>
      <c r="AN295" s="6" t="n">
        <v>15081</v>
      </c>
      <c r="AO295" s="6" t="str">
        <f aca="false">IF($J295="NA","NA",IF(AND($J295&gt;1929,AN295&gt;0),"ERRO","OK"))</f>
        <v>OK</v>
      </c>
      <c r="AP295" s="6" t="n">
        <f aca="false">(10-(LEN(AQ295)))+1</f>
        <v>8</v>
      </c>
      <c r="AQ295" s="6" t="n">
        <v>200</v>
      </c>
      <c r="AR295" s="6" t="str">
        <f aca="false">IF($J295="NA","NA",IF(AND($J295&gt;1919,AQ295&gt;0),"ERRO","OK"))</f>
        <v>OK</v>
      </c>
      <c r="AS295" s="6" t="n">
        <f aca="false">(10-(LEN(AT295)))+1</f>
        <v>10</v>
      </c>
      <c r="AT295" s="6" t="n">
        <v>0</v>
      </c>
      <c r="AU295" s="6" t="str">
        <f aca="false">IF($J295="NA","NA",IF(AND($J295&gt;1909,AT295&gt;0),"ERRO","OK"))</f>
        <v>OK</v>
      </c>
      <c r="AV295" s="6" t="n">
        <f aca="false">(10-(LEN(AW295)))+1</f>
        <v>10</v>
      </c>
      <c r="AW295" s="6" t="n">
        <v>0</v>
      </c>
      <c r="AX295" s="6" t="str">
        <f aca="false">IF($J295="NA","NA",IF(AND($J295&gt;1899,AW295&gt;0),"ERRO","OK"))</f>
        <v>OK</v>
      </c>
    </row>
    <row r="296" customFormat="false" ht="15" hidden="false" customHeight="false" outlineLevel="0" collapsed="false">
      <c r="A296" s="7" t="n">
        <v>294</v>
      </c>
      <c r="B296" s="0" t="s">
        <v>313</v>
      </c>
      <c r="C296" s="8" t="n">
        <v>45327</v>
      </c>
      <c r="D296" s="6" t="n">
        <v>0</v>
      </c>
      <c r="E296" s="0" t="s">
        <v>16</v>
      </c>
      <c r="F296" s="0" t="s">
        <v>17</v>
      </c>
      <c r="G296" s="9" t="str">
        <f aca="false">IF(OR(N296="ERRO",Q296="ERRO",T296="ERRO",W296="ERRO",Z296="ERRO",AC296="ERRO",AF296="ERRO",AI296="ERRO",AL296="ERRO",AO296="ERRO",AR296="ERRO",AU296="ERRO",AX296="ERRO"),"ERRO","OK")</f>
        <v>OK</v>
      </c>
      <c r="H296" s="9" t="n">
        <f aca="false">COUNTIF(L296:AX296,"ERRO")</f>
        <v>0</v>
      </c>
      <c r="I296" s="9" t="s">
        <v>18</v>
      </c>
      <c r="J296" s="10" t="n">
        <v>1879</v>
      </c>
      <c r="K296" s="10" t="n">
        <v>1944</v>
      </c>
      <c r="L296" s="6" t="n">
        <f aca="false">(10-(LEN(M296)))+1</f>
        <v>6</v>
      </c>
      <c r="M296" s="6" t="n">
        <v>15283</v>
      </c>
      <c r="N296" s="6" t="str">
        <f aca="false">IF($J296="NA","NA",IF(AND($J296&gt;2019,M296&gt;0),"ERRO","OK"))</f>
        <v>OK</v>
      </c>
      <c r="O296" s="6" t="n">
        <f aca="false">(10-(LEN(P296)))+1</f>
        <v>6</v>
      </c>
      <c r="P296" s="6" t="n">
        <v>20479</v>
      </c>
      <c r="Q296" s="6" t="str">
        <f aca="false">IF($J296="NA","NA",IF(AND($J296&gt;2009,P296&gt;0),"ERRO","OK"))</f>
        <v>OK</v>
      </c>
      <c r="R296" s="6" t="n">
        <f aca="false">(10-(LEN(S296)))+1</f>
        <v>6</v>
      </c>
      <c r="S296" s="6" t="n">
        <v>16050</v>
      </c>
      <c r="T296" s="6" t="str">
        <f aca="false">IF($J296="NA","NA",IF(AND($J296&gt;1999,S296&gt;0),"ERRO","OK"))</f>
        <v>OK</v>
      </c>
      <c r="U296" s="6" t="n">
        <f aca="false">(10-(LEN(V296)))+1</f>
        <v>6</v>
      </c>
      <c r="V296" s="6" t="n">
        <v>18857</v>
      </c>
      <c r="W296" s="6" t="str">
        <f aca="false">IF($J296="NA","NA",IF(AND($J296&gt;1989,V296&gt;0),"ERRO","OK"))</f>
        <v>OK</v>
      </c>
      <c r="X296" s="6" t="n">
        <f aca="false">(10-(LEN(Y296)))+1</f>
        <v>7</v>
      </c>
      <c r="Y296" s="6" t="n">
        <v>6261</v>
      </c>
      <c r="Z296" s="6" t="str">
        <f aca="false">IF($J296="NA","NA",IF(AND($J296&gt;1979,Y296&gt;0),"ERRO","OK"))</f>
        <v>OK</v>
      </c>
      <c r="AA296" s="6" t="n">
        <f aca="false">(10-(LEN(AB296)))+1</f>
        <v>7</v>
      </c>
      <c r="AB296" s="6" t="n">
        <v>7852</v>
      </c>
      <c r="AC296" s="6" t="str">
        <f aca="false">IF($J296="NA","NA",IF(AND($J296&gt;1969,AB296&gt;0),"ERRO","OK"))</f>
        <v>OK</v>
      </c>
      <c r="AD296" s="6" t="n">
        <f aca="false">(10-(LEN(AE296)))+1</f>
        <v>7</v>
      </c>
      <c r="AE296" s="6" t="n">
        <v>3857</v>
      </c>
      <c r="AF296" s="6" t="str">
        <f aca="false">IF($J296="NA","NA",IF(AND($J296&gt;1959,AE296&gt;0),"ERRO","OK"))</f>
        <v>OK</v>
      </c>
      <c r="AG296" s="6" t="n">
        <f aca="false">(10-(LEN(AH296)))+1</f>
        <v>7</v>
      </c>
      <c r="AH296" s="6" t="n">
        <v>2864</v>
      </c>
      <c r="AI296" s="6" t="str">
        <f aca="false">IF($J296="NA","NA",IF(AND($J296&gt;1949,AH296&gt;0),"ERRO","OK"))</f>
        <v>OK</v>
      </c>
      <c r="AJ296" s="6" t="n">
        <f aca="false">(10-(LEN(AK296)))+1</f>
        <v>7</v>
      </c>
      <c r="AK296" s="6" t="n">
        <v>2646</v>
      </c>
      <c r="AL296" s="6" t="str">
        <f aca="false">IF($J296="NA","NA",IF(AND($J296&gt;1939,AK296&gt;0),"ERRO","OK"))</f>
        <v>OK</v>
      </c>
      <c r="AM296" s="6" t="n">
        <f aca="false">(10-(LEN(AN296)))+1</f>
        <v>6</v>
      </c>
      <c r="AN296" s="6" t="n">
        <v>24982</v>
      </c>
      <c r="AO296" s="6" t="str">
        <f aca="false">IF($J296="NA","NA",IF(AND($J296&gt;1929,AN296&gt;0),"ERRO","OK"))</f>
        <v>OK</v>
      </c>
      <c r="AP296" s="6" t="n">
        <f aca="false">(10-(LEN(AQ296)))+1</f>
        <v>7</v>
      </c>
      <c r="AQ296" s="6" t="n">
        <v>5107</v>
      </c>
      <c r="AR296" s="6" t="str">
        <f aca="false">IF($J296="NA","NA",IF(AND($J296&gt;1919,AQ296&gt;0),"ERRO","OK"))</f>
        <v>OK</v>
      </c>
      <c r="AS296" s="6" t="n">
        <f aca="false">(10-(LEN(AT296)))+1</f>
        <v>8</v>
      </c>
      <c r="AT296" s="6" t="n">
        <v>103</v>
      </c>
      <c r="AU296" s="6" t="str">
        <f aca="false">IF($J296="NA","NA",IF(AND($J296&gt;1909,AT296&gt;0),"ERRO","OK"))</f>
        <v>OK</v>
      </c>
      <c r="AV296" s="6" t="n">
        <f aca="false">(10-(LEN(AW296)))+1</f>
        <v>10</v>
      </c>
      <c r="AW296" s="6" t="n">
        <v>0</v>
      </c>
      <c r="AX296" s="6" t="str">
        <f aca="false">IF($J296="NA","NA",IF(AND($J296&gt;1899,AW296&gt;0),"ERRO","OK"))</f>
        <v>OK</v>
      </c>
    </row>
    <row r="297" customFormat="false" ht="15" hidden="false" customHeight="false" outlineLevel="0" collapsed="false">
      <c r="A297" s="7" t="n">
        <v>295</v>
      </c>
      <c r="B297" s="0" t="s">
        <v>314</v>
      </c>
      <c r="C297" s="8" t="n">
        <v>45327</v>
      </c>
      <c r="D297" s="6" t="n">
        <v>0</v>
      </c>
      <c r="E297" s="0" t="s">
        <v>16</v>
      </c>
      <c r="F297" s="0" t="s">
        <v>17</v>
      </c>
      <c r="G297" s="9" t="str">
        <f aca="false">IF(OR(N297="ERRO",Q297="ERRO",T297="ERRO",W297="ERRO",Z297="ERRO",AC297="ERRO",AF297="ERRO",AI297="ERRO",AL297="ERRO",AO297="ERRO",AR297="ERRO",AU297="ERRO",AX297="ERRO"),"ERRO","OK")</f>
        <v>OK</v>
      </c>
      <c r="H297" s="9" t="n">
        <f aca="false">COUNTIF(L297:AX297,"ERRO")</f>
        <v>0</v>
      </c>
      <c r="I297" s="9" t="s">
        <v>18</v>
      </c>
      <c r="J297" s="10" t="n">
        <v>1889</v>
      </c>
      <c r="K297" s="10" t="n">
        <v>1973</v>
      </c>
      <c r="L297" s="6" t="n">
        <f aca="false">(10-(LEN(M297)))+1</f>
        <v>10</v>
      </c>
      <c r="M297" s="6" t="n">
        <v>0</v>
      </c>
      <c r="N297" s="6" t="str">
        <f aca="false">IF($J297="NA","NA",IF(AND($J297&gt;2019,M297&gt;0),"ERRO","OK"))</f>
        <v>OK</v>
      </c>
      <c r="O297" s="6" t="n">
        <f aca="false">(10-(LEN(P297)))+1</f>
        <v>10</v>
      </c>
      <c r="P297" s="6" t="n">
        <v>0</v>
      </c>
      <c r="Q297" s="6" t="str">
        <f aca="false">IF($J297="NA","NA",IF(AND($J297&gt;2009,P297&gt;0),"ERRO","OK"))</f>
        <v>OK</v>
      </c>
      <c r="R297" s="6" t="n">
        <f aca="false">(10-(LEN(S297)))+1</f>
        <v>10</v>
      </c>
      <c r="S297" s="6" t="n">
        <v>0</v>
      </c>
      <c r="T297" s="6" t="str">
        <f aca="false">IF($J297="NA","NA",IF(AND($J297&gt;1999,S297&gt;0),"ERRO","OK"))</f>
        <v>OK</v>
      </c>
      <c r="U297" s="6" t="n">
        <f aca="false">(10-(LEN(V297)))+1</f>
        <v>8</v>
      </c>
      <c r="V297" s="6" t="n">
        <v>276</v>
      </c>
      <c r="W297" s="6" t="str">
        <f aca="false">IF($J297="NA","NA",IF(AND($J297&gt;1989,V297&gt;0),"ERRO","OK"))</f>
        <v>OK</v>
      </c>
      <c r="X297" s="6" t="n">
        <f aca="false">(10-(LEN(Y297)))+1</f>
        <v>8</v>
      </c>
      <c r="Y297" s="6" t="n">
        <v>268</v>
      </c>
      <c r="Z297" s="6" t="str">
        <f aca="false">IF($J297="NA","NA",IF(AND($J297&gt;1979,Y297&gt;0),"ERRO","OK"))</f>
        <v>OK</v>
      </c>
      <c r="AA297" s="6" t="n">
        <f aca="false">(10-(LEN(AB297)))+1</f>
        <v>9</v>
      </c>
      <c r="AB297" s="6" t="n">
        <v>59</v>
      </c>
      <c r="AC297" s="6" t="str">
        <f aca="false">IF($J297="NA","NA",IF(AND($J297&gt;1969,AB297&gt;0),"ERRO","OK"))</f>
        <v>OK</v>
      </c>
      <c r="AD297" s="6" t="n">
        <f aca="false">(10-(LEN(AE297)))+1</f>
        <v>7</v>
      </c>
      <c r="AE297" s="6" t="n">
        <v>1346</v>
      </c>
      <c r="AF297" s="6" t="str">
        <f aca="false">IF($J297="NA","NA",IF(AND($J297&gt;1959,AE297&gt;0),"ERRO","OK"))</f>
        <v>OK</v>
      </c>
      <c r="AG297" s="6" t="n">
        <f aca="false">(10-(LEN(AH297)))+1</f>
        <v>8</v>
      </c>
      <c r="AH297" s="6" t="n">
        <v>330</v>
      </c>
      <c r="AI297" s="6" t="str">
        <f aca="false">IF($J297="NA","NA",IF(AND($J297&gt;1949,AH297&gt;0),"ERRO","OK"))</f>
        <v>OK</v>
      </c>
      <c r="AJ297" s="6" t="n">
        <f aca="false">(10-(LEN(AK297)))+1</f>
        <v>7</v>
      </c>
      <c r="AK297" s="6" t="n">
        <v>1253</v>
      </c>
      <c r="AL297" s="6" t="str">
        <f aca="false">IF($J297="NA","NA",IF(AND($J297&gt;1939,AK297&gt;0),"ERRO","OK"))</f>
        <v>OK</v>
      </c>
      <c r="AM297" s="6" t="n">
        <f aca="false">(10-(LEN(AN297)))+1</f>
        <v>8</v>
      </c>
      <c r="AN297" s="6" t="n">
        <v>457</v>
      </c>
      <c r="AO297" s="6" t="str">
        <f aca="false">IF($J297="NA","NA",IF(AND($J297&gt;1929,AN297&gt;0),"ERRO","OK"))</f>
        <v>OK</v>
      </c>
      <c r="AP297" s="6" t="n">
        <f aca="false">(10-(LEN(AQ297)))+1</f>
        <v>10</v>
      </c>
      <c r="AQ297" s="6" t="n">
        <v>0</v>
      </c>
      <c r="AR297" s="6" t="str">
        <f aca="false">IF($J297="NA","NA",IF(AND($J297&gt;1919,AQ297&gt;0),"ERRO","OK"))</f>
        <v>OK</v>
      </c>
      <c r="AS297" s="6" t="n">
        <f aca="false">(10-(LEN(AT297)))+1</f>
        <v>10</v>
      </c>
      <c r="AT297" s="6" t="n">
        <v>0</v>
      </c>
      <c r="AU297" s="6" t="str">
        <f aca="false">IF($J297="NA","NA",IF(AND($J297&gt;1909,AT297&gt;0),"ERRO","OK"))</f>
        <v>OK</v>
      </c>
      <c r="AV297" s="6" t="n">
        <f aca="false">(10-(LEN(AW297)))+1</f>
        <v>10</v>
      </c>
      <c r="AW297" s="6" t="n">
        <v>0</v>
      </c>
      <c r="AX297" s="6" t="str">
        <f aca="false">IF($J297="NA","NA",IF(AND($J297&gt;1899,AW297&gt;0),"ERRO","OK"))</f>
        <v>OK</v>
      </c>
    </row>
    <row r="298" customFormat="false" ht="15" hidden="false" customHeight="false" outlineLevel="0" collapsed="false">
      <c r="A298" s="7" t="n">
        <v>296</v>
      </c>
      <c r="B298" s="0" t="s">
        <v>315</v>
      </c>
      <c r="C298" s="8" t="n">
        <v>45327</v>
      </c>
      <c r="D298" s="6" t="n">
        <v>0</v>
      </c>
      <c r="E298" s="0" t="s">
        <v>16</v>
      </c>
      <c r="F298" s="0" t="s">
        <v>17</v>
      </c>
      <c r="G298" s="9" t="str">
        <f aca="false">IF(OR(N298="ERRO",Q298="ERRO",T298="ERRO",W298="ERRO",Z298="ERRO",AC298="ERRO",AF298="ERRO",AI298="ERRO",AL298="ERRO",AO298="ERRO",AR298="ERRO",AU298="ERRO",AX298="ERRO"),"ERRO","OK")</f>
        <v>OK</v>
      </c>
      <c r="H298" s="9" t="n">
        <f aca="false">COUNTIF(L298:AX298,"ERRO")</f>
        <v>0</v>
      </c>
      <c r="I298" s="9" t="s">
        <v>18</v>
      </c>
      <c r="J298" s="10" t="n">
        <v>1866</v>
      </c>
      <c r="K298" s="10" t="n">
        <v>1944</v>
      </c>
      <c r="L298" s="6" t="n">
        <f aca="false">(10-(LEN(M298)))+1</f>
        <v>6</v>
      </c>
      <c r="M298" s="6" t="n">
        <v>50348</v>
      </c>
      <c r="N298" s="6" t="str">
        <f aca="false">IF($J298="NA","NA",IF(AND($J298&gt;2019,M298&gt;0),"ERRO","OK"))</f>
        <v>OK</v>
      </c>
      <c r="O298" s="6" t="n">
        <f aca="false">(10-(LEN(P298)))+1</f>
        <v>6</v>
      </c>
      <c r="P298" s="6" t="n">
        <v>52485</v>
      </c>
      <c r="Q298" s="6" t="str">
        <f aca="false">IF($J298="NA","NA",IF(AND($J298&gt;2009,P298&gt;0),"ERRO","OK"))</f>
        <v>OK</v>
      </c>
      <c r="R298" s="6" t="n">
        <f aca="false">(10-(LEN(S298)))+1</f>
        <v>6</v>
      </c>
      <c r="S298" s="6" t="n">
        <v>53108</v>
      </c>
      <c r="T298" s="6" t="str">
        <f aca="false">IF($J298="NA","NA",IF(AND($J298&gt;1999,S298&gt;0),"ERRO","OK"))</f>
        <v>OK</v>
      </c>
      <c r="U298" s="6" t="n">
        <f aca="false">(10-(LEN(V298)))+1</f>
        <v>6</v>
      </c>
      <c r="V298" s="6" t="n">
        <v>46636</v>
      </c>
      <c r="W298" s="6" t="str">
        <f aca="false">IF($J298="NA","NA",IF(AND($J298&gt;1989,V298&gt;0),"ERRO","OK"))</f>
        <v>OK</v>
      </c>
      <c r="X298" s="6" t="n">
        <f aca="false">(10-(LEN(Y298)))+1</f>
        <v>6</v>
      </c>
      <c r="Y298" s="6" t="n">
        <v>42112</v>
      </c>
      <c r="Z298" s="6" t="str">
        <f aca="false">IF($J298="NA","NA",IF(AND($J298&gt;1979,Y298&gt;0),"ERRO","OK"))</f>
        <v>OK</v>
      </c>
      <c r="AA298" s="6" t="n">
        <f aca="false">(10-(LEN(AB298)))+1</f>
        <v>6</v>
      </c>
      <c r="AB298" s="6" t="n">
        <v>31877</v>
      </c>
      <c r="AC298" s="6" t="str">
        <f aca="false">IF($J298="NA","NA",IF(AND($J298&gt;1969,AB298&gt;0),"ERRO","OK"))</f>
        <v>OK</v>
      </c>
      <c r="AD298" s="6" t="n">
        <f aca="false">(10-(LEN(AE298)))+1</f>
        <v>6</v>
      </c>
      <c r="AE298" s="6" t="n">
        <v>21439</v>
      </c>
      <c r="AF298" s="6" t="str">
        <f aca="false">IF($J298="NA","NA",IF(AND($J298&gt;1959,AE298&gt;0),"ERRO","OK"))</f>
        <v>OK</v>
      </c>
      <c r="AG298" s="6" t="n">
        <f aca="false">(10-(LEN(AH298)))+1</f>
        <v>7</v>
      </c>
      <c r="AH298" s="6" t="n">
        <v>8040</v>
      </c>
      <c r="AI298" s="6" t="str">
        <f aca="false">IF($J298="NA","NA",IF(AND($J298&gt;1949,AH298&gt;0),"ERRO","OK"))</f>
        <v>OK</v>
      </c>
      <c r="AJ298" s="6" t="n">
        <f aca="false">(10-(LEN(AK298)))+1</f>
        <v>7</v>
      </c>
      <c r="AK298" s="6" t="n">
        <v>8077</v>
      </c>
      <c r="AL298" s="6" t="str">
        <f aca="false">IF($J298="NA","NA",IF(AND($J298&gt;1939,AK298&gt;0),"ERRO","OK"))</f>
        <v>OK</v>
      </c>
      <c r="AM298" s="6" t="n">
        <f aca="false">(10-(LEN(AN298)))+1</f>
        <v>8</v>
      </c>
      <c r="AN298" s="6" t="n">
        <v>457</v>
      </c>
      <c r="AO298" s="6" t="str">
        <f aca="false">IF($J298="NA","NA",IF(AND($J298&gt;1929,AN298&gt;0),"ERRO","OK"))</f>
        <v>OK</v>
      </c>
      <c r="AP298" s="6" t="n">
        <f aca="false">(10-(LEN(AQ298)))+1</f>
        <v>8</v>
      </c>
      <c r="AQ298" s="6" t="n">
        <v>701</v>
      </c>
      <c r="AR298" s="6" t="str">
        <f aca="false">IF($J298="NA","NA",IF(AND($J298&gt;1919,AQ298&gt;0),"ERRO","OK"))</f>
        <v>OK</v>
      </c>
      <c r="AS298" s="6" t="n">
        <f aca="false">(10-(LEN(AT298)))+1</f>
        <v>8</v>
      </c>
      <c r="AT298" s="6" t="n">
        <v>722</v>
      </c>
      <c r="AU298" s="6" t="str">
        <f aca="false">IF($J298="NA","NA",IF(AND($J298&gt;1909,AT298&gt;0),"ERRO","OK"))</f>
        <v>OK</v>
      </c>
      <c r="AV298" s="6" t="n">
        <f aca="false">(10-(LEN(AW298)))+1</f>
        <v>10</v>
      </c>
      <c r="AW298" s="6" t="n">
        <v>0</v>
      </c>
      <c r="AX298" s="6" t="str">
        <f aca="false">IF($J298="NA","NA",IF(AND($J298&gt;1899,AW298&gt;0),"ERRO","OK"))</f>
        <v>OK</v>
      </c>
    </row>
    <row r="299" customFormat="false" ht="15" hidden="false" customHeight="false" outlineLevel="0" collapsed="false">
      <c r="A299" s="7" t="n">
        <v>297</v>
      </c>
      <c r="B299" s="0" t="s">
        <v>316</v>
      </c>
      <c r="C299" s="8" t="n">
        <v>45327</v>
      </c>
      <c r="D299" s="6" t="n">
        <v>0</v>
      </c>
      <c r="E299" s="0" t="s">
        <v>16</v>
      </c>
      <c r="F299" s="0" t="s">
        <v>17</v>
      </c>
      <c r="G299" s="9" t="str">
        <f aca="false">IF(OR(N299="ERRO",Q299="ERRO",T299="ERRO",W299="ERRO",Z299="ERRO",AC299="ERRO",AF299="ERRO",AI299="ERRO",AL299="ERRO",AO299="ERRO",AR299="ERRO",AU299="ERRO",AX299="ERRO"),"ERRO","OK")</f>
        <v>OK</v>
      </c>
      <c r="H299" s="9" t="n">
        <f aca="false">COUNTIF(L299:AX299,"ERRO")</f>
        <v>0</v>
      </c>
      <c r="I299" s="9" t="s">
        <v>18</v>
      </c>
      <c r="J299" s="10" t="n">
        <v>1879</v>
      </c>
      <c r="K299" s="10" t="n">
        <v>1940</v>
      </c>
      <c r="L299" s="6" t="n">
        <f aca="false">(10-(LEN(M299)))+1</f>
        <v>6</v>
      </c>
      <c r="M299" s="6" t="n">
        <v>91659</v>
      </c>
      <c r="N299" s="6" t="str">
        <f aca="false">IF($J299="NA","NA",IF(AND($J299&gt;2019,M299&gt;0),"ERRO","OK"))</f>
        <v>OK</v>
      </c>
      <c r="O299" s="6" t="n">
        <f aca="false">(10-(LEN(P299)))+1</f>
        <v>5</v>
      </c>
      <c r="P299" s="6" t="n">
        <v>102466</v>
      </c>
      <c r="Q299" s="6" t="str">
        <f aca="false">IF($J299="NA","NA",IF(AND($J299&gt;2009,P299&gt;0),"ERRO","OK"))</f>
        <v>OK</v>
      </c>
      <c r="R299" s="6" t="n">
        <f aca="false">(10-(LEN(S299)))+1</f>
        <v>6</v>
      </c>
      <c r="S299" s="6" t="n">
        <v>99283</v>
      </c>
      <c r="T299" s="6" t="str">
        <f aca="false">IF($J299="NA","NA",IF(AND($J299&gt;1999,S299&gt;0),"ERRO","OK"))</f>
        <v>OK</v>
      </c>
      <c r="U299" s="6" t="n">
        <f aca="false">(10-(LEN(V299)))+1</f>
        <v>5</v>
      </c>
      <c r="V299" s="6" t="n">
        <v>110013</v>
      </c>
      <c r="W299" s="6" t="str">
        <f aca="false">IF($J299="NA","NA",IF(AND($J299&gt;1989,V299&gt;0),"ERRO","OK"))</f>
        <v>OK</v>
      </c>
      <c r="X299" s="6" t="n">
        <f aca="false">(10-(LEN(Y299)))+1</f>
        <v>5</v>
      </c>
      <c r="Y299" s="6" t="n">
        <v>122108</v>
      </c>
      <c r="Z299" s="6" t="str">
        <f aca="false">IF($J299="NA","NA",IF(AND($J299&gt;1979,Y299&gt;0),"ERRO","OK"))</f>
        <v>OK</v>
      </c>
      <c r="AA299" s="6" t="n">
        <f aca="false">(10-(LEN(AB299)))+1</f>
        <v>5</v>
      </c>
      <c r="AB299" s="6" t="n">
        <v>101433</v>
      </c>
      <c r="AC299" s="6" t="str">
        <f aca="false">IF($J299="NA","NA",IF(AND($J299&gt;1969,AB299&gt;0),"ERRO","OK"))</f>
        <v>OK</v>
      </c>
      <c r="AD299" s="6" t="n">
        <f aca="false">(10-(LEN(AE299)))+1</f>
        <v>6</v>
      </c>
      <c r="AE299" s="6" t="n">
        <v>77594</v>
      </c>
      <c r="AF299" s="6" t="str">
        <f aca="false">IF($J299="NA","NA",IF(AND($J299&gt;1959,AE299&gt;0),"ERRO","OK"))</f>
        <v>OK</v>
      </c>
      <c r="AG299" s="6" t="n">
        <f aca="false">(10-(LEN(AH299)))+1</f>
        <v>6</v>
      </c>
      <c r="AH299" s="6" t="n">
        <v>74013</v>
      </c>
      <c r="AI299" s="6" t="str">
        <f aca="false">IF($J299="NA","NA",IF(AND($J299&gt;1949,AH299&gt;0),"ERRO","OK"))</f>
        <v>OK</v>
      </c>
      <c r="AJ299" s="6" t="n">
        <f aca="false">(10-(LEN(AK299)))+1</f>
        <v>6</v>
      </c>
      <c r="AK299" s="6" t="n">
        <v>36903</v>
      </c>
      <c r="AL299" s="6" t="str">
        <f aca="false">IF($J299="NA","NA",IF(AND($J299&gt;1939,AK299&gt;0),"ERRO","OK"))</f>
        <v>OK</v>
      </c>
      <c r="AM299" s="6" t="n">
        <f aca="false">(10-(LEN(AN299)))+1</f>
        <v>7</v>
      </c>
      <c r="AN299" s="6" t="n">
        <v>8531</v>
      </c>
      <c r="AO299" s="6" t="str">
        <f aca="false">IF($J299="NA","NA",IF(AND($J299&gt;1929,AN299&gt;0),"ERRO","OK"))</f>
        <v>OK</v>
      </c>
      <c r="AP299" s="6" t="n">
        <f aca="false">(10-(LEN(AQ299)))+1</f>
        <v>7</v>
      </c>
      <c r="AQ299" s="6" t="n">
        <v>1402</v>
      </c>
      <c r="AR299" s="6" t="str">
        <f aca="false">IF($J299="NA","NA",IF(AND($J299&gt;1919,AQ299&gt;0),"ERRO","OK"))</f>
        <v>OK</v>
      </c>
      <c r="AS299" s="6" t="n">
        <f aca="false">(10-(LEN(AT299)))+1</f>
        <v>8</v>
      </c>
      <c r="AT299" s="6" t="n">
        <v>103</v>
      </c>
      <c r="AU299" s="6" t="str">
        <f aca="false">IF($J299="NA","NA",IF(AND($J299&gt;1909,AT299&gt;0),"ERRO","OK"))</f>
        <v>OK</v>
      </c>
      <c r="AV299" s="6" t="n">
        <f aca="false">(10-(LEN(AW299)))+1</f>
        <v>10</v>
      </c>
      <c r="AW299" s="6" t="n">
        <v>0</v>
      </c>
      <c r="AX299" s="6" t="str">
        <f aca="false">IF($J299="NA","NA",IF(AND($J299&gt;1899,AW299&gt;0),"ERRO","OK"))</f>
        <v>OK</v>
      </c>
    </row>
    <row r="300" customFormat="false" ht="15" hidden="false" customHeight="false" outlineLevel="0" collapsed="false">
      <c r="A300" s="7" t="n">
        <v>298</v>
      </c>
      <c r="B300" s="0" t="s">
        <v>317</v>
      </c>
      <c r="C300" s="8" t="n">
        <v>45327</v>
      </c>
      <c r="D300" s="6" t="n">
        <v>0</v>
      </c>
      <c r="E300" s="0" t="s">
        <v>16</v>
      </c>
      <c r="F300" s="0" t="s">
        <v>17</v>
      </c>
      <c r="G300" s="9" t="str">
        <f aca="false">IF(OR(N300="ERRO",Q300="ERRO",T300="ERRO",W300="ERRO",Z300="ERRO",AC300="ERRO",AF300="ERRO",AI300="ERRO",AL300="ERRO",AO300="ERRO",AR300="ERRO",AU300="ERRO",AX300="ERRO"),"ERRO","OK")</f>
        <v>OK</v>
      </c>
      <c r="H300" s="9" t="n">
        <f aca="false">COUNTIF(L300:AX300,"ERRO")</f>
        <v>0</v>
      </c>
      <c r="I300" s="9" t="s">
        <v>18</v>
      </c>
      <c r="J300" s="10" t="n">
        <v>1883</v>
      </c>
      <c r="K300" s="10" t="n">
        <v>1956</v>
      </c>
      <c r="L300" s="6" t="n">
        <f aca="false">(10-(LEN(M300)))+1</f>
        <v>7</v>
      </c>
      <c r="M300" s="6" t="n">
        <v>7121</v>
      </c>
      <c r="N300" s="6" t="str">
        <f aca="false">IF($J300="NA","NA",IF(AND($J300&gt;2019,M300&gt;0),"ERRO","OK"))</f>
        <v>OK</v>
      </c>
      <c r="O300" s="6" t="n">
        <f aca="false">(10-(LEN(P300)))+1</f>
        <v>7</v>
      </c>
      <c r="P300" s="6" t="n">
        <v>8782</v>
      </c>
      <c r="Q300" s="6" t="str">
        <f aca="false">IF($J300="NA","NA",IF(AND($J300&gt;2009,P300&gt;0),"ERRO","OK"))</f>
        <v>OK</v>
      </c>
      <c r="R300" s="6" t="n">
        <f aca="false">(10-(LEN(S300)))+1</f>
        <v>6</v>
      </c>
      <c r="S300" s="6" t="n">
        <v>13277</v>
      </c>
      <c r="T300" s="6" t="str">
        <f aca="false">IF($J300="NA","NA",IF(AND($J300&gt;1999,S300&gt;0),"ERRO","OK"))</f>
        <v>OK</v>
      </c>
      <c r="U300" s="6" t="n">
        <f aca="false">(10-(LEN(V300)))+1</f>
        <v>6</v>
      </c>
      <c r="V300" s="6" t="n">
        <v>28055</v>
      </c>
      <c r="W300" s="6" t="str">
        <f aca="false">IF($J300="NA","NA",IF(AND($J300&gt;1989,V300&gt;0),"ERRO","OK"))</f>
        <v>OK</v>
      </c>
      <c r="X300" s="6" t="n">
        <f aca="false">(10-(LEN(Y300)))+1</f>
        <v>6</v>
      </c>
      <c r="Y300" s="6" t="n">
        <v>12575</v>
      </c>
      <c r="Z300" s="6" t="str">
        <f aca="false">IF($J300="NA","NA",IF(AND($J300&gt;1979,Y300&gt;0),"ERRO","OK"))</f>
        <v>OK</v>
      </c>
      <c r="AA300" s="6" t="n">
        <f aca="false">(10-(LEN(AB300)))+1</f>
        <v>6</v>
      </c>
      <c r="AB300" s="6" t="n">
        <v>20744</v>
      </c>
      <c r="AC300" s="6" t="str">
        <f aca="false">IF($J300="NA","NA",IF(AND($J300&gt;1969,AB300&gt;0),"ERRO","OK"))</f>
        <v>OK</v>
      </c>
      <c r="AD300" s="6" t="n">
        <f aca="false">(10-(LEN(AE300)))+1</f>
        <v>6</v>
      </c>
      <c r="AE300" s="6" t="n">
        <v>17403</v>
      </c>
      <c r="AF300" s="6" t="str">
        <f aca="false">IF($J300="NA","NA",IF(AND($J300&gt;1959,AE300&gt;0),"ERRO","OK"))</f>
        <v>OK</v>
      </c>
      <c r="AG300" s="6" t="n">
        <f aca="false">(10-(LEN(AH300)))+1</f>
        <v>6</v>
      </c>
      <c r="AH300" s="6" t="n">
        <v>17882</v>
      </c>
      <c r="AI300" s="6" t="str">
        <f aca="false">IF($J300="NA","NA",IF(AND($J300&gt;1949,AH300&gt;0),"ERRO","OK"))</f>
        <v>OK</v>
      </c>
      <c r="AJ300" s="6" t="n">
        <f aca="false">(10-(LEN(AK300)))+1</f>
        <v>6</v>
      </c>
      <c r="AK300" s="6" t="n">
        <v>27852</v>
      </c>
      <c r="AL300" s="6" t="str">
        <f aca="false">IF($J300="NA","NA",IF(AND($J300&gt;1939,AK300&gt;0),"ERRO","OK"))</f>
        <v>OK</v>
      </c>
      <c r="AM300" s="6" t="n">
        <f aca="false">(10-(LEN(AN300)))+1</f>
        <v>6</v>
      </c>
      <c r="AN300" s="6" t="n">
        <v>28029</v>
      </c>
      <c r="AO300" s="6" t="str">
        <f aca="false">IF($J300="NA","NA",IF(AND($J300&gt;1929,AN300&gt;0),"ERRO","OK"))</f>
        <v>OK</v>
      </c>
      <c r="AP300" s="6" t="n">
        <f aca="false">(10-(LEN(AQ300)))+1</f>
        <v>8</v>
      </c>
      <c r="AQ300" s="6" t="n">
        <v>701</v>
      </c>
      <c r="AR300" s="6" t="str">
        <f aca="false">IF($J300="NA","NA",IF(AND($J300&gt;1919,AQ300&gt;0),"ERRO","OK"))</f>
        <v>OK</v>
      </c>
      <c r="AS300" s="6" t="n">
        <f aca="false">(10-(LEN(AT300)))+1</f>
        <v>10</v>
      </c>
      <c r="AT300" s="6" t="n">
        <v>0</v>
      </c>
      <c r="AU300" s="6" t="str">
        <f aca="false">IF($J300="NA","NA",IF(AND($J300&gt;1909,AT300&gt;0),"ERRO","OK"))</f>
        <v>OK</v>
      </c>
      <c r="AV300" s="6" t="n">
        <f aca="false">(10-(LEN(AW300)))+1</f>
        <v>10</v>
      </c>
      <c r="AW300" s="6" t="n">
        <v>0</v>
      </c>
      <c r="AX300" s="6" t="str">
        <f aca="false">IF($J300="NA","NA",IF(AND($J300&gt;1899,AW300&gt;0),"ERRO","OK"))</f>
        <v>OK</v>
      </c>
    </row>
    <row r="301" customFormat="false" ht="15" hidden="false" customHeight="false" outlineLevel="0" collapsed="false">
      <c r="A301" s="7" t="n">
        <v>299</v>
      </c>
      <c r="B301" s="0" t="s">
        <v>318</v>
      </c>
      <c r="C301" s="8" t="n">
        <v>45327</v>
      </c>
      <c r="D301" s="6" t="n">
        <v>0</v>
      </c>
      <c r="E301" s="0" t="s">
        <v>16</v>
      </c>
      <c r="F301" s="0" t="s">
        <v>17</v>
      </c>
      <c r="G301" s="9" t="str">
        <f aca="false">IF(OR(N301="ERRO",Q301="ERRO",T301="ERRO",W301="ERRO",Z301="ERRO",AC301="ERRO",AF301="ERRO",AI301="ERRO",AL301="ERRO",AO301="ERRO",AR301="ERRO",AU301="ERRO",AX301="ERRO"),"ERRO","OK")</f>
        <v>OK</v>
      </c>
      <c r="H301" s="9" t="n">
        <f aca="false">COUNTIF(L301:AX301,"ERRO")</f>
        <v>0</v>
      </c>
      <c r="I301" s="9" t="s">
        <v>18</v>
      </c>
      <c r="J301" s="10" t="n">
        <v>1900</v>
      </c>
      <c r="K301" s="10" t="n">
        <v>1973</v>
      </c>
      <c r="L301" s="6" t="n">
        <f aca="false">(10-(LEN(M301)))+1</f>
        <v>7</v>
      </c>
      <c r="M301" s="6" t="n">
        <v>2082</v>
      </c>
      <c r="N301" s="6" t="str">
        <f aca="false">IF($J301="NA","NA",IF(AND($J301&gt;2019,M301&gt;0),"ERRO","OK"))</f>
        <v>OK</v>
      </c>
      <c r="O301" s="6" t="n">
        <f aca="false">(10-(LEN(P301)))+1</f>
        <v>7</v>
      </c>
      <c r="P301" s="6" t="n">
        <v>5043</v>
      </c>
      <c r="Q301" s="6" t="str">
        <f aca="false">IF($J301="NA","NA",IF(AND($J301&gt;2009,P301&gt;0),"ERRO","OK"))</f>
        <v>OK</v>
      </c>
      <c r="R301" s="6" t="n">
        <f aca="false">(10-(LEN(S301)))+1</f>
        <v>7</v>
      </c>
      <c r="S301" s="6" t="n">
        <v>2857</v>
      </c>
      <c r="T301" s="6" t="str">
        <f aca="false">IF($J301="NA","NA",IF(AND($J301&gt;1999,S301&gt;0),"ERRO","OK"))</f>
        <v>OK</v>
      </c>
      <c r="U301" s="6" t="n">
        <f aca="false">(10-(LEN(V301)))+1</f>
        <v>8</v>
      </c>
      <c r="V301" s="6" t="n">
        <v>414</v>
      </c>
      <c r="W301" s="6" t="str">
        <f aca="false">IF($J301="NA","NA",IF(AND($J301&gt;1989,V301&gt;0),"ERRO","OK"))</f>
        <v>OK</v>
      </c>
      <c r="X301" s="6" t="n">
        <f aca="false">(10-(LEN(Y301)))+1</f>
        <v>8</v>
      </c>
      <c r="Y301" s="6" t="n">
        <v>161</v>
      </c>
      <c r="Z301" s="6" t="str">
        <f aca="false">IF($J301="NA","NA",IF(AND($J301&gt;1979,Y301&gt;0),"ERRO","OK"))</f>
        <v>OK</v>
      </c>
      <c r="AA301" s="6" t="n">
        <f aca="false">(10-(LEN(AB301)))+1</f>
        <v>7</v>
      </c>
      <c r="AB301" s="6" t="n">
        <v>1113</v>
      </c>
      <c r="AC301" s="6" t="str">
        <f aca="false">IF($J301="NA","NA",IF(AND($J301&gt;1969,AB301&gt;0),"ERRO","OK"))</f>
        <v>OK</v>
      </c>
      <c r="AD301" s="6" t="n">
        <f aca="false">(10-(LEN(AE301)))+1</f>
        <v>8</v>
      </c>
      <c r="AE301" s="6" t="n">
        <v>987</v>
      </c>
      <c r="AF301" s="6" t="str">
        <f aca="false">IF($J301="NA","NA",IF(AND($J301&gt;1959,AE301&gt;0),"ERRO","OK"))</f>
        <v>OK</v>
      </c>
      <c r="AG301" s="6" t="n">
        <f aca="false">(10-(LEN(AH301)))+1</f>
        <v>8</v>
      </c>
      <c r="AH301" s="6" t="n">
        <v>881</v>
      </c>
      <c r="AI301" s="6" t="str">
        <f aca="false">IF($J301="NA","NA",IF(AND($J301&gt;1949,AH301&gt;0),"ERRO","OK"))</f>
        <v>OK</v>
      </c>
      <c r="AJ301" s="6" t="n">
        <f aca="false">(10-(LEN(AK301)))+1</f>
        <v>8</v>
      </c>
      <c r="AK301" s="6" t="n">
        <v>279</v>
      </c>
      <c r="AL301" s="6" t="str">
        <f aca="false">IF($J301="NA","NA",IF(AND($J301&gt;1939,AK301&gt;0),"ERRO","OK"))</f>
        <v>OK</v>
      </c>
      <c r="AM301" s="6" t="n">
        <f aca="false">(10-(LEN(AN301)))+1</f>
        <v>8</v>
      </c>
      <c r="AN301" s="6" t="n">
        <v>152</v>
      </c>
      <c r="AO301" s="6" t="str">
        <f aca="false">IF($J301="NA","NA",IF(AND($J301&gt;1929,AN301&gt;0),"ERRO","OK"))</f>
        <v>OK</v>
      </c>
      <c r="AP301" s="6" t="n">
        <f aca="false">(10-(LEN(AQ301)))+1</f>
        <v>10</v>
      </c>
      <c r="AQ301" s="6" t="n">
        <v>0</v>
      </c>
      <c r="AR301" s="6" t="str">
        <f aca="false">IF($J301="NA","NA",IF(AND($J301&gt;1919,AQ301&gt;0),"ERRO","OK"))</f>
        <v>OK</v>
      </c>
      <c r="AS301" s="6" t="n">
        <f aca="false">(10-(LEN(AT301)))+1</f>
        <v>10</v>
      </c>
      <c r="AT301" s="6" t="n">
        <v>0</v>
      </c>
      <c r="AU301" s="6" t="str">
        <f aca="false">IF($J301="NA","NA",IF(AND($J301&gt;1909,AT301&gt;0),"ERRO","OK"))</f>
        <v>OK</v>
      </c>
      <c r="AV301" s="6" t="n">
        <f aca="false">(10-(LEN(AW301)))+1</f>
        <v>10</v>
      </c>
      <c r="AW301" s="6" t="n">
        <v>0</v>
      </c>
      <c r="AX301" s="6" t="str">
        <f aca="false">IF($J301="NA","NA",IF(AND($J301&gt;1899,AW301&gt;0),"ERRO","OK"))</f>
        <v>OK</v>
      </c>
    </row>
    <row r="302" customFormat="false" ht="15" hidden="false" customHeight="false" outlineLevel="0" collapsed="false">
      <c r="A302" s="7" t="n">
        <v>300</v>
      </c>
      <c r="B302" s="0" t="s">
        <v>319</v>
      </c>
      <c r="C302" s="8" t="n">
        <v>45327</v>
      </c>
      <c r="D302" s="6" t="n">
        <v>0</v>
      </c>
      <c r="E302" s="0" t="s">
        <v>16</v>
      </c>
      <c r="F302" s="0" t="s">
        <v>17</v>
      </c>
      <c r="G302" s="9" t="str">
        <f aca="false">IF(OR(N302="ERRO",Q302="ERRO",T302="ERRO",W302="ERRO",Z302="ERRO",AC302="ERRO",AF302="ERRO",AI302="ERRO",AL302="ERRO",AO302="ERRO",AR302="ERRO",AU302="ERRO",AX302="ERRO"),"ERRO","OK")</f>
        <v>OK</v>
      </c>
      <c r="H302" s="9" t="n">
        <f aca="false">COUNTIF(L302:AX302,"ERRO")</f>
        <v>0</v>
      </c>
      <c r="I302" s="9" t="s">
        <v>18</v>
      </c>
      <c r="J302" s="10" t="s">
        <v>22</v>
      </c>
      <c r="K302" s="10" t="s">
        <v>22</v>
      </c>
      <c r="L302" s="6" t="n">
        <f aca="false">(10-(LEN(M302)))+1</f>
        <v>10</v>
      </c>
      <c r="M302" s="6" t="n">
        <v>0</v>
      </c>
      <c r="N302" s="6" t="str">
        <f aca="false">IF($J302="NA","NA",IF(AND($J302&gt;2019,M302&gt;0),"ERRO","OK"))</f>
        <v>NA</v>
      </c>
      <c r="O302" s="6" t="n">
        <f aca="false">(10-(LEN(P302)))+1</f>
        <v>10</v>
      </c>
      <c r="P302" s="6" t="n">
        <v>0</v>
      </c>
      <c r="Q302" s="6" t="str">
        <f aca="false">IF($J302="NA","NA",IF(AND($J302&gt;2009,P302&gt;0),"ERRO","OK"))</f>
        <v>NA</v>
      </c>
      <c r="R302" s="6" t="n">
        <f aca="false">(10-(LEN(S302)))+1</f>
        <v>10</v>
      </c>
      <c r="S302" s="6" t="n">
        <v>0</v>
      </c>
      <c r="T302" s="6" t="str">
        <f aca="false">IF($J302="NA","NA",IF(AND($J302&gt;1999,S302&gt;0),"ERRO","OK"))</f>
        <v>NA</v>
      </c>
      <c r="U302" s="6" t="n">
        <f aca="false">(10-(LEN(V302)))+1</f>
        <v>10</v>
      </c>
      <c r="V302" s="6" t="n">
        <v>0</v>
      </c>
      <c r="W302" s="6" t="str">
        <f aca="false">IF($J302="NA","NA",IF(AND($J302&gt;1989,V302&gt;0),"ERRO","OK"))</f>
        <v>NA</v>
      </c>
      <c r="X302" s="6" t="n">
        <f aca="false">(10-(LEN(Y302)))+1</f>
        <v>10</v>
      </c>
      <c r="Y302" s="6" t="n">
        <v>0</v>
      </c>
      <c r="Z302" s="6" t="str">
        <f aca="false">IF($J302="NA","NA",IF(AND($J302&gt;1979,Y302&gt;0),"ERRO","OK"))</f>
        <v>NA</v>
      </c>
      <c r="AA302" s="6" t="n">
        <f aca="false">(10-(LEN(AB302)))+1</f>
        <v>10</v>
      </c>
      <c r="AB302" s="6" t="n">
        <v>0</v>
      </c>
      <c r="AC302" s="6" t="str">
        <f aca="false">IF($J302="NA","NA",IF(AND($J302&gt;1969,AB302&gt;0),"ERRO","OK"))</f>
        <v>NA</v>
      </c>
      <c r="AD302" s="6" t="n">
        <f aca="false">(10-(LEN(AE302)))+1</f>
        <v>10</v>
      </c>
      <c r="AE302" s="6" t="n">
        <v>0</v>
      </c>
      <c r="AF302" s="6" t="str">
        <f aca="false">IF($J302="NA","NA",IF(AND($J302&gt;1959,AE302&gt;0),"ERRO","OK"))</f>
        <v>NA</v>
      </c>
      <c r="AG302" s="6" t="n">
        <f aca="false">(10-(LEN(AH302)))+1</f>
        <v>10</v>
      </c>
      <c r="AH302" s="6" t="n">
        <v>0</v>
      </c>
      <c r="AI302" s="6" t="str">
        <f aca="false">IF($J302="NA","NA",IF(AND($J302&gt;1949,AH302&gt;0),"ERRO","OK"))</f>
        <v>NA</v>
      </c>
      <c r="AJ302" s="6" t="n">
        <f aca="false">(10-(LEN(AK302)))+1</f>
        <v>10</v>
      </c>
      <c r="AK302" s="6" t="n">
        <v>0</v>
      </c>
      <c r="AL302" s="6" t="str">
        <f aca="false">IF($J302="NA","NA",IF(AND($J302&gt;1939,AK302&gt;0),"ERRO","OK"))</f>
        <v>NA</v>
      </c>
      <c r="AM302" s="6" t="n">
        <f aca="false">(10-(LEN(AN302)))+1</f>
        <v>10</v>
      </c>
      <c r="AN302" s="6" t="n">
        <v>0</v>
      </c>
      <c r="AO302" s="6" t="str">
        <f aca="false">IF($J302="NA","NA",IF(AND($J302&gt;1929,AN302&gt;0),"ERRO","OK"))</f>
        <v>NA</v>
      </c>
      <c r="AP302" s="6" t="n">
        <f aca="false">(10-(LEN(AQ302)))+1</f>
        <v>10</v>
      </c>
      <c r="AQ302" s="6" t="n">
        <v>0</v>
      </c>
      <c r="AR302" s="6" t="str">
        <f aca="false">IF($J302="NA","NA",IF(AND($J302&gt;1919,AQ302&gt;0),"ERRO","OK"))</f>
        <v>NA</v>
      </c>
      <c r="AS302" s="6" t="n">
        <f aca="false">(10-(LEN(AT302)))+1</f>
        <v>10</v>
      </c>
      <c r="AT302" s="6" t="n">
        <v>0</v>
      </c>
      <c r="AU302" s="6" t="str">
        <f aca="false">IF($J302="NA","NA",IF(AND($J302&gt;1909,AT302&gt;0),"ERRO","OK"))</f>
        <v>NA</v>
      </c>
      <c r="AV302" s="6" t="n">
        <f aca="false">(10-(LEN(AW302)))+1</f>
        <v>10</v>
      </c>
      <c r="AW302" s="6" t="n">
        <v>0</v>
      </c>
      <c r="AX302" s="6" t="str">
        <f aca="false">IF($J302="NA","NA",IF(AND($J302&gt;1899,AW302&gt;0),"ERRO","OK"))</f>
        <v>NA</v>
      </c>
    </row>
    <row r="303" customFormat="false" ht="15" hidden="false" customHeight="false" outlineLevel="0" collapsed="false">
      <c r="A303" s="7" t="n">
        <v>301</v>
      </c>
      <c r="B303" s="0" t="s">
        <v>320</v>
      </c>
      <c r="C303" s="8" t="n">
        <v>45327</v>
      </c>
      <c r="D303" s="6" t="n">
        <v>0</v>
      </c>
      <c r="E303" s="0" t="s">
        <v>16</v>
      </c>
      <c r="F303" s="0" t="s">
        <v>17</v>
      </c>
      <c r="G303" s="9" t="str">
        <f aca="false">IF(OR(N303="ERRO",Q303="ERRO",T303="ERRO",W303="ERRO",Z303="ERRO",AC303="ERRO",AF303="ERRO",AI303="ERRO",AL303="ERRO",AO303="ERRO",AR303="ERRO",AU303="ERRO",AX303="ERRO"),"ERRO","OK")</f>
        <v>OK</v>
      </c>
      <c r="H303" s="9" t="n">
        <f aca="false">COUNTIF(L303:AX303,"ERRO")</f>
        <v>0</v>
      </c>
      <c r="I303" s="9" t="s">
        <v>18</v>
      </c>
      <c r="J303" s="10" t="n">
        <v>1887</v>
      </c>
      <c r="K303" s="10" t="n">
        <v>1948</v>
      </c>
      <c r="L303" s="6" t="n">
        <f aca="false">(10-(LEN(M303)))+1</f>
        <v>6</v>
      </c>
      <c r="M303" s="6" t="n">
        <v>20822</v>
      </c>
      <c r="N303" s="6" t="str">
        <f aca="false">IF($J303="NA","NA",IF(AND($J303&gt;2019,M303&gt;0),"ERRO","OK"))</f>
        <v>OK</v>
      </c>
      <c r="O303" s="6" t="n">
        <f aca="false">(10-(LEN(P303)))+1</f>
        <v>6</v>
      </c>
      <c r="P303" s="6" t="n">
        <v>36191</v>
      </c>
      <c r="Q303" s="6" t="str">
        <f aca="false">IF($J303="NA","NA",IF(AND($J303&gt;2009,P303&gt;0),"ERRO","OK"))</f>
        <v>OK</v>
      </c>
      <c r="R303" s="6" t="n">
        <f aca="false">(10-(LEN(S303)))+1</f>
        <v>6</v>
      </c>
      <c r="S303" s="6" t="n">
        <v>27699</v>
      </c>
      <c r="T303" s="6" t="str">
        <f aca="false">IF($J303="NA","NA",IF(AND($J303&gt;1999,S303&gt;0),"ERRO","OK"))</f>
        <v>OK</v>
      </c>
      <c r="U303" s="6" t="n">
        <f aca="false">(10-(LEN(V303)))+1</f>
        <v>6</v>
      </c>
      <c r="V303" s="6" t="n">
        <v>37346</v>
      </c>
      <c r="W303" s="6" t="str">
        <f aca="false">IF($J303="NA","NA",IF(AND($J303&gt;1989,V303&gt;0),"ERRO","OK"))</f>
        <v>OK</v>
      </c>
      <c r="X303" s="6" t="n">
        <f aca="false">(10-(LEN(Y303)))+1</f>
        <v>6</v>
      </c>
      <c r="Y303" s="6" t="n">
        <v>19424</v>
      </c>
      <c r="Z303" s="6" t="str">
        <f aca="false">IF($J303="NA","NA",IF(AND($J303&gt;1979,Y303&gt;0),"ERRO","OK"))</f>
        <v>OK</v>
      </c>
      <c r="AA303" s="6" t="n">
        <f aca="false">(10-(LEN(AB303)))+1</f>
        <v>6</v>
      </c>
      <c r="AB303" s="6" t="n">
        <v>22209</v>
      </c>
      <c r="AC303" s="6" t="str">
        <f aca="false">IF($J303="NA","NA",IF(AND($J303&gt;1969,AB303&gt;0),"ERRO","OK"))</f>
        <v>OK</v>
      </c>
      <c r="AD303" s="6" t="n">
        <f aca="false">(10-(LEN(AE303)))+1</f>
        <v>7</v>
      </c>
      <c r="AE303" s="6" t="n">
        <v>9867</v>
      </c>
      <c r="AF303" s="6" t="str">
        <f aca="false">IF($J303="NA","NA",IF(AND($J303&gt;1959,AE303&gt;0),"ERRO","OK"))</f>
        <v>OK</v>
      </c>
      <c r="AG303" s="6" t="n">
        <f aca="false">(10-(LEN(AH303)))+1</f>
        <v>7</v>
      </c>
      <c r="AH303" s="6" t="n">
        <v>2753</v>
      </c>
      <c r="AI303" s="6" t="str">
        <f aca="false">IF($J303="NA","NA",IF(AND($J303&gt;1949,AH303&gt;0),"ERRO","OK"))</f>
        <v>OK</v>
      </c>
      <c r="AJ303" s="6" t="n">
        <f aca="false">(10-(LEN(AK303)))+1</f>
        <v>7</v>
      </c>
      <c r="AK303" s="6" t="n">
        <v>7659</v>
      </c>
      <c r="AL303" s="6" t="str">
        <f aca="false">IF($J303="NA","NA",IF(AND($J303&gt;1939,AK303&gt;0),"ERRO","OK"))</f>
        <v>OK</v>
      </c>
      <c r="AM303" s="6" t="n">
        <f aca="false">(10-(LEN(AN303)))+1</f>
        <v>7</v>
      </c>
      <c r="AN303" s="6" t="n">
        <v>4418</v>
      </c>
      <c r="AO303" s="6" t="str">
        <f aca="false">IF($J303="NA","NA",IF(AND($J303&gt;1929,AN303&gt;0),"ERRO","OK"))</f>
        <v>OK</v>
      </c>
      <c r="AP303" s="6" t="n">
        <f aca="false">(10-(LEN(AQ303)))+1</f>
        <v>8</v>
      </c>
      <c r="AQ303" s="6" t="n">
        <v>701</v>
      </c>
      <c r="AR303" s="6" t="str">
        <f aca="false">IF($J303="NA","NA",IF(AND($J303&gt;1919,AQ303&gt;0),"ERRO","OK"))</f>
        <v>OK</v>
      </c>
      <c r="AS303" s="6" t="n">
        <f aca="false">(10-(LEN(AT303)))+1</f>
        <v>10</v>
      </c>
      <c r="AT303" s="6" t="n">
        <v>0</v>
      </c>
      <c r="AU303" s="6" t="str">
        <f aca="false">IF($J303="NA","NA",IF(AND($J303&gt;1909,AT303&gt;0),"ERRO","OK"))</f>
        <v>OK</v>
      </c>
      <c r="AV303" s="6" t="n">
        <f aca="false">(10-(LEN(AW303)))+1</f>
        <v>10</v>
      </c>
      <c r="AW303" s="6" t="n">
        <v>0</v>
      </c>
      <c r="AX303" s="6" t="str">
        <f aca="false">IF($J303="NA","NA",IF(AND($J303&gt;1899,AW303&gt;0),"ERRO","OK"))</f>
        <v>OK</v>
      </c>
    </row>
    <row r="304" customFormat="false" ht="15" hidden="false" customHeight="false" outlineLevel="0" collapsed="false">
      <c r="A304" s="7" t="n">
        <v>302</v>
      </c>
      <c r="B304" s="0" t="s">
        <v>321</v>
      </c>
      <c r="C304" s="8" t="n">
        <v>45327</v>
      </c>
      <c r="D304" s="6" t="n">
        <v>0</v>
      </c>
      <c r="E304" s="0" t="s">
        <v>16</v>
      </c>
      <c r="F304" s="0" t="s">
        <v>17</v>
      </c>
      <c r="G304" s="9" t="str">
        <f aca="false">IF(OR(N304="ERRO",Q304="ERRO",T304="ERRO",W304="ERRO",Z304="ERRO",AC304="ERRO",AF304="ERRO",AI304="ERRO",AL304="ERRO",AO304="ERRO",AR304="ERRO",AU304="ERRO",AX304="ERRO"),"ERRO","OK")</f>
        <v>OK</v>
      </c>
      <c r="H304" s="9" t="n">
        <f aca="false">COUNTIF(L304:AX304,"ERRO")</f>
        <v>0</v>
      </c>
      <c r="I304" s="9" t="s">
        <v>18</v>
      </c>
      <c r="J304" s="10" t="n">
        <v>1885</v>
      </c>
      <c r="K304" s="10" t="n">
        <v>1981</v>
      </c>
      <c r="L304" s="6" t="n">
        <f aca="false">(10-(LEN(M304)))+1</f>
        <v>7</v>
      </c>
      <c r="M304" s="6" t="n">
        <v>1582</v>
      </c>
      <c r="N304" s="6" t="str">
        <f aca="false">IF($J304="NA","NA",IF(AND($J304&gt;2019,M304&gt;0),"ERRO","OK"))</f>
        <v>OK</v>
      </c>
      <c r="O304" s="6" t="n">
        <f aca="false">(10-(LEN(P304)))+1</f>
        <v>7</v>
      </c>
      <c r="P304" s="6" t="n">
        <v>1063</v>
      </c>
      <c r="Q304" s="6" t="str">
        <f aca="false">IF($J304="NA","NA",IF(AND($J304&gt;2009,P304&gt;0),"ERRO","OK"))</f>
        <v>OK</v>
      </c>
      <c r="R304" s="6" t="n">
        <f aca="false">(10-(LEN(S304)))+1</f>
        <v>7</v>
      </c>
      <c r="S304" s="6" t="n">
        <v>2227</v>
      </c>
      <c r="T304" s="6" t="str">
        <f aca="false">IF($J304="NA","NA",IF(AND($J304&gt;1999,S304&gt;0),"ERRO","OK"))</f>
        <v>OK</v>
      </c>
      <c r="U304" s="6" t="n">
        <f aca="false">(10-(LEN(V304)))+1</f>
        <v>7</v>
      </c>
      <c r="V304" s="6" t="n">
        <v>1426</v>
      </c>
      <c r="W304" s="6" t="str">
        <f aca="false">IF($J304="NA","NA",IF(AND($J304&gt;1989,V304&gt;0),"ERRO","OK"))</f>
        <v>OK</v>
      </c>
      <c r="X304" s="6" t="n">
        <f aca="false">(10-(LEN(Y304)))+1</f>
        <v>7</v>
      </c>
      <c r="Y304" s="6" t="n">
        <v>2461</v>
      </c>
      <c r="Z304" s="6" t="str">
        <f aca="false">IF($J304="NA","NA",IF(AND($J304&gt;1979,Y304&gt;0),"ERRO","OK"))</f>
        <v>OK</v>
      </c>
      <c r="AA304" s="6" t="n">
        <f aca="false">(10-(LEN(AB304)))+1</f>
        <v>7</v>
      </c>
      <c r="AB304" s="6" t="n">
        <v>5332</v>
      </c>
      <c r="AC304" s="6" t="str">
        <f aca="false">IF($J304="NA","NA",IF(AND($J304&gt;1969,AB304&gt;0),"ERRO","OK"))</f>
        <v>OK</v>
      </c>
      <c r="AD304" s="6" t="n">
        <f aca="false">(10-(LEN(AE304)))+1</f>
        <v>7</v>
      </c>
      <c r="AE304" s="6" t="n">
        <v>9778</v>
      </c>
      <c r="AF304" s="6" t="str">
        <f aca="false">IF($J304="NA","NA",IF(AND($J304&gt;1959,AE304&gt;0),"ERRO","OK"))</f>
        <v>OK</v>
      </c>
      <c r="AG304" s="6" t="n">
        <f aca="false">(10-(LEN(AH304)))+1</f>
        <v>7</v>
      </c>
      <c r="AH304" s="6" t="n">
        <v>4185</v>
      </c>
      <c r="AI304" s="6" t="str">
        <f aca="false">IF($J304="NA","NA",IF(AND($J304&gt;1949,AH304&gt;0),"ERRO","OK"))</f>
        <v>OK</v>
      </c>
      <c r="AJ304" s="6" t="n">
        <f aca="false">(10-(LEN(AK304)))+1</f>
        <v>7</v>
      </c>
      <c r="AK304" s="6" t="n">
        <v>7520</v>
      </c>
      <c r="AL304" s="6" t="str">
        <f aca="false">IF($J304="NA","NA",IF(AND($J304&gt;1939,AK304&gt;0),"ERRO","OK"))</f>
        <v>OK</v>
      </c>
      <c r="AM304" s="6" t="n">
        <f aca="false">(10-(LEN(AN304)))+1</f>
        <v>7</v>
      </c>
      <c r="AN304" s="6" t="n">
        <v>3961</v>
      </c>
      <c r="AO304" s="6" t="str">
        <f aca="false">IF($J304="NA","NA",IF(AND($J304&gt;1929,AN304&gt;0),"ERRO","OK"))</f>
        <v>OK</v>
      </c>
      <c r="AP304" s="6" t="n">
        <f aca="false">(10-(LEN(AQ304)))+1</f>
        <v>7</v>
      </c>
      <c r="AQ304" s="6" t="n">
        <v>5507</v>
      </c>
      <c r="AR304" s="6" t="str">
        <f aca="false">IF($J304="NA","NA",IF(AND($J304&gt;1919,AQ304&gt;0),"ERRO","OK"))</f>
        <v>OK</v>
      </c>
      <c r="AS304" s="6" t="n">
        <f aca="false">(10-(LEN(AT304)))+1</f>
        <v>7</v>
      </c>
      <c r="AT304" s="6" t="n">
        <v>1856</v>
      </c>
      <c r="AU304" s="6" t="str">
        <f aca="false">IF($J304="NA","NA",IF(AND($J304&gt;1909,AT304&gt;0),"ERRO","OK"))</f>
        <v>OK</v>
      </c>
      <c r="AV304" s="6" t="n">
        <f aca="false">(10-(LEN(AW304)))+1</f>
        <v>7</v>
      </c>
      <c r="AW304" s="6" t="n">
        <v>1935</v>
      </c>
      <c r="AX304" s="6" t="str">
        <f aca="false">IF($J304="NA","NA",IF(AND($J304&gt;1899,AW304&gt;0),"ERRO","OK"))</f>
        <v>OK</v>
      </c>
    </row>
    <row r="305" customFormat="false" ht="15" hidden="false" customHeight="false" outlineLevel="0" collapsed="false">
      <c r="A305" s="7" t="n">
        <v>303</v>
      </c>
      <c r="B305" s="0" t="s">
        <v>322</v>
      </c>
      <c r="C305" s="8" t="n">
        <v>45327</v>
      </c>
      <c r="D305" s="6" t="n">
        <v>0</v>
      </c>
      <c r="E305" s="0" t="s">
        <v>16</v>
      </c>
      <c r="F305" s="0" t="s">
        <v>17</v>
      </c>
      <c r="G305" s="9" t="str">
        <f aca="false">IF(OR(N305="ERRO",Q305="ERRO",T305="ERRO",W305="ERRO",Z305="ERRO",AC305="ERRO",AF305="ERRO",AI305="ERRO",AL305="ERRO",AO305="ERRO",AR305="ERRO",AU305="ERRO",AX305="ERRO"),"ERRO","OK")</f>
        <v>OK</v>
      </c>
      <c r="H305" s="9" t="n">
        <f aca="false">COUNTIF(L305:AX305,"ERRO")</f>
        <v>0</v>
      </c>
      <c r="I305" s="9" t="s">
        <v>18</v>
      </c>
      <c r="J305" s="10" t="n">
        <v>1903</v>
      </c>
      <c r="K305" s="10" t="n">
        <v>1967</v>
      </c>
      <c r="L305" s="6" t="n">
        <f aca="false">(10-(LEN(M305)))+1</f>
        <v>8</v>
      </c>
      <c r="M305" s="6" t="n">
        <v>292</v>
      </c>
      <c r="N305" s="6" t="str">
        <f aca="false">IF($J305="NA","NA",IF(AND($J305&gt;2019,M305&gt;0),"ERRO","OK"))</f>
        <v>OK</v>
      </c>
      <c r="O305" s="6" t="n">
        <f aca="false">(10-(LEN(P305)))+1</f>
        <v>9</v>
      </c>
      <c r="P305" s="6" t="n">
        <v>69</v>
      </c>
      <c r="Q305" s="6" t="str">
        <f aca="false">IF($J305="NA","NA",IF(AND($J305&gt;2009,P305&gt;0),"ERRO","OK"))</f>
        <v>OK</v>
      </c>
      <c r="R305" s="6" t="n">
        <f aca="false">(10-(LEN(S305)))+1</f>
        <v>8</v>
      </c>
      <c r="S305" s="6" t="n">
        <v>210</v>
      </c>
      <c r="T305" s="6" t="str">
        <f aca="false">IF($J305="NA","NA",IF(AND($J305&gt;1999,S305&gt;0),"ERRO","OK"))</f>
        <v>OK</v>
      </c>
      <c r="U305" s="6" t="n">
        <f aca="false">(10-(LEN(V305)))+1</f>
        <v>9</v>
      </c>
      <c r="V305" s="6" t="n">
        <v>46</v>
      </c>
      <c r="W305" s="6" t="str">
        <f aca="false">IF($J305="NA","NA",IF(AND($J305&gt;1989,V305&gt;0),"ERRO","OK"))</f>
        <v>OK</v>
      </c>
      <c r="X305" s="6" t="n">
        <f aca="false">(10-(LEN(Y305)))+1</f>
        <v>9</v>
      </c>
      <c r="Y305" s="6" t="n">
        <v>54</v>
      </c>
      <c r="Z305" s="6" t="str">
        <f aca="false">IF($J305="NA","NA",IF(AND($J305&gt;1979,Y305&gt;0),"ERRO","OK"))</f>
        <v>OK</v>
      </c>
      <c r="AA305" s="6" t="n">
        <f aca="false">(10-(LEN(AB305)))+1</f>
        <v>10</v>
      </c>
      <c r="AB305" s="6" t="n">
        <v>0</v>
      </c>
      <c r="AC305" s="6" t="str">
        <f aca="false">IF($J305="NA","NA",IF(AND($J305&gt;1969,AB305&gt;0),"ERRO","OK"))</f>
        <v>OK</v>
      </c>
      <c r="AD305" s="6" t="n">
        <f aca="false">(10-(LEN(AE305)))+1</f>
        <v>10</v>
      </c>
      <c r="AE305" s="6" t="n">
        <v>0</v>
      </c>
      <c r="AF305" s="6" t="str">
        <f aca="false">IF($J305="NA","NA",IF(AND($J305&gt;1959,AE305&gt;0),"ERRO","OK"))</f>
        <v>OK</v>
      </c>
      <c r="AG305" s="6" t="n">
        <f aca="false">(10-(LEN(AH305)))+1</f>
        <v>10</v>
      </c>
      <c r="AH305" s="6" t="n">
        <v>0</v>
      </c>
      <c r="AI305" s="6" t="str">
        <f aca="false">IF($J305="NA","NA",IF(AND($J305&gt;1949,AH305&gt;0),"ERRO","OK"))</f>
        <v>OK</v>
      </c>
      <c r="AJ305" s="6" t="n">
        <f aca="false">(10-(LEN(AK305)))+1</f>
        <v>10</v>
      </c>
      <c r="AK305" s="6" t="n">
        <v>0</v>
      </c>
      <c r="AL305" s="6" t="str">
        <f aca="false">IF($J305="NA","NA",IF(AND($J305&gt;1939,AK305&gt;0),"ERRO","OK"))</f>
        <v>OK</v>
      </c>
      <c r="AM305" s="6" t="n">
        <f aca="false">(10-(LEN(AN305)))+1</f>
        <v>10</v>
      </c>
      <c r="AN305" s="6" t="n">
        <v>0</v>
      </c>
      <c r="AO305" s="6" t="str">
        <f aca="false">IF($J305="NA","NA",IF(AND($J305&gt;1929,AN305&gt;0),"ERRO","OK"))</f>
        <v>OK</v>
      </c>
      <c r="AP305" s="6" t="n">
        <f aca="false">(10-(LEN(AQ305)))+1</f>
        <v>10</v>
      </c>
      <c r="AQ305" s="6" t="n">
        <v>0</v>
      </c>
      <c r="AR305" s="6" t="str">
        <f aca="false">IF($J305="NA","NA",IF(AND($J305&gt;1919,AQ305&gt;0),"ERRO","OK"))</f>
        <v>OK</v>
      </c>
      <c r="AS305" s="6" t="n">
        <f aca="false">(10-(LEN(AT305)))+1</f>
        <v>10</v>
      </c>
      <c r="AT305" s="6" t="n">
        <v>0</v>
      </c>
      <c r="AU305" s="6" t="str">
        <f aca="false">IF($J305="NA","NA",IF(AND($J305&gt;1909,AT305&gt;0),"ERRO","OK"))</f>
        <v>OK</v>
      </c>
      <c r="AV305" s="6" t="n">
        <f aca="false">(10-(LEN(AW305)))+1</f>
        <v>10</v>
      </c>
      <c r="AW305" s="6" t="n">
        <v>0</v>
      </c>
      <c r="AX305" s="6" t="str">
        <f aca="false">IF($J305="NA","NA",IF(AND($J305&gt;1899,AW305&gt;0),"ERRO","OK"))</f>
        <v>OK</v>
      </c>
    </row>
    <row r="306" customFormat="false" ht="15" hidden="false" customHeight="false" outlineLevel="0" collapsed="false">
      <c r="A306" s="7" t="n">
        <v>304</v>
      </c>
      <c r="B306" s="0" t="s">
        <v>323</v>
      </c>
      <c r="C306" s="8" t="n">
        <v>45327</v>
      </c>
      <c r="D306" s="6" t="n">
        <v>0</v>
      </c>
      <c r="E306" s="0" t="s">
        <v>16</v>
      </c>
      <c r="F306" s="0" t="s">
        <v>17</v>
      </c>
      <c r="G306" s="9" t="str">
        <f aca="false">IF(OR(N306="ERRO",Q306="ERRO",T306="ERRO",W306="ERRO",Z306="ERRO",AC306="ERRO",AF306="ERRO",AI306="ERRO",AL306="ERRO",AO306="ERRO",AR306="ERRO",AU306="ERRO",AX306="ERRO"),"ERRO","OK")</f>
        <v>OK</v>
      </c>
      <c r="H306" s="9" t="n">
        <f aca="false">COUNTIF(L306:AX306,"ERRO")</f>
        <v>0</v>
      </c>
      <c r="I306" s="9" t="s">
        <v>18</v>
      </c>
      <c r="J306" s="10" t="n">
        <v>1884</v>
      </c>
      <c r="K306" s="10" t="n">
        <v>1954</v>
      </c>
      <c r="L306" s="6" t="n">
        <f aca="false">(10-(LEN(M306)))+1</f>
        <v>8</v>
      </c>
      <c r="M306" s="6" t="n">
        <v>139</v>
      </c>
      <c r="N306" s="6" t="str">
        <f aca="false">IF($J306="NA","NA",IF(AND($J306&gt;2019,M306&gt;0),"ERRO","OK"))</f>
        <v>OK</v>
      </c>
      <c r="O306" s="6" t="n">
        <f aca="false">(10-(LEN(P306)))+1</f>
        <v>10</v>
      </c>
      <c r="P306" s="6" t="n">
        <v>0</v>
      </c>
      <c r="Q306" s="6" t="str">
        <f aca="false">IF($J306="NA","NA",IF(AND($J306&gt;2009,P306&gt;0),"ERRO","OK"))</f>
        <v>OK</v>
      </c>
      <c r="R306" s="6" t="n">
        <f aca="false">(10-(LEN(S306)))+1</f>
        <v>8</v>
      </c>
      <c r="S306" s="6" t="n">
        <v>232</v>
      </c>
      <c r="T306" s="6" t="str">
        <f aca="false">IF($J306="NA","NA",IF(AND($J306&gt;1999,S306&gt;0),"ERRO","OK"))</f>
        <v>OK</v>
      </c>
      <c r="U306" s="6" t="n">
        <f aca="false">(10-(LEN(V306)))+1</f>
        <v>8</v>
      </c>
      <c r="V306" s="6" t="n">
        <v>459</v>
      </c>
      <c r="W306" s="6" t="str">
        <f aca="false">IF($J306="NA","NA",IF(AND($J306&gt;1989,V306&gt;0),"ERRO","OK"))</f>
        <v>OK</v>
      </c>
      <c r="X306" s="6" t="n">
        <f aca="false">(10-(LEN(Y306)))+1</f>
        <v>8</v>
      </c>
      <c r="Y306" s="6" t="n">
        <v>830</v>
      </c>
      <c r="Z306" s="6" t="str">
        <f aca="false">IF($J306="NA","NA",IF(AND($J306&gt;1979,Y306&gt;0),"ERRO","OK"))</f>
        <v>OK</v>
      </c>
      <c r="AA306" s="6" t="n">
        <f aca="false">(10-(LEN(AB306)))+1</f>
        <v>8</v>
      </c>
      <c r="AB306" s="6" t="n">
        <v>324</v>
      </c>
      <c r="AC306" s="6" t="str">
        <f aca="false">IF($J306="NA","NA",IF(AND($J306&gt;1969,AB306&gt;0),"ERRO","OK"))</f>
        <v>OK</v>
      </c>
      <c r="AD306" s="6" t="n">
        <f aca="false">(10-(LEN(AE306)))+1</f>
        <v>8</v>
      </c>
      <c r="AE306" s="6" t="n">
        <v>497</v>
      </c>
      <c r="AF306" s="6" t="str">
        <f aca="false">IF($J306="NA","NA",IF(AND($J306&gt;1959,AE306&gt;0),"ERRO","OK"))</f>
        <v>OK</v>
      </c>
      <c r="AG306" s="6" t="n">
        <f aca="false">(10-(LEN(AH306)))+1</f>
        <v>8</v>
      </c>
      <c r="AH306" s="6" t="n">
        <v>244</v>
      </c>
      <c r="AI306" s="6" t="str">
        <f aca="false">IF($J306="NA","NA",IF(AND($J306&gt;1949,AH306&gt;0),"ERRO","OK"))</f>
        <v>OK</v>
      </c>
      <c r="AJ306" s="6" t="n">
        <f aca="false">(10-(LEN(AK306)))+1</f>
        <v>10</v>
      </c>
      <c r="AK306" s="6" t="n">
        <v>0</v>
      </c>
      <c r="AL306" s="6" t="str">
        <f aca="false">IF($J306="NA","NA",IF(AND($J306&gt;1939,AK306&gt;0),"ERRO","OK"))</f>
        <v>OK</v>
      </c>
      <c r="AM306" s="6" t="n">
        <f aca="false">(10-(LEN(AN306)))+1</f>
        <v>10</v>
      </c>
      <c r="AN306" s="6" t="n">
        <v>0</v>
      </c>
      <c r="AO306" s="6" t="str">
        <f aca="false">IF($J306="NA","NA",IF(AND($J306&gt;1929,AN306&gt;0),"ERRO","OK"))</f>
        <v>OK</v>
      </c>
      <c r="AP306" s="6" t="n">
        <f aca="false">(10-(LEN(AQ306)))+1</f>
        <v>8</v>
      </c>
      <c r="AQ306" s="6" t="n">
        <v>111</v>
      </c>
      <c r="AR306" s="6" t="str">
        <f aca="false">IF($J306="NA","NA",IF(AND($J306&gt;1919,AQ306&gt;0),"ERRO","OK"))</f>
        <v>OK</v>
      </c>
      <c r="AS306" s="6" t="n">
        <f aca="false">(10-(LEN(AT306)))+1</f>
        <v>10</v>
      </c>
      <c r="AT306" s="6" t="n">
        <v>0</v>
      </c>
      <c r="AU306" s="6" t="str">
        <f aca="false">IF($J306="NA","NA",IF(AND($J306&gt;1909,AT306&gt;0),"ERRO","OK"))</f>
        <v>OK</v>
      </c>
      <c r="AV306" s="6" t="n">
        <f aca="false">(10-(LEN(AW306)))+1</f>
        <v>10</v>
      </c>
      <c r="AW306" s="6" t="n">
        <v>0</v>
      </c>
      <c r="AX306" s="6" t="str">
        <f aca="false">IF($J306="NA","NA",IF(AND($J306&gt;1899,AW306&gt;0),"ERRO","OK"))</f>
        <v>OK</v>
      </c>
    </row>
    <row r="307" customFormat="false" ht="15" hidden="false" customHeight="false" outlineLevel="0" collapsed="false">
      <c r="A307" s="7" t="n">
        <v>305</v>
      </c>
      <c r="B307" s="0" t="s">
        <v>324</v>
      </c>
      <c r="C307" s="8" t="n">
        <v>45327</v>
      </c>
      <c r="D307" s="6" t="n">
        <v>0</v>
      </c>
      <c r="E307" s="0" t="s">
        <v>16</v>
      </c>
      <c r="F307" s="0" t="s">
        <v>17</v>
      </c>
      <c r="G307" s="9" t="str">
        <f aca="false">IF(OR(N307="ERRO",Q307="ERRO",T307="ERRO",W307="ERRO",Z307="ERRO",AC307="ERRO",AF307="ERRO",AI307="ERRO",AL307="ERRO",AO307="ERRO",AR307="ERRO",AU307="ERRO",AX307="ERRO"),"ERRO","OK")</f>
        <v>OK</v>
      </c>
      <c r="H307" s="9" t="n">
        <f aca="false">COUNTIF(L307:AX307,"ERRO")</f>
        <v>0</v>
      </c>
      <c r="I307" s="9" t="s">
        <v>18</v>
      </c>
      <c r="J307" s="10" t="n">
        <v>1921</v>
      </c>
      <c r="K307" s="10" t="n">
        <v>2016</v>
      </c>
      <c r="L307" s="6" t="n">
        <f aca="false">(10-(LEN(M307)))+1</f>
        <v>10</v>
      </c>
      <c r="M307" s="6" t="n">
        <v>0</v>
      </c>
      <c r="N307" s="6" t="str">
        <f aca="false">IF($J307="NA","NA",IF(AND($J307&gt;2019,M307&gt;0),"ERRO","OK"))</f>
        <v>OK</v>
      </c>
      <c r="O307" s="6" t="n">
        <f aca="false">(10-(LEN(P307)))+1</f>
        <v>10</v>
      </c>
      <c r="P307" s="6" t="n">
        <v>0</v>
      </c>
      <c r="Q307" s="6" t="str">
        <f aca="false">IF($J307="NA","NA",IF(AND($J307&gt;2009,P307&gt;0),"ERRO","OK"))</f>
        <v>OK</v>
      </c>
      <c r="R307" s="6" t="n">
        <f aca="false">(10-(LEN(S307)))+1</f>
        <v>10</v>
      </c>
      <c r="S307" s="6" t="n">
        <v>0</v>
      </c>
      <c r="T307" s="6" t="str">
        <f aca="false">IF($J307="NA","NA",IF(AND($J307&gt;1999,S307&gt;0),"ERRO","OK"))</f>
        <v>OK</v>
      </c>
      <c r="U307" s="6" t="n">
        <f aca="false">(10-(LEN(V307)))+1</f>
        <v>10</v>
      </c>
      <c r="V307" s="6" t="n">
        <v>0</v>
      </c>
      <c r="W307" s="6" t="str">
        <f aca="false">IF($J307="NA","NA",IF(AND($J307&gt;1989,V307&gt;0),"ERRO","OK"))</f>
        <v>OK</v>
      </c>
      <c r="X307" s="6" t="n">
        <f aca="false">(10-(LEN(Y307)))+1</f>
        <v>10</v>
      </c>
      <c r="Y307" s="6" t="n">
        <v>0</v>
      </c>
      <c r="Z307" s="6" t="str">
        <f aca="false">IF($J307="NA","NA",IF(AND($J307&gt;1979,Y307&gt;0),"ERRO","OK"))</f>
        <v>OK</v>
      </c>
      <c r="AA307" s="6" t="n">
        <f aca="false">(10-(LEN(AB307)))+1</f>
        <v>10</v>
      </c>
      <c r="AB307" s="6" t="n">
        <v>0</v>
      </c>
      <c r="AC307" s="6" t="str">
        <f aca="false">IF($J307="NA","NA",IF(AND($J307&gt;1969,AB307&gt;0),"ERRO","OK"))</f>
        <v>OK</v>
      </c>
      <c r="AD307" s="6" t="n">
        <f aca="false">(10-(LEN(AE307)))+1</f>
        <v>10</v>
      </c>
      <c r="AE307" s="6" t="n">
        <v>0</v>
      </c>
      <c r="AF307" s="6" t="str">
        <f aca="false">IF($J307="NA","NA",IF(AND($J307&gt;1959,AE307&gt;0),"ERRO","OK"))</f>
        <v>OK</v>
      </c>
      <c r="AG307" s="6" t="n">
        <f aca="false">(10-(LEN(AH307)))+1</f>
        <v>10</v>
      </c>
      <c r="AH307" s="6" t="n">
        <v>0</v>
      </c>
      <c r="AI307" s="6" t="str">
        <f aca="false">IF($J307="NA","NA",IF(AND($J307&gt;1949,AH307&gt;0),"ERRO","OK"))</f>
        <v>OK</v>
      </c>
      <c r="AJ307" s="6" t="n">
        <f aca="false">(10-(LEN(AK307)))+1</f>
        <v>10</v>
      </c>
      <c r="AK307" s="6" t="n">
        <v>0</v>
      </c>
      <c r="AL307" s="6" t="str">
        <f aca="false">IF($J307="NA","NA",IF(AND($J307&gt;1939,AK307&gt;0),"ERRO","OK"))</f>
        <v>OK</v>
      </c>
      <c r="AM307" s="6" t="n">
        <f aca="false">(10-(LEN(AN307)))+1</f>
        <v>10</v>
      </c>
      <c r="AN307" s="6" t="n">
        <v>0</v>
      </c>
      <c r="AO307" s="6" t="str">
        <f aca="false">IF($J307="NA","NA",IF(AND($J307&gt;1929,AN307&gt;0),"ERRO","OK"))</f>
        <v>OK</v>
      </c>
      <c r="AP307" s="6" t="n">
        <f aca="false">(10-(LEN(AQ307)))+1</f>
        <v>10</v>
      </c>
      <c r="AQ307" s="6" t="n">
        <v>0</v>
      </c>
      <c r="AR307" s="6" t="str">
        <f aca="false">IF($J307="NA","NA",IF(AND($J307&gt;1919,AQ307&gt;0),"ERRO","OK"))</f>
        <v>OK</v>
      </c>
      <c r="AS307" s="6" t="n">
        <f aca="false">(10-(LEN(AT307)))+1</f>
        <v>10</v>
      </c>
      <c r="AT307" s="6" t="n">
        <v>0</v>
      </c>
      <c r="AU307" s="6" t="str">
        <f aca="false">IF($J307="NA","NA",IF(AND($J307&gt;1909,AT307&gt;0),"ERRO","OK"))</f>
        <v>OK</v>
      </c>
      <c r="AV307" s="6" t="n">
        <f aca="false">(10-(LEN(AW307)))+1</f>
        <v>10</v>
      </c>
      <c r="AW307" s="6" t="n">
        <v>0</v>
      </c>
      <c r="AX307" s="6" t="str">
        <f aca="false">IF($J307="NA","NA",IF(AND($J307&gt;1899,AW307&gt;0),"ERRO","OK"))</f>
        <v>OK</v>
      </c>
    </row>
    <row r="308" customFormat="false" ht="15" hidden="false" customHeight="false" outlineLevel="0" collapsed="false">
      <c r="A308" s="7" t="n">
        <v>306</v>
      </c>
      <c r="B308" s="0" t="s">
        <v>325</v>
      </c>
      <c r="C308" s="8" t="n">
        <v>45329</v>
      </c>
      <c r="D308" s="6" t="n">
        <v>0</v>
      </c>
      <c r="E308" s="0" t="s">
        <v>16</v>
      </c>
      <c r="F308" s="0" t="s">
        <v>17</v>
      </c>
      <c r="G308" s="9" t="str">
        <f aca="false">IF(OR(N308="ERRO",Q308="ERRO",T308="ERRO",W308="ERRO",Z308="ERRO",AC308="ERRO",AF308="ERRO",AI308="ERRO",AL308="ERRO",AO308="ERRO",AR308="ERRO",AU308="ERRO",AX308="ERRO"),"ERRO","OK")</f>
        <v>OK</v>
      </c>
      <c r="H308" s="9" t="n">
        <f aca="false">COUNTIF(L308:AX308,"ERRO")</f>
        <v>0</v>
      </c>
      <c r="I308" s="9" t="s">
        <v>18</v>
      </c>
      <c r="J308" s="10" t="n">
        <v>1903</v>
      </c>
      <c r="K308" s="10" t="n">
        <v>1977</v>
      </c>
      <c r="L308" s="6" t="n">
        <f aca="false">(10-(LEN(M308)))+1</f>
        <v>8</v>
      </c>
      <c r="M308" s="6" t="n">
        <v>167</v>
      </c>
      <c r="N308" s="6" t="str">
        <f aca="false">IF($J308="NA","NA",IF(AND($J308&gt;2019,M308&gt;0),"ERRO","OK"))</f>
        <v>OK</v>
      </c>
      <c r="O308" s="6" t="n">
        <f aca="false">(10-(LEN(P308)))+1</f>
        <v>7</v>
      </c>
      <c r="P308" s="6" t="n">
        <v>1132</v>
      </c>
      <c r="Q308" s="6" t="str">
        <f aca="false">IF($J308="NA","NA",IF(AND($J308&gt;2009,P308&gt;0),"ERRO","OK"))</f>
        <v>OK</v>
      </c>
      <c r="R308" s="6" t="n">
        <f aca="false">(10-(LEN(S308)))+1</f>
        <v>8</v>
      </c>
      <c r="S308" s="6" t="n">
        <v>840</v>
      </c>
      <c r="T308" s="6" t="str">
        <f aca="false">IF($J308="NA","NA",IF(AND($J308&gt;1999,S308&gt;0),"ERRO","OK"))</f>
        <v>OK</v>
      </c>
      <c r="U308" s="6" t="n">
        <f aca="false">(10-(LEN(V308)))+1</f>
        <v>7</v>
      </c>
      <c r="V308" s="6" t="n">
        <v>1886</v>
      </c>
      <c r="W308" s="6" t="str">
        <f aca="false">IF($J308="NA","NA",IF(AND($J308&gt;1989,V308&gt;0),"ERRO","OK"))</f>
        <v>OK</v>
      </c>
      <c r="X308" s="6" t="n">
        <f aca="false">(10-(LEN(Y308)))+1</f>
        <v>7</v>
      </c>
      <c r="Y308" s="6" t="n">
        <v>1659</v>
      </c>
      <c r="Z308" s="6" t="str">
        <f aca="false">IF($J308="NA","NA",IF(AND($J308&gt;1979,Y308&gt;0),"ERRO","OK"))</f>
        <v>OK</v>
      </c>
      <c r="AA308" s="6" t="n">
        <f aca="false">(10-(LEN(AB308)))+1</f>
        <v>8</v>
      </c>
      <c r="AB308" s="6" t="n">
        <v>703</v>
      </c>
      <c r="AC308" s="6" t="str">
        <f aca="false">IF($J308="NA","NA",IF(AND($J308&gt;1969,AB308&gt;0),"ERRO","OK"))</f>
        <v>OK</v>
      </c>
      <c r="AD308" s="6" t="n">
        <f aca="false">(10-(LEN(AE308)))+1</f>
        <v>7</v>
      </c>
      <c r="AE308" s="6" t="n">
        <v>3050</v>
      </c>
      <c r="AF308" s="6" t="str">
        <f aca="false">IF($J308="NA","NA",IF(AND($J308&gt;1959,AE308&gt;0),"ERRO","OK"))</f>
        <v>OK</v>
      </c>
      <c r="AG308" s="6" t="n">
        <f aca="false">(10-(LEN(AH308)))+1</f>
        <v>7</v>
      </c>
      <c r="AH308" s="6" t="n">
        <v>8370</v>
      </c>
      <c r="AI308" s="6" t="str">
        <f aca="false">IF($J308="NA","NA",IF(AND($J308&gt;1949,AH308&gt;0),"ERRO","OK"))</f>
        <v>OK</v>
      </c>
      <c r="AJ308" s="6" t="n">
        <f aca="false">(10-(LEN(AK308)))+1</f>
        <v>10</v>
      </c>
      <c r="AK308" s="6" t="n">
        <v>0</v>
      </c>
      <c r="AL308" s="6" t="str">
        <f aca="false">IF($J308="NA","NA",IF(AND($J308&gt;1939,AK308&gt;0),"ERRO","OK"))</f>
        <v>OK</v>
      </c>
      <c r="AM308" s="6" t="n">
        <f aca="false">(10-(LEN(AN308)))+1</f>
        <v>10</v>
      </c>
      <c r="AN308" s="6" t="n">
        <v>0</v>
      </c>
      <c r="AO308" s="6" t="str">
        <f aca="false">IF($J308="NA","NA",IF(AND($J308&gt;1929,AN308&gt;0),"ERRO","OK"))</f>
        <v>OK</v>
      </c>
      <c r="AP308" s="6" t="n">
        <f aca="false">(10-(LEN(AQ308)))+1</f>
        <v>10</v>
      </c>
      <c r="AQ308" s="6" t="n">
        <v>0</v>
      </c>
      <c r="AR308" s="6" t="str">
        <f aca="false">IF($J308="NA","NA",IF(AND($J308&gt;1919,AQ308&gt;0),"ERRO","OK"))</f>
        <v>OK</v>
      </c>
      <c r="AS308" s="6" t="n">
        <f aca="false">(10-(LEN(AT308)))+1</f>
        <v>10</v>
      </c>
      <c r="AT308" s="6" t="n">
        <v>0</v>
      </c>
      <c r="AU308" s="6" t="str">
        <f aca="false">IF($J308="NA","NA",IF(AND($J308&gt;1909,AT308&gt;0),"ERRO","OK"))</f>
        <v>OK</v>
      </c>
      <c r="AV308" s="6" t="n">
        <f aca="false">(10-(LEN(AW308)))+1</f>
        <v>10</v>
      </c>
      <c r="AW308" s="6" t="n">
        <v>0</v>
      </c>
      <c r="AX308" s="6" t="str">
        <f aca="false">IF($J308="NA","NA",IF(AND($J308&gt;1899,AW308&gt;0),"ERRO","OK"))</f>
        <v>OK</v>
      </c>
    </row>
    <row r="309" customFormat="false" ht="15" hidden="false" customHeight="false" outlineLevel="0" collapsed="false">
      <c r="A309" s="7" t="n">
        <v>307</v>
      </c>
      <c r="B309" s="0" t="s">
        <v>326</v>
      </c>
      <c r="C309" s="8" t="n">
        <v>45329</v>
      </c>
      <c r="D309" s="6" t="n">
        <v>0</v>
      </c>
      <c r="E309" s="0" t="s">
        <v>16</v>
      </c>
      <c r="F309" s="0" t="s">
        <v>17</v>
      </c>
      <c r="G309" s="9" t="str">
        <f aca="false">IF(OR(N309="ERRO",Q309="ERRO",T309="ERRO",W309="ERRO",Z309="ERRO",AC309="ERRO",AF309="ERRO",AI309="ERRO",AL309="ERRO",AO309="ERRO",AR309="ERRO",AU309="ERRO",AX309="ERRO"),"ERRO","OK")</f>
        <v>OK</v>
      </c>
      <c r="H309" s="9" t="n">
        <f aca="false">COUNTIF(L309:AX309,"ERRO")</f>
        <v>0</v>
      </c>
      <c r="I309" s="9" t="s">
        <v>18</v>
      </c>
      <c r="J309" s="10" t="n">
        <v>1898</v>
      </c>
      <c r="K309" s="10" t="n">
        <v>1976</v>
      </c>
      <c r="L309" s="6" t="n">
        <f aca="false">(10-(LEN(M309)))+1</f>
        <v>6</v>
      </c>
      <c r="M309" s="6" t="n">
        <v>24320</v>
      </c>
      <c r="N309" s="6" t="str">
        <f aca="false">IF($J309="NA","NA",IF(AND($J309&gt;2019,M309&gt;0),"ERRO","OK"))</f>
        <v>OK</v>
      </c>
      <c r="O309" s="6" t="n">
        <f aca="false">(10-(LEN(P309)))+1</f>
        <v>6</v>
      </c>
      <c r="P309" s="6" t="n">
        <v>57459</v>
      </c>
      <c r="Q309" s="6" t="str">
        <f aca="false">IF($J309="NA","NA",IF(AND($J309&gt;2009,P309&gt;0),"ERRO","OK"))</f>
        <v>OK</v>
      </c>
      <c r="R309" s="6" t="n">
        <f aca="false">(10-(LEN(S309)))+1</f>
        <v>6</v>
      </c>
      <c r="S309" s="6" t="n">
        <v>63570</v>
      </c>
      <c r="T309" s="6" t="str">
        <f aca="false">IF($J309="NA","NA",IF(AND($J309&gt;1999,S309&gt;0),"ERRO","OK"))</f>
        <v>OK</v>
      </c>
      <c r="U309" s="6" t="n">
        <f aca="false">(10-(LEN(V309)))+1</f>
        <v>6</v>
      </c>
      <c r="V309" s="6" t="n">
        <v>68758</v>
      </c>
      <c r="W309" s="6" t="str">
        <f aca="false">IF($J309="NA","NA",IF(AND($J309&gt;1989,V309&gt;0),"ERRO","OK"))</f>
        <v>OK</v>
      </c>
      <c r="X309" s="6" t="n">
        <f aca="false">(10-(LEN(Y309)))+1</f>
        <v>6</v>
      </c>
      <c r="Y309" s="6" t="n">
        <v>62071</v>
      </c>
      <c r="Z309" s="6" t="str">
        <f aca="false">IF($J309="NA","NA",IF(AND($J309&gt;1979,Y309&gt;0),"ERRO","OK"))</f>
        <v>OK</v>
      </c>
      <c r="AA309" s="6" t="n">
        <f aca="false">(10-(LEN(AB309)))+1</f>
        <v>6</v>
      </c>
      <c r="AB309" s="6" t="n">
        <v>50921</v>
      </c>
      <c r="AC309" s="6" t="str">
        <f aca="false">IF($J309="NA","NA",IF(AND($J309&gt;1969,AB309&gt;0),"ERRO","OK"))</f>
        <v>OK</v>
      </c>
      <c r="AD309" s="6" t="n">
        <f aca="false">(10-(LEN(AE309)))+1</f>
        <v>6</v>
      </c>
      <c r="AE309" s="6" t="n">
        <v>33280</v>
      </c>
      <c r="AF309" s="6" t="str">
        <f aca="false">IF($J309="NA","NA",IF(AND($J309&gt;1959,AE309&gt;0),"ERRO","OK"))</f>
        <v>OK</v>
      </c>
      <c r="AG309" s="6" t="n">
        <f aca="false">(10-(LEN(AH309)))+1</f>
        <v>6</v>
      </c>
      <c r="AH309" s="6" t="n">
        <v>36345</v>
      </c>
      <c r="AI309" s="6" t="str">
        <f aca="false">IF($J309="NA","NA",IF(AND($J309&gt;1949,AH309&gt;0),"ERRO","OK"))</f>
        <v>OK</v>
      </c>
      <c r="AJ309" s="6" t="n">
        <f aca="false">(10-(LEN(AK309)))+1</f>
        <v>6</v>
      </c>
      <c r="AK309" s="6" t="n">
        <v>45398</v>
      </c>
      <c r="AL309" s="6" t="str">
        <f aca="false">IF($J309="NA","NA",IF(AND($J309&gt;1939,AK309&gt;0),"ERRO","OK"))</f>
        <v>OK</v>
      </c>
      <c r="AM309" s="6" t="n">
        <f aca="false">(10-(LEN(AN309)))+1</f>
        <v>7</v>
      </c>
      <c r="AN309" s="6" t="n">
        <v>7769</v>
      </c>
      <c r="AO309" s="6" t="str">
        <f aca="false">IF($J309="NA","NA",IF(AND($J309&gt;1929,AN309&gt;0),"ERRO","OK"))</f>
        <v>OK</v>
      </c>
      <c r="AP309" s="6" t="n">
        <f aca="false">(10-(LEN(AQ309)))+1</f>
        <v>7</v>
      </c>
      <c r="AQ309" s="6" t="n">
        <v>3104</v>
      </c>
      <c r="AR309" s="6" t="str">
        <f aca="false">IF($J309="NA","NA",IF(AND($J309&gt;1919,AQ309&gt;0),"ERRO","OK"))</f>
        <v>OK</v>
      </c>
      <c r="AS309" s="6" t="n">
        <f aca="false">(10-(LEN(AT309)))+1</f>
        <v>7</v>
      </c>
      <c r="AT309" s="6" t="n">
        <v>1959</v>
      </c>
      <c r="AU309" s="6" t="str">
        <f aca="false">IF($J309="NA","NA",IF(AND($J309&gt;1909,AT309&gt;0),"ERRO","OK"))</f>
        <v>OK</v>
      </c>
      <c r="AV309" s="6" t="n">
        <f aca="false">(10-(LEN(AW309)))+1</f>
        <v>7</v>
      </c>
      <c r="AW309" s="6" t="n">
        <v>2451</v>
      </c>
      <c r="AX309" s="6" t="str">
        <f aca="false">IF($J309="NA","NA",IF(AND($J309&gt;1899,AW309&gt;0),"ERRO","OK"))</f>
        <v>OK</v>
      </c>
    </row>
    <row r="310" customFormat="false" ht="15" hidden="false" customHeight="false" outlineLevel="0" collapsed="false">
      <c r="A310" s="7" t="n">
        <v>308</v>
      </c>
      <c r="B310" s="0" t="s">
        <v>327</v>
      </c>
      <c r="C310" s="8" t="n">
        <v>45329</v>
      </c>
      <c r="D310" s="6" t="n">
        <v>0</v>
      </c>
      <c r="E310" s="0" t="s">
        <v>16</v>
      </c>
      <c r="F310" s="0" t="s">
        <v>17</v>
      </c>
      <c r="G310" s="9" t="str">
        <f aca="false">IF(OR(N310="ERRO",Q310="ERRO",T310="ERRO",W310="ERRO",Z310="ERRO",AC310="ERRO",AF310="ERRO",AI310="ERRO",AL310="ERRO",AO310="ERRO",AR310="ERRO",AU310="ERRO",AX310="ERRO"),"ERRO","OK")</f>
        <v>OK</v>
      </c>
      <c r="H310" s="9" t="n">
        <f aca="false">COUNTIF(L310:AX310,"ERRO")</f>
        <v>0</v>
      </c>
      <c r="I310" s="9" t="s">
        <v>18</v>
      </c>
      <c r="J310" s="10" t="s">
        <v>22</v>
      </c>
      <c r="K310" s="10" t="s">
        <v>22</v>
      </c>
      <c r="L310" s="6" t="n">
        <f aca="false">(10-(LEN(M310)))+1</f>
        <v>10</v>
      </c>
      <c r="M310" s="6" t="n">
        <v>0</v>
      </c>
      <c r="N310" s="6" t="str">
        <f aca="false">IF($J310="NA","NA",IF(AND($J310&gt;2019,M310&gt;0),"ERRO","OK"))</f>
        <v>NA</v>
      </c>
      <c r="O310" s="6" t="n">
        <f aca="false">(10-(LEN(P310)))+1</f>
        <v>10</v>
      </c>
      <c r="P310" s="6" t="n">
        <v>0</v>
      </c>
      <c r="Q310" s="6" t="str">
        <f aca="false">IF($J310="NA","NA",IF(AND($J310&gt;2009,P310&gt;0),"ERRO","OK"))</f>
        <v>NA</v>
      </c>
      <c r="R310" s="6" t="n">
        <f aca="false">(10-(LEN(S310)))+1</f>
        <v>10</v>
      </c>
      <c r="S310" s="6" t="n">
        <v>0</v>
      </c>
      <c r="T310" s="6" t="str">
        <f aca="false">IF($J310="NA","NA",IF(AND($J310&gt;1999,S310&gt;0),"ERRO","OK"))</f>
        <v>NA</v>
      </c>
      <c r="U310" s="6" t="n">
        <f aca="false">(10-(LEN(V310)))+1</f>
        <v>10</v>
      </c>
      <c r="V310" s="6" t="n">
        <v>0</v>
      </c>
      <c r="W310" s="6" t="str">
        <f aca="false">IF($J310="NA","NA",IF(AND($J310&gt;1989,V310&gt;0),"ERRO","OK"))</f>
        <v>NA</v>
      </c>
      <c r="X310" s="6" t="n">
        <f aca="false">(10-(LEN(Y310)))+1</f>
        <v>10</v>
      </c>
      <c r="Y310" s="6" t="n">
        <v>0</v>
      </c>
      <c r="Z310" s="6" t="str">
        <f aca="false">IF($J310="NA","NA",IF(AND($J310&gt;1979,Y310&gt;0),"ERRO","OK"))</f>
        <v>NA</v>
      </c>
      <c r="AA310" s="6" t="n">
        <f aca="false">(10-(LEN(AB310)))+1</f>
        <v>10</v>
      </c>
      <c r="AB310" s="6" t="n">
        <v>0</v>
      </c>
      <c r="AC310" s="6" t="str">
        <f aca="false">IF($J310="NA","NA",IF(AND($J310&gt;1969,AB310&gt;0),"ERRO","OK"))</f>
        <v>NA</v>
      </c>
      <c r="AD310" s="6" t="n">
        <f aca="false">(10-(LEN(AE310)))+1</f>
        <v>10</v>
      </c>
      <c r="AE310" s="6" t="n">
        <v>0</v>
      </c>
      <c r="AF310" s="6" t="str">
        <f aca="false">IF($J310="NA","NA",IF(AND($J310&gt;1959,AE310&gt;0),"ERRO","OK"))</f>
        <v>NA</v>
      </c>
      <c r="AG310" s="6" t="n">
        <f aca="false">(10-(LEN(AH310)))+1</f>
        <v>10</v>
      </c>
      <c r="AH310" s="6" t="n">
        <v>0</v>
      </c>
      <c r="AI310" s="6" t="str">
        <f aca="false">IF($J310="NA","NA",IF(AND($J310&gt;1949,AH310&gt;0),"ERRO","OK"))</f>
        <v>NA</v>
      </c>
      <c r="AJ310" s="6" t="n">
        <f aca="false">(10-(LEN(AK310)))+1</f>
        <v>10</v>
      </c>
      <c r="AK310" s="6" t="n">
        <v>0</v>
      </c>
      <c r="AL310" s="6" t="str">
        <f aca="false">IF($J310="NA","NA",IF(AND($J310&gt;1939,AK310&gt;0),"ERRO","OK"))</f>
        <v>NA</v>
      </c>
      <c r="AM310" s="6" t="n">
        <f aca="false">(10-(LEN(AN310)))+1</f>
        <v>10</v>
      </c>
      <c r="AN310" s="6" t="n">
        <v>0</v>
      </c>
      <c r="AO310" s="6" t="str">
        <f aca="false">IF($J310="NA","NA",IF(AND($J310&gt;1929,AN310&gt;0),"ERRO","OK"))</f>
        <v>NA</v>
      </c>
      <c r="AP310" s="6" t="n">
        <f aca="false">(10-(LEN(AQ310)))+1</f>
        <v>10</v>
      </c>
      <c r="AQ310" s="6" t="n">
        <v>0</v>
      </c>
      <c r="AR310" s="6" t="str">
        <f aca="false">IF($J310="NA","NA",IF(AND($J310&gt;1919,AQ310&gt;0),"ERRO","OK"))</f>
        <v>NA</v>
      </c>
      <c r="AS310" s="6" t="n">
        <f aca="false">(10-(LEN(AT310)))+1</f>
        <v>10</v>
      </c>
      <c r="AT310" s="6" t="n">
        <v>0</v>
      </c>
      <c r="AU310" s="6" t="str">
        <f aca="false">IF($J310="NA","NA",IF(AND($J310&gt;1909,AT310&gt;0),"ERRO","OK"))</f>
        <v>NA</v>
      </c>
      <c r="AV310" s="6" t="n">
        <f aca="false">(10-(LEN(AW310)))+1</f>
        <v>10</v>
      </c>
      <c r="AW310" s="6" t="n">
        <v>0</v>
      </c>
      <c r="AX310" s="6" t="str">
        <f aca="false">IF($J310="NA","NA",IF(AND($J310&gt;1899,AW310&gt;0),"ERRO","OK"))</f>
        <v>NA</v>
      </c>
    </row>
    <row r="311" customFormat="false" ht="15" hidden="false" customHeight="false" outlineLevel="0" collapsed="false">
      <c r="A311" s="7" t="n">
        <v>309</v>
      </c>
      <c r="B311" s="0" t="s">
        <v>328</v>
      </c>
      <c r="C311" s="8" t="n">
        <v>45329</v>
      </c>
      <c r="D311" s="6" t="n">
        <v>0</v>
      </c>
      <c r="E311" s="0" t="s">
        <v>16</v>
      </c>
      <c r="F311" s="0" t="s">
        <v>17</v>
      </c>
      <c r="G311" s="9" t="str">
        <f aca="false">IF(OR(N311="ERRO",Q311="ERRO",T311="ERRO",W311="ERRO",Z311="ERRO",AC311="ERRO",AF311="ERRO",AI311="ERRO",AL311="ERRO",AO311="ERRO",AR311="ERRO",AU311="ERRO",AX311="ERRO"),"ERRO","OK")</f>
        <v>OK</v>
      </c>
      <c r="H311" s="9" t="n">
        <f aca="false">COUNTIF(L311:AX311,"ERRO")</f>
        <v>0</v>
      </c>
      <c r="I311" s="9" t="s">
        <v>18</v>
      </c>
      <c r="J311" s="10" t="n">
        <v>1893</v>
      </c>
      <c r="K311" s="10" t="n">
        <v>1981</v>
      </c>
      <c r="L311" s="6" t="n">
        <f aca="false">(10-(LEN(M311)))+1</f>
        <v>10</v>
      </c>
      <c r="M311" s="6" t="n">
        <v>0</v>
      </c>
      <c r="N311" s="6" t="str">
        <f aca="false">IF($J311="NA","NA",IF(AND($J311&gt;2019,M311&gt;0),"ERRO","OK"))</f>
        <v>OK</v>
      </c>
      <c r="O311" s="6" t="n">
        <f aca="false">(10-(LEN(P311)))+1</f>
        <v>8</v>
      </c>
      <c r="P311" s="6" t="n">
        <v>617</v>
      </c>
      <c r="Q311" s="6" t="str">
        <f aca="false">IF($J311="NA","NA",IF(AND($J311&gt;2009,P311&gt;0),"ERRO","OK"))</f>
        <v>OK</v>
      </c>
      <c r="R311" s="6" t="n">
        <f aca="false">(10-(LEN(S311)))+1</f>
        <v>10</v>
      </c>
      <c r="S311" s="6" t="n">
        <v>0</v>
      </c>
      <c r="T311" s="6" t="str">
        <f aca="false">IF($J311="NA","NA",IF(AND($J311&gt;1999,S311&gt;0),"ERRO","OK"))</f>
        <v>OK</v>
      </c>
      <c r="U311" s="6" t="n">
        <f aca="false">(10-(LEN(V311)))+1</f>
        <v>9</v>
      </c>
      <c r="V311" s="6" t="n">
        <v>46</v>
      </c>
      <c r="W311" s="6" t="str">
        <f aca="false">IF($J311="NA","NA",IF(AND($J311&gt;1989,V311&gt;0),"ERRO","OK"))</f>
        <v>OK</v>
      </c>
      <c r="X311" s="6" t="n">
        <f aca="false">(10-(LEN(Y311)))+1</f>
        <v>9</v>
      </c>
      <c r="Y311" s="6" t="n">
        <v>54</v>
      </c>
      <c r="Z311" s="6" t="str">
        <f aca="false">IF($J311="NA","NA",IF(AND($J311&gt;1979,Y311&gt;0),"ERRO","OK"))</f>
        <v>OK</v>
      </c>
      <c r="AA311" s="6" t="n">
        <f aca="false">(10-(LEN(AB311)))+1</f>
        <v>8</v>
      </c>
      <c r="AB311" s="6" t="n">
        <v>117</v>
      </c>
      <c r="AC311" s="6" t="str">
        <f aca="false">IF($J311="NA","NA",IF(AND($J311&gt;1969,AB311&gt;0),"ERRO","OK"))</f>
        <v>OK</v>
      </c>
      <c r="AD311" s="6" t="n">
        <f aca="false">(10-(LEN(AE311)))+1</f>
        <v>10</v>
      </c>
      <c r="AE311" s="6" t="n">
        <v>0</v>
      </c>
      <c r="AF311" s="6" t="str">
        <f aca="false">IF($J311="NA","NA",IF(AND($J311&gt;1959,AE311&gt;0),"ERRO","OK"))</f>
        <v>OK</v>
      </c>
      <c r="AG311" s="6" t="n">
        <f aca="false">(10-(LEN(AH311)))+1</f>
        <v>8</v>
      </c>
      <c r="AH311" s="6" t="n">
        <v>330</v>
      </c>
      <c r="AI311" s="6" t="str">
        <f aca="false">IF($J311="NA","NA",IF(AND($J311&gt;1949,AH311&gt;0),"ERRO","OK"))</f>
        <v>OK</v>
      </c>
      <c r="AJ311" s="6" t="n">
        <f aca="false">(10-(LEN(AK311)))+1</f>
        <v>8</v>
      </c>
      <c r="AK311" s="6" t="n">
        <v>279</v>
      </c>
      <c r="AL311" s="6" t="str">
        <f aca="false">IF($J311="NA","NA",IF(AND($J311&gt;1939,AK311&gt;0),"ERRO","OK"))</f>
        <v>OK</v>
      </c>
      <c r="AM311" s="6" t="n">
        <f aca="false">(10-(LEN(AN311)))+1</f>
        <v>7</v>
      </c>
      <c r="AN311" s="6" t="n">
        <v>2742</v>
      </c>
      <c r="AO311" s="6" t="str">
        <f aca="false">IF($J311="NA","NA",IF(AND($J311&gt;1929,AN311&gt;0),"ERRO","OK"))</f>
        <v>OK</v>
      </c>
      <c r="AP311" s="6" t="n">
        <f aca="false">(10-(LEN(AQ311)))+1</f>
        <v>10</v>
      </c>
      <c r="AQ311" s="6" t="n">
        <v>0</v>
      </c>
      <c r="AR311" s="6" t="str">
        <f aca="false">IF($J311="NA","NA",IF(AND($J311&gt;1919,AQ311&gt;0),"ERRO","OK"))</f>
        <v>OK</v>
      </c>
      <c r="AS311" s="6" t="n">
        <f aca="false">(10-(LEN(AT311)))+1</f>
        <v>10</v>
      </c>
      <c r="AT311" s="6" t="n">
        <v>0</v>
      </c>
      <c r="AU311" s="6" t="str">
        <f aca="false">IF($J311="NA","NA",IF(AND($J311&gt;1909,AT311&gt;0),"ERRO","OK"))</f>
        <v>OK</v>
      </c>
      <c r="AV311" s="6" t="n">
        <f aca="false">(10-(LEN(AW311)))+1</f>
        <v>10</v>
      </c>
      <c r="AW311" s="6" t="n">
        <v>0</v>
      </c>
      <c r="AX311" s="6" t="str">
        <f aca="false">IF($J311="NA","NA",IF(AND($J311&gt;1899,AW311&gt;0),"ERRO","OK"))</f>
        <v>OK</v>
      </c>
    </row>
    <row r="312" customFormat="false" ht="15" hidden="false" customHeight="false" outlineLevel="0" collapsed="false">
      <c r="A312" s="7" t="n">
        <v>310</v>
      </c>
      <c r="B312" s="0" t="s">
        <v>329</v>
      </c>
      <c r="C312" s="8" t="n">
        <v>45329</v>
      </c>
      <c r="D312" s="6" t="n">
        <v>0</v>
      </c>
      <c r="E312" s="0" t="s">
        <v>16</v>
      </c>
      <c r="F312" s="0" t="s">
        <v>17</v>
      </c>
      <c r="G312" s="9" t="str">
        <f aca="false">IF(OR(N312="ERRO",Q312="ERRO",T312="ERRO",W312="ERRO",Z312="ERRO",AC312="ERRO",AF312="ERRO",AI312="ERRO",AL312="ERRO",AO312="ERRO",AR312="ERRO",AU312="ERRO",AX312="ERRO"),"ERRO","OK")</f>
        <v>OK</v>
      </c>
      <c r="H312" s="9" t="n">
        <f aca="false">COUNTIF(L312:AX312,"ERRO")</f>
        <v>0</v>
      </c>
      <c r="I312" s="9" t="s">
        <v>18</v>
      </c>
      <c r="J312" s="10" t="n">
        <v>1888</v>
      </c>
      <c r="K312" s="10" t="n">
        <v>1963</v>
      </c>
      <c r="L312" s="6" t="n">
        <f aca="false">(10-(LEN(M312)))+1</f>
        <v>7</v>
      </c>
      <c r="M312" s="6" t="n">
        <v>2749</v>
      </c>
      <c r="N312" s="6" t="str">
        <f aca="false">IF($J312="NA","NA",IF(AND($J312&gt;2019,M312&gt;0),"ERRO","OK"))</f>
        <v>OK</v>
      </c>
      <c r="O312" s="6" t="n">
        <f aca="false">(10-(LEN(P312)))+1</f>
        <v>7</v>
      </c>
      <c r="P312" s="6" t="n">
        <v>4905</v>
      </c>
      <c r="Q312" s="6" t="str">
        <f aca="false">IF($J312="NA","NA",IF(AND($J312&gt;2009,P312&gt;0),"ERRO","OK"))</f>
        <v>OK</v>
      </c>
      <c r="R312" s="6" t="n">
        <f aca="false">(10-(LEN(S312)))+1</f>
        <v>7</v>
      </c>
      <c r="S312" s="6" t="n">
        <v>5924</v>
      </c>
      <c r="T312" s="6" t="str">
        <f aca="false">IF($J312="NA","NA",IF(AND($J312&gt;1999,S312&gt;0),"ERRO","OK"))</f>
        <v>OK</v>
      </c>
      <c r="U312" s="6" t="n">
        <f aca="false">(10-(LEN(V312)))+1</f>
        <v>7</v>
      </c>
      <c r="V312" s="6" t="n">
        <v>6485</v>
      </c>
      <c r="W312" s="6" t="str">
        <f aca="false">IF($J312="NA","NA",IF(AND($J312&gt;1989,V312&gt;0),"ERRO","OK"))</f>
        <v>OK</v>
      </c>
      <c r="X312" s="6" t="n">
        <f aca="false">(10-(LEN(Y312)))+1</f>
        <v>7</v>
      </c>
      <c r="Y312" s="6" t="n">
        <v>7759</v>
      </c>
      <c r="Z312" s="6" t="str">
        <f aca="false">IF($J312="NA","NA",IF(AND($J312&gt;1979,Y312&gt;0),"ERRO","OK"))</f>
        <v>OK</v>
      </c>
      <c r="AA312" s="6" t="n">
        <f aca="false">(10-(LEN(AB312)))+1</f>
        <v>6</v>
      </c>
      <c r="AB312" s="6" t="n">
        <v>10548</v>
      </c>
      <c r="AC312" s="6" t="str">
        <f aca="false">IF($J312="NA","NA",IF(AND($J312&gt;1969,AB312&gt;0),"ERRO","OK"))</f>
        <v>OK</v>
      </c>
      <c r="AD312" s="6" t="n">
        <f aca="false">(10-(LEN(AE312)))+1</f>
        <v>6</v>
      </c>
      <c r="AE312" s="6" t="n">
        <v>12648</v>
      </c>
      <c r="AF312" s="6" t="str">
        <f aca="false">IF($J312="NA","NA",IF(AND($J312&gt;1959,AE312&gt;0),"ERRO","OK"))</f>
        <v>OK</v>
      </c>
      <c r="AG312" s="6" t="n">
        <f aca="false">(10-(LEN(AH312)))+1</f>
        <v>6</v>
      </c>
      <c r="AH312" s="6" t="n">
        <v>27865</v>
      </c>
      <c r="AI312" s="6" t="str">
        <f aca="false">IF($J312="NA","NA",IF(AND($J312&gt;1949,AH312&gt;0),"ERRO","OK"))</f>
        <v>OK</v>
      </c>
      <c r="AJ312" s="6" t="n">
        <f aca="false">(10-(LEN(AK312)))+1</f>
        <v>6</v>
      </c>
      <c r="AK312" s="6" t="n">
        <v>24092</v>
      </c>
      <c r="AL312" s="6" t="str">
        <f aca="false">IF($J312="NA","NA",IF(AND($J312&gt;1939,AK312&gt;0),"ERRO","OK"))</f>
        <v>OK</v>
      </c>
      <c r="AM312" s="6" t="n">
        <f aca="false">(10-(LEN(AN312)))+1</f>
        <v>6</v>
      </c>
      <c r="AN312" s="6" t="n">
        <v>36559</v>
      </c>
      <c r="AO312" s="6" t="str">
        <f aca="false">IF($J312="NA","NA",IF(AND($J312&gt;1929,AN312&gt;0),"ERRO","OK"))</f>
        <v>OK</v>
      </c>
      <c r="AP312" s="6" t="n">
        <f aca="false">(10-(LEN(AQ312)))+1</f>
        <v>7</v>
      </c>
      <c r="AQ312" s="6" t="n">
        <v>7310</v>
      </c>
      <c r="AR312" s="6" t="str">
        <f aca="false">IF($J312="NA","NA",IF(AND($J312&gt;1919,AQ312&gt;0),"ERRO","OK"))</f>
        <v>OK</v>
      </c>
      <c r="AS312" s="6" t="n">
        <f aca="false">(10-(LEN(AT312)))+1</f>
        <v>10</v>
      </c>
      <c r="AT312" s="6" t="n">
        <v>0</v>
      </c>
      <c r="AU312" s="6" t="str">
        <f aca="false">IF($J312="NA","NA",IF(AND($J312&gt;1909,AT312&gt;0),"ERRO","OK"))</f>
        <v>OK</v>
      </c>
      <c r="AV312" s="6" t="n">
        <f aca="false">(10-(LEN(AW312)))+1</f>
        <v>10</v>
      </c>
      <c r="AW312" s="6" t="n">
        <v>0</v>
      </c>
      <c r="AX312" s="6" t="str">
        <f aca="false">IF($J312="NA","NA",IF(AND($J312&gt;1899,AW312&gt;0),"ERRO","OK"))</f>
        <v>OK</v>
      </c>
    </row>
    <row r="313" customFormat="false" ht="15" hidden="false" customHeight="false" outlineLevel="0" collapsed="false">
      <c r="A313" s="7" t="n">
        <v>311</v>
      </c>
      <c r="B313" s="0" t="s">
        <v>330</v>
      </c>
      <c r="C313" s="8" t="n">
        <v>45329</v>
      </c>
      <c r="D313" s="6" t="n">
        <v>0</v>
      </c>
      <c r="E313" s="0" t="s">
        <v>16</v>
      </c>
      <c r="F313" s="0" t="s">
        <v>17</v>
      </c>
      <c r="G313" s="9" t="str">
        <f aca="false">IF(OR(N313="ERRO",Q313="ERRO",T313="ERRO",W313="ERRO",Z313="ERRO",AC313="ERRO",AF313="ERRO",AI313="ERRO",AL313="ERRO",AO313="ERRO",AR313="ERRO",AU313="ERRO",AX313="ERRO"),"ERRO","OK")</f>
        <v>OK</v>
      </c>
      <c r="H313" s="9" t="n">
        <f aca="false">COUNTIF(L313:AX313,"ERRO")</f>
        <v>0</v>
      </c>
      <c r="I313" s="9" t="s">
        <v>18</v>
      </c>
      <c r="J313" s="10" t="n">
        <v>1898</v>
      </c>
      <c r="K313" s="10" t="n">
        <v>1945</v>
      </c>
      <c r="L313" s="6" t="n">
        <f aca="false">(10-(LEN(M313)))+1</f>
        <v>8</v>
      </c>
      <c r="M313" s="6" t="n">
        <v>541</v>
      </c>
      <c r="N313" s="6" t="str">
        <f aca="false">IF($J313="NA","NA",IF(AND($J313&gt;2019,M313&gt;0),"ERRO","OK"))</f>
        <v>OK</v>
      </c>
      <c r="O313" s="6" t="n">
        <f aca="false">(10-(LEN(P313)))+1</f>
        <v>7</v>
      </c>
      <c r="P313" s="6" t="n">
        <v>1406</v>
      </c>
      <c r="Q313" s="6" t="str">
        <f aca="false">IF($J313="NA","NA",IF(AND($J313&gt;2009,P313&gt;0),"ERRO","OK"))</f>
        <v>OK</v>
      </c>
      <c r="R313" s="6" t="n">
        <f aca="false">(10-(LEN(S313)))+1</f>
        <v>8</v>
      </c>
      <c r="S313" s="6" t="n">
        <v>462</v>
      </c>
      <c r="T313" s="6" t="str">
        <f aca="false">IF($J313="NA","NA",IF(AND($J313&gt;1999,S313&gt;0),"ERRO","OK"))</f>
        <v>OK</v>
      </c>
      <c r="U313" s="6" t="n">
        <f aca="false">(10-(LEN(V313)))+1</f>
        <v>8</v>
      </c>
      <c r="V313" s="6" t="n">
        <v>782</v>
      </c>
      <c r="W313" s="6" t="str">
        <f aca="false">IF($J313="NA","NA",IF(AND($J313&gt;1989,V313&gt;0),"ERRO","OK"))</f>
        <v>OK</v>
      </c>
      <c r="X313" s="6" t="n">
        <f aca="false">(10-(LEN(Y313)))+1</f>
        <v>8</v>
      </c>
      <c r="Y313" s="6" t="n">
        <v>749</v>
      </c>
      <c r="Z313" s="6" t="str">
        <f aca="false">IF($J313="NA","NA",IF(AND($J313&gt;1979,Y313&gt;0),"ERRO","OK"))</f>
        <v>OK</v>
      </c>
      <c r="AA313" s="6" t="n">
        <f aca="false">(10-(LEN(AB313)))+1</f>
        <v>8</v>
      </c>
      <c r="AB313" s="6" t="n">
        <v>703</v>
      </c>
      <c r="AC313" s="6" t="str">
        <f aca="false">IF($J313="NA","NA",IF(AND($J313&gt;1969,AB313&gt;0),"ERRO","OK"))</f>
        <v>OK</v>
      </c>
      <c r="AD313" s="6" t="n">
        <f aca="false">(10-(LEN(AE313)))+1</f>
        <v>7</v>
      </c>
      <c r="AE313" s="6" t="n">
        <v>1166</v>
      </c>
      <c r="AF313" s="6" t="str">
        <f aca="false">IF($J313="NA","NA",IF(AND($J313&gt;1959,AE313&gt;0),"ERRO","OK"))</f>
        <v>OK</v>
      </c>
      <c r="AG313" s="6" t="n">
        <f aca="false">(10-(LEN(AH313)))+1</f>
        <v>10</v>
      </c>
      <c r="AH313" s="6" t="n">
        <v>0</v>
      </c>
      <c r="AI313" s="6" t="str">
        <f aca="false">IF($J313="NA","NA",IF(AND($J313&gt;1949,AH313&gt;0),"ERRO","OK"))</f>
        <v>OK</v>
      </c>
      <c r="AJ313" s="6" t="n">
        <f aca="false">(10-(LEN(AK313)))+1</f>
        <v>8</v>
      </c>
      <c r="AK313" s="6" t="n">
        <v>139</v>
      </c>
      <c r="AL313" s="6" t="str">
        <f aca="false">IF($J313="NA","NA",IF(AND($J313&gt;1939,AK313&gt;0),"ERRO","OK"))</f>
        <v>OK</v>
      </c>
      <c r="AM313" s="6" t="n">
        <f aca="false">(10-(LEN(AN313)))+1</f>
        <v>8</v>
      </c>
      <c r="AN313" s="6" t="n">
        <v>914</v>
      </c>
      <c r="AO313" s="6" t="str">
        <f aca="false">IF($J313="NA","NA",IF(AND($J313&gt;1929,AN313&gt;0),"ERRO","OK"))</f>
        <v>OK</v>
      </c>
      <c r="AP313" s="6" t="n">
        <f aca="false">(10-(LEN(AQ313)))+1</f>
        <v>10</v>
      </c>
      <c r="AQ313" s="6" t="n">
        <v>0</v>
      </c>
      <c r="AR313" s="6" t="str">
        <f aca="false">IF($J313="NA","NA",IF(AND($J313&gt;1919,AQ313&gt;0),"ERRO","OK"))</f>
        <v>OK</v>
      </c>
      <c r="AS313" s="6" t="n">
        <f aca="false">(10-(LEN(AT313)))+1</f>
        <v>10</v>
      </c>
      <c r="AT313" s="6" t="n">
        <v>0</v>
      </c>
      <c r="AU313" s="6" t="str">
        <f aca="false">IF($J313="NA","NA",IF(AND($J313&gt;1909,AT313&gt;0),"ERRO","OK"))</f>
        <v>OK</v>
      </c>
      <c r="AV313" s="6" t="n">
        <f aca="false">(10-(LEN(AW313)))+1</f>
        <v>10</v>
      </c>
      <c r="AW313" s="6" t="n">
        <v>0</v>
      </c>
      <c r="AX313" s="6" t="str">
        <f aca="false">IF($J313="NA","NA",IF(AND($J313&gt;1899,AW313&gt;0),"ERRO","OK"))</f>
        <v>OK</v>
      </c>
    </row>
    <row r="314" customFormat="false" ht="15" hidden="false" customHeight="false" outlineLevel="0" collapsed="false">
      <c r="A314" s="7" t="n">
        <v>312</v>
      </c>
      <c r="B314" s="0" t="s">
        <v>331</v>
      </c>
      <c r="C314" s="8" t="n">
        <v>45329</v>
      </c>
      <c r="D314" s="6" t="n">
        <v>0</v>
      </c>
      <c r="E314" s="0" t="s">
        <v>16</v>
      </c>
      <c r="F314" s="0" t="s">
        <v>17</v>
      </c>
      <c r="G314" s="9" t="str">
        <f aca="false">IF(OR(N314="ERRO",Q314="ERRO",T314="ERRO",W314="ERRO",Z314="ERRO",AC314="ERRO",AF314="ERRO",AI314="ERRO",AL314="ERRO",AO314="ERRO",AR314="ERRO",AU314="ERRO",AX314="ERRO"),"ERRO","OK")</f>
        <v>OK</v>
      </c>
      <c r="H314" s="9" t="n">
        <f aca="false">COUNTIF(L314:AX314,"ERRO")</f>
        <v>0</v>
      </c>
      <c r="I314" s="9" t="s">
        <v>18</v>
      </c>
      <c r="J314" s="10" t="n">
        <v>1891</v>
      </c>
      <c r="K314" s="10" t="n">
        <v>1968</v>
      </c>
      <c r="L314" s="6" t="n">
        <f aca="false">(10-(LEN(M314)))+1</f>
        <v>7</v>
      </c>
      <c r="M314" s="6" t="n">
        <v>1291</v>
      </c>
      <c r="N314" s="6" t="str">
        <f aca="false">IF($J314="NA","NA",IF(AND($J314&gt;2019,M314&gt;0),"ERRO","OK"))</f>
        <v>OK</v>
      </c>
      <c r="O314" s="6" t="n">
        <f aca="false">(10-(LEN(P314)))+1</f>
        <v>7</v>
      </c>
      <c r="P314" s="6" t="n">
        <v>2813</v>
      </c>
      <c r="Q314" s="6" t="str">
        <f aca="false">IF($J314="NA","NA",IF(AND($J314&gt;2009,P314&gt;0),"ERRO","OK"))</f>
        <v>OK</v>
      </c>
      <c r="R314" s="6" t="n">
        <f aca="false">(10-(LEN(S314)))+1</f>
        <v>7</v>
      </c>
      <c r="S314" s="6" t="n">
        <v>2269</v>
      </c>
      <c r="T314" s="6" t="str">
        <f aca="false">IF($J314="NA","NA",IF(AND($J314&gt;1999,S314&gt;0),"ERRO","OK"))</f>
        <v>OK</v>
      </c>
      <c r="U314" s="6" t="n">
        <f aca="false">(10-(LEN(V314)))+1</f>
        <v>7</v>
      </c>
      <c r="V314" s="6" t="n">
        <v>3495</v>
      </c>
      <c r="W314" s="6" t="str">
        <f aca="false">IF($J314="NA","NA",IF(AND($J314&gt;1989,V314&gt;0),"ERRO","OK"))</f>
        <v>OK</v>
      </c>
      <c r="X314" s="6" t="n">
        <f aca="false">(10-(LEN(Y314)))+1</f>
        <v>7</v>
      </c>
      <c r="Y314" s="6" t="n">
        <v>4174</v>
      </c>
      <c r="Z314" s="6" t="str">
        <f aca="false">IF($J314="NA","NA",IF(AND($J314&gt;1979,Y314&gt;0),"ERRO","OK"))</f>
        <v>OK</v>
      </c>
      <c r="AA314" s="6" t="n">
        <f aca="false">(10-(LEN(AB314)))+1</f>
        <v>7</v>
      </c>
      <c r="AB314" s="6" t="n">
        <v>3867</v>
      </c>
      <c r="AC314" s="6" t="str">
        <f aca="false">IF($J314="NA","NA",IF(AND($J314&gt;1969,AB314&gt;0),"ERRO","OK"))</f>
        <v>OK</v>
      </c>
      <c r="AD314" s="6" t="n">
        <f aca="false">(10-(LEN(AE314)))+1</f>
        <v>7</v>
      </c>
      <c r="AE314" s="6" t="n">
        <v>3768</v>
      </c>
      <c r="AF314" s="6" t="str">
        <f aca="false">IF($J314="NA","NA",IF(AND($J314&gt;1959,AE314&gt;0),"ERRO","OK"))</f>
        <v>OK</v>
      </c>
      <c r="AG314" s="6" t="n">
        <f aca="false">(10-(LEN(AH314)))+1</f>
        <v>7</v>
      </c>
      <c r="AH314" s="6" t="n">
        <v>6058</v>
      </c>
      <c r="AI314" s="6" t="str">
        <f aca="false">IF($J314="NA","NA",IF(AND($J314&gt;1949,AH314&gt;0),"ERRO","OK"))</f>
        <v>OK</v>
      </c>
      <c r="AJ314" s="6" t="n">
        <f aca="false">(10-(LEN(AK314)))+1</f>
        <v>6</v>
      </c>
      <c r="AK314" s="6" t="n">
        <v>20192</v>
      </c>
      <c r="AL314" s="6" t="str">
        <f aca="false">IF($J314="NA","NA",IF(AND($J314&gt;1939,AK314&gt;0),"ERRO","OK"))</f>
        <v>OK</v>
      </c>
      <c r="AM314" s="6" t="n">
        <f aca="false">(10-(LEN(AN314)))+1</f>
        <v>6</v>
      </c>
      <c r="AN314" s="6" t="n">
        <v>35056</v>
      </c>
      <c r="AO314" s="6" t="str">
        <f aca="false">IF($J314="NA","NA",IF(AND($J314&gt;1929,AN314&gt;0),"ERRO","OK"))</f>
        <v>OK</v>
      </c>
      <c r="AP314" s="6" t="n">
        <f aca="false">(10-(LEN(AQ314)))+1</f>
        <v>8</v>
      </c>
      <c r="AQ314" s="6" t="n">
        <v>601</v>
      </c>
      <c r="AR314" s="6" t="str">
        <f aca="false">IF($J314="NA","NA",IF(AND($J314&gt;1919,AQ314&gt;0),"ERRO","OK"))</f>
        <v>OK</v>
      </c>
      <c r="AS314" s="6" t="n">
        <f aca="false">(10-(LEN(AT314)))+1</f>
        <v>8</v>
      </c>
      <c r="AT314" s="6" t="n">
        <v>309</v>
      </c>
      <c r="AU314" s="6" t="str">
        <f aca="false">IF($J314="NA","NA",IF(AND($J314&gt;1909,AT314&gt;0),"ERRO","OK"))</f>
        <v>OK</v>
      </c>
      <c r="AV314" s="6" t="n">
        <f aca="false">(10-(LEN(AW314)))+1</f>
        <v>10</v>
      </c>
      <c r="AW314" s="6" t="n">
        <v>0</v>
      </c>
      <c r="AX314" s="6" t="str">
        <f aca="false">IF($J314="NA","NA",IF(AND($J314&gt;1899,AW314&gt;0),"ERRO","OK"))</f>
        <v>OK</v>
      </c>
    </row>
    <row r="315" customFormat="false" ht="15" hidden="false" customHeight="false" outlineLevel="0" collapsed="false">
      <c r="A315" s="7" t="n">
        <v>313</v>
      </c>
      <c r="B315" s="0" t="s">
        <v>332</v>
      </c>
      <c r="C315" s="8" t="n">
        <v>45329</v>
      </c>
      <c r="D315" s="6" t="n">
        <v>0</v>
      </c>
      <c r="E315" s="0" t="s">
        <v>16</v>
      </c>
      <c r="F315" s="0" t="s">
        <v>17</v>
      </c>
      <c r="G315" s="9" t="str">
        <f aca="false">IF(OR(N315="ERRO",Q315="ERRO",T315="ERRO",W315="ERRO",Z315="ERRO",AC315="ERRO",AF315="ERRO",AI315="ERRO",AL315="ERRO",AO315="ERRO",AR315="ERRO",AU315="ERRO",AX315="ERRO"),"ERRO","OK")</f>
        <v>OK</v>
      </c>
      <c r="H315" s="9" t="n">
        <f aca="false">COUNTIF(L315:AX315,"ERRO")</f>
        <v>0</v>
      </c>
      <c r="I315" s="9" t="s">
        <v>18</v>
      </c>
      <c r="J315" s="10" t="n">
        <v>1898</v>
      </c>
      <c r="K315" s="10" t="n">
        <v>1974</v>
      </c>
      <c r="L315" s="6" t="n">
        <f aca="false">(10-(LEN(M315)))+1</f>
        <v>8</v>
      </c>
      <c r="M315" s="6" t="n">
        <v>458</v>
      </c>
      <c r="N315" s="6" t="str">
        <f aca="false">IF($J315="NA","NA",IF(AND($J315&gt;2019,M315&gt;0),"ERRO","OK"))</f>
        <v>OK</v>
      </c>
      <c r="O315" s="6" t="n">
        <f aca="false">(10-(LEN(P315)))+1</f>
        <v>8</v>
      </c>
      <c r="P315" s="6" t="n">
        <v>583</v>
      </c>
      <c r="Q315" s="6" t="str">
        <f aca="false">IF($J315="NA","NA",IF(AND($J315&gt;2009,P315&gt;0),"ERRO","OK"))</f>
        <v>OK</v>
      </c>
      <c r="R315" s="6" t="n">
        <f aca="false">(10-(LEN(S315)))+1</f>
        <v>8</v>
      </c>
      <c r="S315" s="6" t="n">
        <v>252</v>
      </c>
      <c r="T315" s="6" t="str">
        <f aca="false">IF($J315="NA","NA",IF(AND($J315&gt;1999,S315&gt;0),"ERRO","OK"))</f>
        <v>OK</v>
      </c>
      <c r="U315" s="6" t="n">
        <f aca="false">(10-(LEN(V315)))+1</f>
        <v>8</v>
      </c>
      <c r="V315" s="6" t="n">
        <v>138</v>
      </c>
      <c r="W315" s="6" t="str">
        <f aca="false">IF($J315="NA","NA",IF(AND($J315&gt;1989,V315&gt;0),"ERRO","OK"))</f>
        <v>OK</v>
      </c>
      <c r="X315" s="6" t="n">
        <f aca="false">(10-(LEN(Y315)))+1</f>
        <v>9</v>
      </c>
      <c r="Y315" s="6" t="n">
        <v>54</v>
      </c>
      <c r="Z315" s="6" t="str">
        <f aca="false">IF($J315="NA","NA",IF(AND($J315&gt;1979,Y315&gt;0),"ERRO","OK"))</f>
        <v>OK</v>
      </c>
      <c r="AA315" s="6" t="n">
        <f aca="false">(10-(LEN(AB315)))+1</f>
        <v>7</v>
      </c>
      <c r="AB315" s="6" t="n">
        <v>1055</v>
      </c>
      <c r="AC315" s="6" t="str">
        <f aca="false">IF($J315="NA","NA",IF(AND($J315&gt;1969,AB315&gt;0),"ERRO","OK"))</f>
        <v>OK</v>
      </c>
      <c r="AD315" s="6" t="n">
        <f aca="false">(10-(LEN(AE315)))+1</f>
        <v>6</v>
      </c>
      <c r="AE315" s="6" t="n">
        <v>10406</v>
      </c>
      <c r="AF315" s="6" t="str">
        <f aca="false">IF($J315="NA","NA",IF(AND($J315&gt;1959,AE315&gt;0),"ERRO","OK"))</f>
        <v>OK</v>
      </c>
      <c r="AG315" s="6" t="n">
        <f aca="false">(10-(LEN(AH315)))+1</f>
        <v>7</v>
      </c>
      <c r="AH315" s="6" t="n">
        <v>4846</v>
      </c>
      <c r="AI315" s="6" t="str">
        <f aca="false">IF($J315="NA","NA",IF(AND($J315&gt;1949,AH315&gt;0),"ERRO","OK"))</f>
        <v>OK</v>
      </c>
      <c r="AJ315" s="6" t="n">
        <f aca="false">(10-(LEN(AK315)))+1</f>
        <v>8</v>
      </c>
      <c r="AK315" s="6" t="n">
        <v>418</v>
      </c>
      <c r="AL315" s="6" t="str">
        <f aca="false">IF($J315="NA","NA",IF(AND($J315&gt;1939,AK315&gt;0),"ERRO","OK"))</f>
        <v>OK</v>
      </c>
      <c r="AM315" s="6" t="n">
        <f aca="false">(10-(LEN(AN315)))+1</f>
        <v>10</v>
      </c>
      <c r="AN315" s="6" t="n">
        <v>0</v>
      </c>
      <c r="AO315" s="6" t="str">
        <f aca="false">IF($J315="NA","NA",IF(AND($J315&gt;1929,AN315&gt;0),"ERRO","OK"))</f>
        <v>OK</v>
      </c>
      <c r="AP315" s="6" t="n">
        <f aca="false">(10-(LEN(AQ315)))+1</f>
        <v>10</v>
      </c>
      <c r="AQ315" s="6" t="n">
        <v>0</v>
      </c>
      <c r="AR315" s="6" t="str">
        <f aca="false">IF($J315="NA","NA",IF(AND($J315&gt;1919,AQ315&gt;0),"ERRO","OK"))</f>
        <v>OK</v>
      </c>
      <c r="AS315" s="6" t="n">
        <f aca="false">(10-(LEN(AT315)))+1</f>
        <v>10</v>
      </c>
      <c r="AT315" s="6" t="n">
        <v>0</v>
      </c>
      <c r="AU315" s="6" t="str">
        <f aca="false">IF($J315="NA","NA",IF(AND($J315&gt;1909,AT315&gt;0),"ERRO","OK"))</f>
        <v>OK</v>
      </c>
      <c r="AV315" s="6" t="n">
        <f aca="false">(10-(LEN(AW315)))+1</f>
        <v>10</v>
      </c>
      <c r="AW315" s="6" t="n">
        <v>0</v>
      </c>
      <c r="AX315" s="6" t="str">
        <f aca="false">IF($J315="NA","NA",IF(AND($J315&gt;1899,AW315&gt;0),"ERRO","OK"))</f>
        <v>OK</v>
      </c>
    </row>
    <row r="316" customFormat="false" ht="15" hidden="false" customHeight="false" outlineLevel="0" collapsed="false">
      <c r="A316" s="7" t="n">
        <v>314</v>
      </c>
      <c r="B316" s="0" t="s">
        <v>333</v>
      </c>
      <c r="C316" s="8" t="n">
        <v>45329</v>
      </c>
      <c r="D316" s="6" t="n">
        <v>0</v>
      </c>
      <c r="E316" s="0" t="s">
        <v>16</v>
      </c>
      <c r="F316" s="0" t="s">
        <v>17</v>
      </c>
      <c r="G316" s="9" t="str">
        <f aca="false">IF(OR(N316="ERRO",Q316="ERRO",T316="ERRO",W316="ERRO",Z316="ERRO",AC316="ERRO",AF316="ERRO",AI316="ERRO",AL316="ERRO",AO316="ERRO",AR316="ERRO",AU316="ERRO",AX316="ERRO"),"ERRO","OK")</f>
        <v>OK</v>
      </c>
      <c r="H316" s="9" t="n">
        <f aca="false">COUNTIF(L316:AX316,"ERRO")</f>
        <v>0</v>
      </c>
      <c r="I316" s="9" t="s">
        <v>18</v>
      </c>
      <c r="J316" s="10" t="n">
        <v>1923</v>
      </c>
      <c r="K316" s="10" t="n">
        <v>1986</v>
      </c>
      <c r="L316" s="6" t="n">
        <f aca="false">(10-(LEN(M316)))+1</f>
        <v>10</v>
      </c>
      <c r="M316" s="6" t="n">
        <v>0</v>
      </c>
      <c r="N316" s="6" t="str">
        <f aca="false">IF($J316="NA","NA",IF(AND($J316&gt;2019,M316&gt;0),"ERRO","OK"))</f>
        <v>OK</v>
      </c>
      <c r="O316" s="6" t="n">
        <f aca="false">(10-(LEN(P316)))+1</f>
        <v>10</v>
      </c>
      <c r="P316" s="6" t="n">
        <v>0</v>
      </c>
      <c r="Q316" s="6" t="str">
        <f aca="false">IF($J316="NA","NA",IF(AND($J316&gt;2009,P316&gt;0),"ERRO","OK"))</f>
        <v>OK</v>
      </c>
      <c r="R316" s="6" t="n">
        <f aca="false">(10-(LEN(S316)))+1</f>
        <v>10</v>
      </c>
      <c r="S316" s="6" t="n">
        <v>0</v>
      </c>
      <c r="T316" s="6" t="str">
        <f aca="false">IF($J316="NA","NA",IF(AND($J316&gt;1999,S316&gt;0),"ERRO","OK"))</f>
        <v>OK</v>
      </c>
      <c r="U316" s="6" t="n">
        <f aca="false">(10-(LEN(V316)))+1</f>
        <v>10</v>
      </c>
      <c r="V316" s="6" t="n">
        <v>0</v>
      </c>
      <c r="W316" s="6" t="str">
        <f aca="false">IF($J316="NA","NA",IF(AND($J316&gt;1989,V316&gt;0),"ERRO","OK"))</f>
        <v>OK</v>
      </c>
      <c r="X316" s="6" t="n">
        <f aca="false">(10-(LEN(Y316)))+1</f>
        <v>10</v>
      </c>
      <c r="Y316" s="6" t="n">
        <v>0</v>
      </c>
      <c r="Z316" s="6" t="str">
        <f aca="false">IF($J316="NA","NA",IF(AND($J316&gt;1979,Y316&gt;0),"ERRO","OK"))</f>
        <v>OK</v>
      </c>
      <c r="AA316" s="6" t="n">
        <f aca="false">(10-(LEN(AB316)))+1</f>
        <v>10</v>
      </c>
      <c r="AB316" s="6" t="n">
        <v>0</v>
      </c>
      <c r="AC316" s="6" t="str">
        <f aca="false">IF($J316="NA","NA",IF(AND($J316&gt;1969,AB316&gt;0),"ERRO","OK"))</f>
        <v>OK</v>
      </c>
      <c r="AD316" s="6" t="n">
        <f aca="false">(10-(LEN(AE316)))+1</f>
        <v>10</v>
      </c>
      <c r="AE316" s="6" t="n">
        <v>0</v>
      </c>
      <c r="AF316" s="6" t="str">
        <f aca="false">IF($J316="NA","NA",IF(AND($J316&gt;1959,AE316&gt;0),"ERRO","OK"))</f>
        <v>OK</v>
      </c>
      <c r="AG316" s="6" t="n">
        <f aca="false">(10-(LEN(AH316)))+1</f>
        <v>10</v>
      </c>
      <c r="AH316" s="6" t="n">
        <v>0</v>
      </c>
      <c r="AI316" s="6" t="str">
        <f aca="false">IF($J316="NA","NA",IF(AND($J316&gt;1949,AH316&gt;0),"ERRO","OK"))</f>
        <v>OK</v>
      </c>
      <c r="AJ316" s="6" t="n">
        <f aca="false">(10-(LEN(AK316)))+1</f>
        <v>10</v>
      </c>
      <c r="AK316" s="6" t="n">
        <v>0</v>
      </c>
      <c r="AL316" s="6" t="str">
        <f aca="false">IF($J316="NA","NA",IF(AND($J316&gt;1939,AK316&gt;0),"ERRO","OK"))</f>
        <v>OK</v>
      </c>
      <c r="AM316" s="6" t="n">
        <f aca="false">(10-(LEN(AN316)))+1</f>
        <v>10</v>
      </c>
      <c r="AN316" s="6" t="n">
        <v>0</v>
      </c>
      <c r="AO316" s="6" t="str">
        <f aca="false">IF($J316="NA","NA",IF(AND($J316&gt;1929,AN316&gt;0),"ERRO","OK"))</f>
        <v>OK</v>
      </c>
      <c r="AP316" s="6" t="n">
        <f aca="false">(10-(LEN(AQ316)))+1</f>
        <v>10</v>
      </c>
      <c r="AQ316" s="6" t="n">
        <v>0</v>
      </c>
      <c r="AR316" s="6" t="str">
        <f aca="false">IF($J316="NA","NA",IF(AND($J316&gt;1919,AQ316&gt;0),"ERRO","OK"))</f>
        <v>OK</v>
      </c>
      <c r="AS316" s="6" t="n">
        <f aca="false">(10-(LEN(AT316)))+1</f>
        <v>10</v>
      </c>
      <c r="AT316" s="6" t="n">
        <v>0</v>
      </c>
      <c r="AU316" s="6" t="str">
        <f aca="false">IF($J316="NA","NA",IF(AND($J316&gt;1909,AT316&gt;0),"ERRO","OK"))</f>
        <v>OK</v>
      </c>
      <c r="AV316" s="6" t="n">
        <f aca="false">(10-(LEN(AW316)))+1</f>
        <v>10</v>
      </c>
      <c r="AW316" s="6" t="n">
        <v>0</v>
      </c>
      <c r="AX316" s="6" t="str">
        <f aca="false">IF($J316="NA","NA",IF(AND($J316&gt;1899,AW316&gt;0),"ERRO","OK"))</f>
        <v>OK</v>
      </c>
    </row>
    <row r="317" customFormat="false" ht="15" hidden="false" customHeight="false" outlineLevel="0" collapsed="false">
      <c r="A317" s="7" t="n">
        <v>315</v>
      </c>
      <c r="B317" s="0" t="s">
        <v>334</v>
      </c>
      <c r="C317" s="8" t="n">
        <v>45329</v>
      </c>
      <c r="D317" s="6" t="n">
        <v>0</v>
      </c>
      <c r="E317" s="0" t="s">
        <v>16</v>
      </c>
      <c r="F317" s="0" t="s">
        <v>17</v>
      </c>
      <c r="G317" s="9" t="str">
        <f aca="false">IF(OR(N317="ERRO",Q317="ERRO",T317="ERRO",W317="ERRO",Z317="ERRO",AC317="ERRO",AF317="ERRO",AI317="ERRO",AL317="ERRO",AO317="ERRO",AR317="ERRO",AU317="ERRO",AX317="ERRO"),"ERRO","OK")</f>
        <v>ERRO</v>
      </c>
      <c r="H317" s="9" t="n">
        <f aca="false">COUNTIF(L317:AX317,"ERRO")</f>
        <v>2</v>
      </c>
      <c r="I317" s="9" t="s">
        <v>18</v>
      </c>
      <c r="J317" s="10" t="n">
        <v>1912</v>
      </c>
      <c r="K317" s="10" t="n">
        <v>1992</v>
      </c>
      <c r="L317" s="6" t="n">
        <f aca="false">(10-(LEN(M317)))+1</f>
        <v>5</v>
      </c>
      <c r="M317" s="6" t="n">
        <v>190564</v>
      </c>
      <c r="N317" s="6" t="str">
        <f aca="false">IF($J317="NA","NA",IF(AND($J317&gt;2019,M317&gt;0),"ERRO","OK"))</f>
        <v>OK</v>
      </c>
      <c r="O317" s="6" t="n">
        <f aca="false">(10-(LEN(P317)))+1</f>
        <v>5</v>
      </c>
      <c r="P317" s="6" t="n">
        <v>197316</v>
      </c>
      <c r="Q317" s="6" t="str">
        <f aca="false">IF($J317="NA","NA",IF(AND($J317&gt;2009,P317&gt;0),"ERRO","OK"))</f>
        <v>OK</v>
      </c>
      <c r="R317" s="6" t="n">
        <f aca="false">(10-(LEN(S317)))+1</f>
        <v>5</v>
      </c>
      <c r="S317" s="6" t="n">
        <v>194701</v>
      </c>
      <c r="T317" s="6" t="str">
        <f aca="false">IF($J317="NA","NA",IF(AND($J317&gt;1999,S317&gt;0),"ERRO","OK"))</f>
        <v>OK</v>
      </c>
      <c r="U317" s="6" t="n">
        <f aca="false">(10-(LEN(V317)))+1</f>
        <v>5</v>
      </c>
      <c r="V317" s="6" t="n">
        <v>173712</v>
      </c>
      <c r="W317" s="6" t="str">
        <f aca="false">IF($J317="NA","NA",IF(AND($J317&gt;1989,V317&gt;0),"ERRO","OK"))</f>
        <v>OK</v>
      </c>
      <c r="X317" s="6" t="n">
        <f aca="false">(10-(LEN(Y317)))+1</f>
        <v>6</v>
      </c>
      <c r="Y317" s="6" t="n">
        <v>95782</v>
      </c>
      <c r="Z317" s="6" t="str">
        <f aca="false">IF($J317="NA","NA",IF(AND($J317&gt;1979,Y317&gt;0),"ERRO","OK"))</f>
        <v>OK</v>
      </c>
      <c r="AA317" s="6" t="n">
        <f aca="false">(10-(LEN(AB317)))+1</f>
        <v>5</v>
      </c>
      <c r="AB317" s="6" t="n">
        <v>103073</v>
      </c>
      <c r="AC317" s="6" t="str">
        <f aca="false">IF($J317="NA","NA",IF(AND($J317&gt;1969,AB317&gt;0),"ERRO","OK"))</f>
        <v>OK</v>
      </c>
      <c r="AD317" s="6" t="n">
        <f aca="false">(10-(LEN(AE317)))+1</f>
        <v>6</v>
      </c>
      <c r="AE317" s="6" t="n">
        <v>39918</v>
      </c>
      <c r="AF317" s="6" t="str">
        <f aca="false">IF($J317="NA","NA",IF(AND($J317&gt;1959,AE317&gt;0),"ERRO","OK"))</f>
        <v>OK</v>
      </c>
      <c r="AG317" s="6" t="n">
        <f aca="false">(10-(LEN(AH317)))+1</f>
        <v>6</v>
      </c>
      <c r="AH317" s="6" t="n">
        <v>24561</v>
      </c>
      <c r="AI317" s="6" t="str">
        <f aca="false">IF($J317="NA","NA",IF(AND($J317&gt;1949,AH317&gt;0),"ERRO","OK"))</f>
        <v>OK</v>
      </c>
      <c r="AJ317" s="6" t="n">
        <f aca="false">(10-(LEN(AK317)))+1</f>
        <v>6</v>
      </c>
      <c r="AK317" s="6" t="n">
        <v>27434</v>
      </c>
      <c r="AL317" s="6" t="str">
        <f aca="false">IF($J317="NA","NA",IF(AND($J317&gt;1939,AK317&gt;0),"ERRO","OK"))</f>
        <v>OK</v>
      </c>
      <c r="AM317" s="6" t="n">
        <f aca="false">(10-(LEN(AN317)))+1</f>
        <v>7</v>
      </c>
      <c r="AN317" s="6" t="n">
        <v>5027</v>
      </c>
      <c r="AO317" s="6" t="str">
        <f aca="false">IF($J317="NA","NA",IF(AND($J317&gt;1929,AN317&gt;0),"ERRO","OK"))</f>
        <v>OK</v>
      </c>
      <c r="AP317" s="6" t="n">
        <f aca="false">(10-(LEN(AQ317)))+1</f>
        <v>8</v>
      </c>
      <c r="AQ317" s="6" t="n">
        <v>601</v>
      </c>
      <c r="AR317" s="6" t="str">
        <f aca="false">IF($J317="NA","NA",IF(AND($J317&gt;1919,AQ317&gt;0),"ERRO","OK"))</f>
        <v>OK</v>
      </c>
      <c r="AS317" s="6" t="n">
        <f aca="false">(10-(LEN(AT317)))+1</f>
        <v>8</v>
      </c>
      <c r="AT317" s="6" t="n">
        <v>825</v>
      </c>
      <c r="AU317" s="6" t="str">
        <f aca="false">IF($J317="NA","NA",IF(AND($J317&gt;1909,AT317&gt;0),"ERRO","OK"))</f>
        <v>ERRO</v>
      </c>
      <c r="AV317" s="6" t="n">
        <f aca="false">(10-(LEN(AW317)))+1</f>
        <v>7</v>
      </c>
      <c r="AW317" s="6" t="n">
        <v>2838</v>
      </c>
      <c r="AX317" s="6" t="str">
        <f aca="false">IF($J317="NA","NA",IF(AND($J317&gt;1899,AW317&gt;0),"ERRO","OK"))</f>
        <v>ERRO</v>
      </c>
    </row>
    <row r="318" customFormat="false" ht="15" hidden="false" customHeight="false" outlineLevel="0" collapsed="false">
      <c r="A318" s="7" t="n">
        <v>316</v>
      </c>
      <c r="B318" s="0" t="s">
        <v>335</v>
      </c>
      <c r="C318" s="8" t="n">
        <v>45329</v>
      </c>
      <c r="D318" s="6" t="n">
        <v>0</v>
      </c>
      <c r="E318" s="0" t="s">
        <v>16</v>
      </c>
      <c r="F318" s="0" t="s">
        <v>17</v>
      </c>
      <c r="G318" s="9" t="str">
        <f aca="false">IF(OR(N318="ERRO",Q318="ERRO",T318="ERRO",W318="ERRO",Z318="ERRO",AC318="ERRO",AF318="ERRO",AI318="ERRO",AL318="ERRO",AO318="ERRO",AR318="ERRO",AU318="ERRO",AX318="ERRO"),"ERRO","OK")</f>
        <v>OK</v>
      </c>
      <c r="H318" s="9" t="n">
        <f aca="false">COUNTIF(L318:AX318,"ERRO")</f>
        <v>0</v>
      </c>
      <c r="I318" s="9" t="s">
        <v>18</v>
      </c>
      <c r="J318" s="10" t="n">
        <v>1913</v>
      </c>
      <c r="K318" s="10" t="n">
        <v>1995</v>
      </c>
      <c r="L318" s="6" t="n">
        <f aca="false">(10-(LEN(M318)))+1</f>
        <v>8</v>
      </c>
      <c r="M318" s="6" t="n">
        <v>750</v>
      </c>
      <c r="N318" s="6" t="str">
        <f aca="false">IF($J318="NA","NA",IF(AND($J318&gt;2019,M318&gt;0),"ERRO","OK"))</f>
        <v>OK</v>
      </c>
      <c r="O318" s="6" t="n">
        <f aca="false">(10-(LEN(P318)))+1</f>
        <v>8</v>
      </c>
      <c r="P318" s="6" t="n">
        <v>515</v>
      </c>
      <c r="Q318" s="6" t="str">
        <f aca="false">IF($J318="NA","NA",IF(AND($J318&gt;2009,P318&gt;0),"ERRO","OK"))</f>
        <v>OK</v>
      </c>
      <c r="R318" s="6" t="n">
        <f aca="false">(10-(LEN(S318)))+1</f>
        <v>9</v>
      </c>
      <c r="S318" s="6" t="n">
        <v>84</v>
      </c>
      <c r="T318" s="6" t="str">
        <f aca="false">IF($J318="NA","NA",IF(AND($J318&gt;1999,S318&gt;0),"ERRO","OK"))</f>
        <v>OK</v>
      </c>
      <c r="U318" s="6" t="n">
        <f aca="false">(10-(LEN(V318)))+1</f>
        <v>8</v>
      </c>
      <c r="V318" s="6" t="n">
        <v>414</v>
      </c>
      <c r="W318" s="6" t="str">
        <f aca="false">IF($J318="NA","NA",IF(AND($J318&gt;1989,V318&gt;0),"ERRO","OK"))</f>
        <v>OK</v>
      </c>
      <c r="X318" s="6" t="n">
        <f aca="false">(10-(LEN(Y318)))+1</f>
        <v>8</v>
      </c>
      <c r="Y318" s="6" t="n">
        <v>749</v>
      </c>
      <c r="Z318" s="6" t="str">
        <f aca="false">IF($J318="NA","NA",IF(AND($J318&gt;1979,Y318&gt;0),"ERRO","OK"))</f>
        <v>OK</v>
      </c>
      <c r="AA318" s="6" t="n">
        <f aca="false">(10-(LEN(AB318)))+1</f>
        <v>8</v>
      </c>
      <c r="AB318" s="6" t="n">
        <v>469</v>
      </c>
      <c r="AC318" s="6" t="str">
        <f aca="false">IF($J318="NA","NA",IF(AND($J318&gt;1969,AB318&gt;0),"ERRO","OK"))</f>
        <v>OK</v>
      </c>
      <c r="AD318" s="6" t="n">
        <f aca="false">(10-(LEN(AE318)))+1</f>
        <v>8</v>
      </c>
      <c r="AE318" s="6" t="n">
        <v>449</v>
      </c>
      <c r="AF318" s="6" t="str">
        <f aca="false">IF($J318="NA","NA",IF(AND($J318&gt;1959,AE318&gt;0),"ERRO","OK"))</f>
        <v>OK</v>
      </c>
      <c r="AG318" s="6" t="n">
        <f aca="false">(10-(LEN(AH318)))+1</f>
        <v>8</v>
      </c>
      <c r="AH318" s="6" t="n">
        <v>110</v>
      </c>
      <c r="AI318" s="6" t="str">
        <f aca="false">IF($J318="NA","NA",IF(AND($J318&gt;1949,AH318&gt;0),"ERRO","OK"))</f>
        <v>OK</v>
      </c>
      <c r="AJ318" s="6" t="n">
        <f aca="false">(10-(LEN(AK318)))+1</f>
        <v>8</v>
      </c>
      <c r="AK318" s="6" t="n">
        <v>418</v>
      </c>
      <c r="AL318" s="6" t="str">
        <f aca="false">IF($J318="NA","NA",IF(AND($J318&gt;1939,AK318&gt;0),"ERRO","OK"))</f>
        <v>OK</v>
      </c>
      <c r="AM318" s="6" t="n">
        <f aca="false">(10-(LEN(AN318)))+1</f>
        <v>10</v>
      </c>
      <c r="AN318" s="6" t="n">
        <v>0</v>
      </c>
      <c r="AO318" s="6" t="str">
        <f aca="false">IF($J318="NA","NA",IF(AND($J318&gt;1929,AN318&gt;0),"ERRO","OK"))</f>
        <v>OK</v>
      </c>
      <c r="AP318" s="6" t="n">
        <f aca="false">(10-(LEN(AQ318)))+1</f>
        <v>10</v>
      </c>
      <c r="AQ318" s="6" t="n">
        <v>0</v>
      </c>
      <c r="AR318" s="6" t="str">
        <f aca="false">IF($J318="NA","NA",IF(AND($J318&gt;1919,AQ318&gt;0),"ERRO","OK"))</f>
        <v>OK</v>
      </c>
      <c r="AS318" s="6" t="n">
        <f aca="false">(10-(LEN(AT318)))+1</f>
        <v>10</v>
      </c>
      <c r="AT318" s="6" t="n">
        <v>0</v>
      </c>
      <c r="AU318" s="6" t="str">
        <f aca="false">IF($J318="NA","NA",IF(AND($J318&gt;1909,AT318&gt;0),"ERRO","OK"))</f>
        <v>OK</v>
      </c>
      <c r="AV318" s="6" t="n">
        <f aca="false">(10-(LEN(AW318)))+1</f>
        <v>10</v>
      </c>
      <c r="AW318" s="6" t="n">
        <v>0</v>
      </c>
      <c r="AX318" s="6" t="str">
        <f aca="false">IF($J318="NA","NA",IF(AND($J318&gt;1899,AW318&gt;0),"ERRO","OK"))</f>
        <v>OK</v>
      </c>
    </row>
    <row r="319" customFormat="false" ht="15" hidden="false" customHeight="false" outlineLevel="0" collapsed="false">
      <c r="A319" s="7" t="n">
        <v>317</v>
      </c>
      <c r="B319" s="0" t="s">
        <v>336</v>
      </c>
      <c r="C319" s="8" t="n">
        <v>45329</v>
      </c>
      <c r="D319" s="6" t="n">
        <v>0</v>
      </c>
      <c r="E319" s="0" t="s">
        <v>16</v>
      </c>
      <c r="F319" s="0" t="s">
        <v>17</v>
      </c>
      <c r="G319" s="9" t="str">
        <f aca="false">IF(OR(N319="ERRO",Q319="ERRO",T319="ERRO",W319="ERRO",Z319="ERRO",AC319="ERRO",AF319="ERRO",AI319="ERRO",AL319="ERRO",AO319="ERRO",AR319="ERRO",AU319="ERRO",AX319="ERRO"),"ERRO","OK")</f>
        <v>OK</v>
      </c>
      <c r="H319" s="9" t="n">
        <f aca="false">COUNTIF(L319:AX319,"ERRO")</f>
        <v>0</v>
      </c>
      <c r="I319" s="9" t="s">
        <v>18</v>
      </c>
      <c r="J319" s="10" t="n">
        <v>1872</v>
      </c>
      <c r="K319" s="10" t="n">
        <v>1944</v>
      </c>
      <c r="L319" s="6" t="n">
        <f aca="false">(10-(LEN(M319)))+1</f>
        <v>6</v>
      </c>
      <c r="M319" s="6" t="n">
        <v>35647</v>
      </c>
      <c r="N319" s="6" t="str">
        <f aca="false">IF($J319="NA","NA",IF(AND($J319&gt;2019,M319&gt;0),"ERRO","OK"))</f>
        <v>OK</v>
      </c>
      <c r="O319" s="6" t="n">
        <f aca="false">(10-(LEN(P319)))+1</f>
        <v>6</v>
      </c>
      <c r="P319" s="6" t="n">
        <v>42743</v>
      </c>
      <c r="Q319" s="6" t="str">
        <f aca="false">IF($J319="NA","NA",IF(AND($J319&gt;2009,P319&gt;0),"ERRO","OK"))</f>
        <v>OK</v>
      </c>
      <c r="R319" s="6" t="n">
        <f aca="false">(10-(LEN(S319)))+1</f>
        <v>6</v>
      </c>
      <c r="S319" s="6" t="n">
        <v>49242</v>
      </c>
      <c r="T319" s="6" t="str">
        <f aca="false">IF($J319="NA","NA",IF(AND($J319&gt;1999,S319&gt;0),"ERRO","OK"))</f>
        <v>OK</v>
      </c>
      <c r="U319" s="6" t="n">
        <f aca="false">(10-(LEN(V319)))+1</f>
        <v>6</v>
      </c>
      <c r="V319" s="6" t="n">
        <v>40611</v>
      </c>
      <c r="W319" s="6" t="str">
        <f aca="false">IF($J319="NA","NA",IF(AND($J319&gt;1989,V319&gt;0),"ERRO","OK"))</f>
        <v>OK</v>
      </c>
      <c r="X319" s="6" t="n">
        <f aca="false">(10-(LEN(Y319)))+1</f>
        <v>6</v>
      </c>
      <c r="Y319" s="6" t="n">
        <v>41309</v>
      </c>
      <c r="Z319" s="6" t="str">
        <f aca="false">IF($J319="NA","NA",IF(AND($J319&gt;1979,Y319&gt;0),"ERRO","OK"))</f>
        <v>OK</v>
      </c>
      <c r="AA319" s="6" t="n">
        <f aca="false">(10-(LEN(AB319)))+1</f>
        <v>6</v>
      </c>
      <c r="AB319" s="6" t="n">
        <v>30295</v>
      </c>
      <c r="AC319" s="6" t="str">
        <f aca="false">IF($J319="NA","NA",IF(AND($J319&gt;1969,AB319&gt;0),"ERRO","OK"))</f>
        <v>OK</v>
      </c>
      <c r="AD319" s="6" t="n">
        <f aca="false">(10-(LEN(AE319)))+1</f>
        <v>6</v>
      </c>
      <c r="AE319" s="6" t="n">
        <v>20183</v>
      </c>
      <c r="AF319" s="6" t="str">
        <f aca="false">IF($J319="NA","NA",IF(AND($J319&gt;1959,AE319&gt;0),"ERRO","OK"))</f>
        <v>OK</v>
      </c>
      <c r="AG319" s="6" t="n">
        <f aca="false">(10-(LEN(AH319)))+1</f>
        <v>6</v>
      </c>
      <c r="AH319" s="6" t="n">
        <v>10463</v>
      </c>
      <c r="AI319" s="6" t="str">
        <f aca="false">IF($J319="NA","NA",IF(AND($J319&gt;1949,AH319&gt;0),"ERRO","OK"))</f>
        <v>OK</v>
      </c>
      <c r="AJ319" s="6" t="n">
        <f aca="false">(10-(LEN(AK319)))+1</f>
        <v>7</v>
      </c>
      <c r="AK319" s="6" t="n">
        <v>6824</v>
      </c>
      <c r="AL319" s="6" t="str">
        <f aca="false">IF($J319="NA","NA",IF(AND($J319&gt;1939,AK319&gt;0),"ERRO","OK"))</f>
        <v>OK</v>
      </c>
      <c r="AM319" s="6" t="n">
        <f aca="false">(10-(LEN(AN319)))+1</f>
        <v>8</v>
      </c>
      <c r="AN319" s="6" t="n">
        <v>457</v>
      </c>
      <c r="AO319" s="6" t="str">
        <f aca="false">IF($J319="NA","NA",IF(AND($J319&gt;1929,AN319&gt;0),"ERRO","OK"))</f>
        <v>OK</v>
      </c>
      <c r="AP319" s="6" t="n">
        <f aca="false">(10-(LEN(AQ319)))+1</f>
        <v>8</v>
      </c>
      <c r="AQ319" s="6" t="n">
        <v>100</v>
      </c>
      <c r="AR319" s="6" t="str">
        <f aca="false">IF($J319="NA","NA",IF(AND($J319&gt;1919,AQ319&gt;0),"ERRO","OK"))</f>
        <v>OK</v>
      </c>
      <c r="AS319" s="6" t="n">
        <f aca="false">(10-(LEN(AT319)))+1</f>
        <v>8</v>
      </c>
      <c r="AT319" s="6" t="n">
        <v>103</v>
      </c>
      <c r="AU319" s="6" t="str">
        <f aca="false">IF($J319="NA","NA",IF(AND($J319&gt;1909,AT319&gt;0),"ERRO","OK"))</f>
        <v>OK</v>
      </c>
      <c r="AV319" s="6" t="n">
        <f aca="false">(10-(LEN(AW319)))+1</f>
        <v>10</v>
      </c>
      <c r="AW319" s="6" t="n">
        <v>0</v>
      </c>
      <c r="AX319" s="6" t="str">
        <f aca="false">IF($J319="NA","NA",IF(AND($J319&gt;1899,AW319&gt;0),"ERRO","OK"))</f>
        <v>OK</v>
      </c>
    </row>
    <row r="320" customFormat="false" ht="15" hidden="false" customHeight="false" outlineLevel="0" collapsed="false">
      <c r="A320" s="7" t="n">
        <v>318</v>
      </c>
      <c r="B320" s="0" t="s">
        <v>337</v>
      </c>
      <c r="C320" s="8" t="n">
        <v>45329</v>
      </c>
      <c r="D320" s="6" t="n">
        <v>0</v>
      </c>
      <c r="E320" s="0" t="s">
        <v>16</v>
      </c>
      <c r="F320" s="0" t="s">
        <v>17</v>
      </c>
      <c r="G320" s="9" t="str">
        <f aca="false">IF(OR(N320="ERRO",Q320="ERRO",T320="ERRO",W320="ERRO",Z320="ERRO",AC320="ERRO",AF320="ERRO",AI320="ERRO",AL320="ERRO",AO320="ERRO",AR320="ERRO",AU320="ERRO",AX320="ERRO"),"ERRO","OK")</f>
        <v>OK</v>
      </c>
      <c r="H320" s="9" t="n">
        <f aca="false">COUNTIF(L320:AX320,"ERRO")</f>
        <v>0</v>
      </c>
      <c r="I320" s="9" t="s">
        <v>18</v>
      </c>
      <c r="J320" s="10" t="n">
        <v>1911</v>
      </c>
      <c r="K320" s="10" t="n">
        <v>1970</v>
      </c>
      <c r="L320" s="6" t="n">
        <f aca="false">(10-(LEN(M320)))+1</f>
        <v>6</v>
      </c>
      <c r="M320" s="6" t="n">
        <v>15859</v>
      </c>
      <c r="N320" s="6" t="str">
        <f aca="false">IF($J320="NA","NA",IF(AND($J320&gt;2019,M320&gt;0),"ERRO","OK"))</f>
        <v>OK</v>
      </c>
      <c r="O320" s="6" t="n">
        <f aca="false">(10-(LEN(P320)))+1</f>
        <v>6</v>
      </c>
      <c r="P320" s="6" t="n">
        <v>50508</v>
      </c>
      <c r="Q320" s="6" t="str">
        <f aca="false">IF($J320="NA","NA",IF(AND($J320&gt;2009,P320&gt;0),"ERRO","OK"))</f>
        <v>OK</v>
      </c>
      <c r="R320" s="6" t="n">
        <f aca="false">(10-(LEN(S320)))+1</f>
        <v>6</v>
      </c>
      <c r="S320" s="6" t="n">
        <v>25895</v>
      </c>
      <c r="T320" s="6" t="str">
        <f aca="false">IF($J320="NA","NA",IF(AND($J320&gt;1999,S320&gt;0),"ERRO","OK"))</f>
        <v>OK</v>
      </c>
      <c r="U320" s="6" t="n">
        <f aca="false">(10-(LEN(V320)))+1</f>
        <v>6</v>
      </c>
      <c r="V320" s="6" t="n">
        <v>19537</v>
      </c>
      <c r="W320" s="6" t="str">
        <f aca="false">IF($J320="NA","NA",IF(AND($J320&gt;1989,V320&gt;0),"ERRO","OK"))</f>
        <v>OK</v>
      </c>
      <c r="X320" s="6" t="n">
        <f aca="false">(10-(LEN(Y320)))+1</f>
        <v>6</v>
      </c>
      <c r="Y320" s="6" t="n">
        <v>17664</v>
      </c>
      <c r="Z320" s="6" t="str">
        <f aca="false">IF($J320="NA","NA",IF(AND($J320&gt;1979,Y320&gt;0),"ERRO","OK"))</f>
        <v>OK</v>
      </c>
      <c r="AA320" s="6" t="n">
        <f aca="false">(10-(LEN(AB320)))+1</f>
        <v>6</v>
      </c>
      <c r="AB320" s="6" t="n">
        <v>17665</v>
      </c>
      <c r="AC320" s="6" t="str">
        <f aca="false">IF($J320="NA","NA",IF(AND($J320&gt;1969,AB320&gt;0),"ERRO","OK"))</f>
        <v>OK</v>
      </c>
      <c r="AD320" s="6" t="n">
        <f aca="false">(10-(LEN(AE320)))+1</f>
        <v>6</v>
      </c>
      <c r="AE320" s="6" t="n">
        <v>41293</v>
      </c>
      <c r="AF320" s="6" t="str">
        <f aca="false">IF($J320="NA","NA",IF(AND($J320&gt;1959,AE320&gt;0),"ERRO","OK"))</f>
        <v>OK</v>
      </c>
      <c r="AG320" s="6" t="n">
        <f aca="false">(10-(LEN(AH320)))+1</f>
        <v>6</v>
      </c>
      <c r="AH320" s="6" t="n">
        <v>19576</v>
      </c>
      <c r="AI320" s="6" t="str">
        <f aca="false">IF($J320="NA","NA",IF(AND($J320&gt;1949,AH320&gt;0),"ERRO","OK"))</f>
        <v>OK</v>
      </c>
      <c r="AJ320" s="6" t="n">
        <f aca="false">(10-(LEN(AK320)))+1</f>
        <v>6</v>
      </c>
      <c r="AK320" s="6" t="n">
        <v>10406</v>
      </c>
      <c r="AL320" s="6" t="str">
        <f aca="false">IF($J320="NA","NA",IF(AND($J320&gt;1939,AK320&gt;0),"ERRO","OK"))</f>
        <v>OK</v>
      </c>
      <c r="AM320" s="6" t="n">
        <f aca="false">(10-(LEN(AN320)))+1</f>
        <v>8</v>
      </c>
      <c r="AN320" s="6" t="n">
        <v>321</v>
      </c>
      <c r="AO320" s="6" t="str">
        <f aca="false">IF($J320="NA","NA",IF(AND($J320&gt;1929,AN320&gt;0),"ERRO","OK"))</f>
        <v>OK</v>
      </c>
      <c r="AP320" s="6" t="n">
        <f aca="false">(10-(LEN(AQ320)))+1</f>
        <v>10</v>
      </c>
      <c r="AQ320" s="6" t="n">
        <v>0</v>
      </c>
      <c r="AR320" s="6" t="str">
        <f aca="false">IF($J320="NA","NA",IF(AND($J320&gt;1919,AQ320&gt;0),"ERRO","OK"))</f>
        <v>OK</v>
      </c>
      <c r="AS320" s="6" t="n">
        <f aca="false">(10-(LEN(AT320)))+1</f>
        <v>10</v>
      </c>
      <c r="AT320" s="6" t="n">
        <v>0</v>
      </c>
      <c r="AU320" s="6" t="str">
        <f aca="false">IF($J320="NA","NA",IF(AND($J320&gt;1909,AT320&gt;0),"ERRO","OK"))</f>
        <v>OK</v>
      </c>
      <c r="AV320" s="6" t="n">
        <f aca="false">(10-(LEN(AW320)))+1</f>
        <v>10</v>
      </c>
      <c r="AW320" s="6" t="n">
        <v>0</v>
      </c>
      <c r="AX320" s="6" t="str">
        <f aca="false">IF($J320="NA","NA",IF(AND($J320&gt;1899,AW320&gt;0),"ERRO","OK"))</f>
        <v>OK</v>
      </c>
    </row>
    <row r="321" customFormat="false" ht="15" hidden="false" customHeight="false" outlineLevel="0" collapsed="false">
      <c r="A321" s="7" t="n">
        <v>319</v>
      </c>
      <c r="B321" s="0" t="s">
        <v>338</v>
      </c>
      <c r="C321" s="8" t="n">
        <v>45329</v>
      </c>
      <c r="D321" s="6" t="n">
        <v>0</v>
      </c>
      <c r="E321" s="0" t="s">
        <v>16</v>
      </c>
      <c r="F321" s="0" t="s">
        <v>17</v>
      </c>
      <c r="G321" s="9" t="str">
        <f aca="false">IF(OR(N321="ERRO",Q321="ERRO",T321="ERRO",W321="ERRO",Z321="ERRO",AC321="ERRO",AF321="ERRO",AI321="ERRO",AL321="ERRO",AO321="ERRO",AR321="ERRO",AU321="ERRO",AX321="ERRO"),"ERRO","OK")</f>
        <v>ERRO</v>
      </c>
      <c r="H321" s="9" t="n">
        <f aca="false">COUNTIF(L321:AX321,"ERRO")</f>
        <v>1</v>
      </c>
      <c r="I321" s="9" t="s">
        <v>18</v>
      </c>
      <c r="J321" s="10" t="n">
        <v>1903</v>
      </c>
      <c r="K321" s="10" t="n">
        <v>1972</v>
      </c>
      <c r="L321" s="6" t="n">
        <f aca="false">(10-(LEN(M321)))+1</f>
        <v>6</v>
      </c>
      <c r="M321" s="6" t="n">
        <v>18532</v>
      </c>
      <c r="N321" s="6" t="str">
        <f aca="false">IF($J321="NA","NA",IF(AND($J321&gt;2019,M321&gt;0),"ERRO","OK"))</f>
        <v>OK</v>
      </c>
      <c r="O321" s="6" t="n">
        <f aca="false">(10-(LEN(P321)))+1</f>
        <v>6</v>
      </c>
      <c r="P321" s="6" t="n">
        <v>41405</v>
      </c>
      <c r="Q321" s="6" t="str">
        <f aca="false">IF($J321="NA","NA",IF(AND($J321&gt;2009,P321&gt;0),"ERRO","OK"))</f>
        <v>OK</v>
      </c>
      <c r="R321" s="6" t="n">
        <f aca="false">(10-(LEN(S321)))+1</f>
        <v>6</v>
      </c>
      <c r="S321" s="6" t="n">
        <v>49957</v>
      </c>
      <c r="T321" s="6" t="str">
        <f aca="false">IF($J321="NA","NA",IF(AND($J321&gt;1999,S321&gt;0),"ERRO","OK"))</f>
        <v>OK</v>
      </c>
      <c r="U321" s="6" t="n">
        <f aca="false">(10-(LEN(V321)))+1</f>
        <v>6</v>
      </c>
      <c r="V321" s="6" t="n">
        <v>29665</v>
      </c>
      <c r="W321" s="6" t="str">
        <f aca="false">IF($J321="NA","NA",IF(AND($J321&gt;1989,V321&gt;0),"ERRO","OK"))</f>
        <v>OK</v>
      </c>
      <c r="X321" s="6" t="n">
        <f aca="false">(10-(LEN(Y321)))+1</f>
        <v>6</v>
      </c>
      <c r="Y321" s="6" t="n">
        <v>24026</v>
      </c>
      <c r="Z321" s="6" t="str">
        <f aca="false">IF($J321="NA","NA",IF(AND($J321&gt;1979,Y321&gt;0),"ERRO","OK"))</f>
        <v>OK</v>
      </c>
      <c r="AA321" s="6" t="n">
        <f aca="false">(10-(LEN(AB321)))+1</f>
        <v>6</v>
      </c>
      <c r="AB321" s="6" t="n">
        <v>15821</v>
      </c>
      <c r="AC321" s="6" t="str">
        <f aca="false">IF($J321="NA","NA",IF(AND($J321&gt;1969,AB321&gt;0),"ERRO","OK"))</f>
        <v>OK</v>
      </c>
      <c r="AD321" s="6" t="n">
        <f aca="false">(10-(LEN(AE321)))+1</f>
        <v>7</v>
      </c>
      <c r="AE321" s="6" t="n">
        <v>4126</v>
      </c>
      <c r="AF321" s="6" t="str">
        <f aca="false">IF($J321="NA","NA",IF(AND($J321&gt;1959,AE321&gt;0),"ERRO","OK"))</f>
        <v>OK</v>
      </c>
      <c r="AG321" s="6" t="n">
        <f aca="false">(10-(LEN(AH321)))+1</f>
        <v>7</v>
      </c>
      <c r="AH321" s="6" t="n">
        <v>2533</v>
      </c>
      <c r="AI321" s="6" t="str">
        <f aca="false">IF($J321="NA","NA",IF(AND($J321&gt;1949,AH321&gt;0),"ERRO","OK"))</f>
        <v>OK</v>
      </c>
      <c r="AJ321" s="6" t="n">
        <f aca="false">(10-(LEN(AK321)))+1</f>
        <v>6</v>
      </c>
      <c r="AK321" s="6" t="n">
        <v>14204</v>
      </c>
      <c r="AL321" s="6" t="str">
        <f aca="false">IF($J321="NA","NA",IF(AND($J321&gt;1939,AK321&gt;0),"ERRO","OK"))</f>
        <v>OK</v>
      </c>
      <c r="AM321" s="6" t="n">
        <f aca="false">(10-(LEN(AN321)))+1</f>
        <v>8</v>
      </c>
      <c r="AN321" s="6" t="n">
        <v>457</v>
      </c>
      <c r="AO321" s="6" t="str">
        <f aca="false">IF($J321="NA","NA",IF(AND($J321&gt;1929,AN321&gt;0),"ERRO","OK"))</f>
        <v>OK</v>
      </c>
      <c r="AP321" s="6" t="n">
        <f aca="false">(10-(LEN(AQ321)))+1</f>
        <v>7</v>
      </c>
      <c r="AQ321" s="6" t="n">
        <v>2003</v>
      </c>
      <c r="AR321" s="6" t="str">
        <f aca="false">IF($J321="NA","NA",IF(AND($J321&gt;1919,AQ321&gt;0),"ERRO","OK"))</f>
        <v>OK</v>
      </c>
      <c r="AS321" s="6" t="n">
        <f aca="false">(10-(LEN(AT321)))+1</f>
        <v>7</v>
      </c>
      <c r="AT321" s="6" t="n">
        <v>1341</v>
      </c>
      <c r="AU321" s="6" t="str">
        <f aca="false">IF($J321="NA","NA",IF(AND($J321&gt;1909,AT321&gt;0),"ERRO","OK"))</f>
        <v>OK</v>
      </c>
      <c r="AV321" s="6" t="n">
        <f aca="false">(10-(LEN(AW321)))+1</f>
        <v>7</v>
      </c>
      <c r="AW321" s="6" t="n">
        <v>3870</v>
      </c>
      <c r="AX321" s="6" t="str">
        <f aca="false">IF($J321="NA","NA",IF(AND($J321&gt;1899,AW321&gt;0),"ERRO","OK"))</f>
        <v>ERRO</v>
      </c>
    </row>
    <row r="322" customFormat="false" ht="15" hidden="false" customHeight="false" outlineLevel="0" collapsed="false">
      <c r="A322" s="7" t="n">
        <v>320</v>
      </c>
      <c r="B322" s="0" t="s">
        <v>339</v>
      </c>
      <c r="C322" s="8" t="n">
        <v>45329</v>
      </c>
      <c r="D322" s="6" t="n">
        <v>0</v>
      </c>
      <c r="E322" s="0" t="s">
        <v>16</v>
      </c>
      <c r="F322" s="0" t="s">
        <v>17</v>
      </c>
      <c r="G322" s="9" t="str">
        <f aca="false">IF(OR(N322="ERRO",Q322="ERRO",T322="ERRO",W322="ERRO",Z322="ERRO",AC322="ERRO",AF322="ERRO",AI322="ERRO",AL322="ERRO",AO322="ERRO",AR322="ERRO",AU322="ERRO",AX322="ERRO"),"ERRO","OK")</f>
        <v>ERRO</v>
      </c>
      <c r="H322" s="9" t="n">
        <f aca="false">COUNTIF(L322:AX322,"ERRO")</f>
        <v>2</v>
      </c>
      <c r="I322" s="9" t="s">
        <v>104</v>
      </c>
      <c r="J322" s="10" t="n">
        <v>1917</v>
      </c>
      <c r="K322" s="10" t="n">
        <v>1992</v>
      </c>
      <c r="L322" s="6" t="n">
        <f aca="false">(10-(LEN(M322)))+1</f>
        <v>6</v>
      </c>
      <c r="M322" s="6" t="n">
        <v>27319</v>
      </c>
      <c r="N322" s="6" t="str">
        <f aca="false">IF($J322="NA","NA",IF(AND($J322&gt;2019,M322&gt;0),"ERRO","OK"))</f>
        <v>OK</v>
      </c>
      <c r="O322" s="6" t="n">
        <f aca="false">(10-(LEN(P322)))+1</f>
        <v>6</v>
      </c>
      <c r="P322" s="6" t="n">
        <v>36019</v>
      </c>
      <c r="Q322" s="6" t="str">
        <f aca="false">IF($J322="NA","NA",IF(AND($J322&gt;2009,P322&gt;0),"ERRO","OK"))</f>
        <v>OK</v>
      </c>
      <c r="R322" s="6" t="n">
        <f aca="false">(10-(LEN(S322)))+1</f>
        <v>6</v>
      </c>
      <c r="S322" s="6" t="n">
        <v>74368</v>
      </c>
      <c r="T322" s="6" t="str">
        <f aca="false">IF($J322="NA","NA",IF(AND($J322&gt;1999,S322&gt;0),"ERRO","OK"))</f>
        <v>OK</v>
      </c>
      <c r="U322" s="6" t="n">
        <f aca="false">(10-(LEN(V322)))+1</f>
        <v>6</v>
      </c>
      <c r="V322" s="6" t="n">
        <v>51925</v>
      </c>
      <c r="W322" s="6" t="str">
        <f aca="false">IF($J322="NA","NA",IF(AND($J322&gt;1989,V322&gt;0),"ERRO","OK"))</f>
        <v>OK</v>
      </c>
      <c r="X322" s="6" t="n">
        <f aca="false">(10-(LEN(Y322)))+1</f>
        <v>6</v>
      </c>
      <c r="Y322" s="6" t="n">
        <v>52707</v>
      </c>
      <c r="Z322" s="6" t="str">
        <f aca="false">IF($J322="NA","NA",IF(AND($J322&gt;1979,Y322&gt;0),"ERRO","OK"))</f>
        <v>OK</v>
      </c>
      <c r="AA322" s="6" t="n">
        <f aca="false">(10-(LEN(AB322)))+1</f>
        <v>6</v>
      </c>
      <c r="AB322" s="6" t="n">
        <v>20509</v>
      </c>
      <c r="AC322" s="6" t="str">
        <f aca="false">IF($J322="NA","NA",IF(AND($J322&gt;1969,AB322&gt;0),"ERRO","OK"))</f>
        <v>OK</v>
      </c>
      <c r="AD322" s="6" t="n">
        <f aca="false">(10-(LEN(AE322)))+1</f>
        <v>6</v>
      </c>
      <c r="AE322" s="6" t="n">
        <v>20183</v>
      </c>
      <c r="AF322" s="6" t="str">
        <f aca="false">IF($J322="NA","NA",IF(AND($J322&gt;1959,AE322&gt;0),"ERRO","OK"))</f>
        <v>OK</v>
      </c>
      <c r="AG322" s="6" t="n">
        <f aca="false">(10-(LEN(AH322)))+1</f>
        <v>6</v>
      </c>
      <c r="AH322" s="6" t="n">
        <v>26543</v>
      </c>
      <c r="AI322" s="6" t="str">
        <f aca="false">IF($J322="NA","NA",IF(AND($J322&gt;1949,AH322&gt;0),"ERRO","OK"))</f>
        <v>OK</v>
      </c>
      <c r="AJ322" s="6" t="n">
        <f aca="false">(10-(LEN(AK322)))+1</f>
        <v>6</v>
      </c>
      <c r="AK322" s="6" t="n">
        <v>11837</v>
      </c>
      <c r="AL322" s="6" t="str">
        <f aca="false">IF($J322="NA","NA",IF(AND($J322&gt;1939,AK322&gt;0),"ERRO","OK"))</f>
        <v>OK</v>
      </c>
      <c r="AM322" s="6" t="n">
        <f aca="false">(10-(LEN(AN322)))+1</f>
        <v>6</v>
      </c>
      <c r="AN322" s="6" t="n">
        <v>12948</v>
      </c>
      <c r="AO322" s="6" t="str">
        <f aca="false">IF($J322="NA","NA",IF(AND($J322&gt;1929,AN322&gt;0),"ERRO","OK"))</f>
        <v>OK</v>
      </c>
      <c r="AP322" s="6" t="n">
        <f aca="false">(10-(LEN(AQ322)))+1</f>
        <v>6</v>
      </c>
      <c r="AQ322" s="6" t="n">
        <v>38952</v>
      </c>
      <c r="AR322" s="6" t="str">
        <f aca="false">IF($J322="NA","NA",IF(AND($J322&gt;1919,AQ322&gt;0),"ERRO","OK"))</f>
        <v>OK</v>
      </c>
      <c r="AS322" s="6" t="n">
        <f aca="false">(10-(LEN(AT322)))+1</f>
        <v>7</v>
      </c>
      <c r="AT322" s="6" t="n">
        <v>7116</v>
      </c>
      <c r="AU322" s="6" t="str">
        <f aca="false">IF($J322="NA","NA",IF(AND($J322&gt;1909,AT322&gt;0),"ERRO","OK"))</f>
        <v>ERRO</v>
      </c>
      <c r="AV322" s="6" t="n">
        <f aca="false">(10-(LEN(AW322)))+1</f>
        <v>7</v>
      </c>
      <c r="AW322" s="6" t="n">
        <v>2064</v>
      </c>
      <c r="AX322" s="6" t="str">
        <f aca="false">IF($J322="NA","NA",IF(AND($J322&gt;1899,AW322&gt;0),"ERRO","OK"))</f>
        <v>ERRO</v>
      </c>
    </row>
    <row r="323" customFormat="false" ht="15" hidden="false" customHeight="false" outlineLevel="0" collapsed="false">
      <c r="A323" s="7" t="n">
        <v>321</v>
      </c>
      <c r="B323" s="0" t="s">
        <v>340</v>
      </c>
      <c r="C323" s="8" t="n">
        <v>45330</v>
      </c>
      <c r="D323" s="6" t="n">
        <v>0</v>
      </c>
      <c r="E323" s="0" t="s">
        <v>16</v>
      </c>
      <c r="F323" s="0" t="s">
        <v>17</v>
      </c>
      <c r="G323" s="9" t="str">
        <f aca="false">IF(OR(N323="ERRO",Q323="ERRO",T323="ERRO",W323="ERRO",Z323="ERRO",AC323="ERRO",AF323="ERRO",AI323="ERRO",AL323="ERRO",AO323="ERRO",AR323="ERRO",AU323="ERRO",AX323="ERRO"),"ERRO","OK")</f>
        <v>OK</v>
      </c>
      <c r="H323" s="9" t="n">
        <f aca="false">COUNTIF(L323:AX323,"ERRO")</f>
        <v>0</v>
      </c>
      <c r="I323" s="9" t="s">
        <v>18</v>
      </c>
      <c r="J323" s="10" t="n">
        <v>1901</v>
      </c>
      <c r="K323" s="10" t="n">
        <v>1988</v>
      </c>
      <c r="L323" s="6" t="n">
        <f aca="false">(10-(LEN(M323)))+1</f>
        <v>7</v>
      </c>
      <c r="M323" s="6" t="n">
        <v>4250</v>
      </c>
      <c r="N323" s="6" t="str">
        <f aca="false">IF($J323="NA","NA",IF(AND($J323&gt;2019,M323&gt;0),"ERRO","OK"))</f>
        <v>OK</v>
      </c>
      <c r="O323" s="6" t="n">
        <f aca="false">(10-(LEN(P323)))+1</f>
        <v>7</v>
      </c>
      <c r="P323" s="6" t="n">
        <v>3999</v>
      </c>
      <c r="Q323" s="6" t="str">
        <f aca="false">IF($J323="NA","NA",IF(AND($J323&gt;2009,P323&gt;0),"ERRO","OK"))</f>
        <v>OK</v>
      </c>
      <c r="R323" s="6" t="n">
        <f aca="false">(10-(LEN(S323)))+1</f>
        <v>7</v>
      </c>
      <c r="S323" s="6" t="n">
        <v>4411</v>
      </c>
      <c r="T323" s="6" t="str">
        <f aca="false">IF($J323="NA","NA",IF(AND($J323&gt;1999,S323&gt;0),"ERRO","OK"))</f>
        <v>OK</v>
      </c>
      <c r="U323" s="6" t="n">
        <f aca="false">(10-(LEN(V323)))+1</f>
        <v>7</v>
      </c>
      <c r="V323" s="6" t="n">
        <v>5610</v>
      </c>
      <c r="W323" s="6" t="str">
        <f aca="false">IF($J323="NA","NA",IF(AND($J323&gt;1989,V323&gt;0),"ERRO","OK"))</f>
        <v>OK</v>
      </c>
      <c r="X323" s="6" t="n">
        <f aca="false">(10-(LEN(Y323)))+1</f>
        <v>7</v>
      </c>
      <c r="Y323" s="6" t="n">
        <v>7707</v>
      </c>
      <c r="Z323" s="6" t="str">
        <f aca="false">IF($J323="NA","NA",IF(AND($J323&gt;1979,Y323&gt;0),"ERRO","OK"))</f>
        <v>OK</v>
      </c>
      <c r="AA323" s="6" t="n">
        <f aca="false">(10-(LEN(AB323)))+1</f>
        <v>7</v>
      </c>
      <c r="AB323" s="6" t="n">
        <v>4739</v>
      </c>
      <c r="AC323" s="6" t="str">
        <f aca="false">IF($J323="NA","NA",IF(AND($J323&gt;1969,AB323&gt;0),"ERRO","OK"))</f>
        <v>OK</v>
      </c>
      <c r="AD323" s="6" t="n">
        <f aca="false">(10-(LEN(AE323)))+1</f>
        <v>7</v>
      </c>
      <c r="AE323" s="6" t="n">
        <v>4148</v>
      </c>
      <c r="AF323" s="6" t="str">
        <f aca="false">IF($J323="NA","NA",IF(AND($J323&gt;1959,AE323&gt;0),"ERRO","OK"))</f>
        <v>OK</v>
      </c>
      <c r="AG323" s="6" t="n">
        <f aca="false">(10-(LEN(AH323)))+1</f>
        <v>7</v>
      </c>
      <c r="AH323" s="6" t="n">
        <v>8804</v>
      </c>
      <c r="AI323" s="6" t="str">
        <f aca="false">IF($J323="NA","NA",IF(AND($J323&gt;1949,AH323&gt;0),"ERRO","OK"))</f>
        <v>OK</v>
      </c>
      <c r="AJ323" s="6" t="n">
        <f aca="false">(10-(LEN(AK323)))+1</f>
        <v>7</v>
      </c>
      <c r="AK323" s="6" t="n">
        <v>4104</v>
      </c>
      <c r="AL323" s="6" t="str">
        <f aca="false">IF($J323="NA","NA",IF(AND($J323&gt;1939,AK323&gt;0),"ERRO","OK"))</f>
        <v>OK</v>
      </c>
      <c r="AM323" s="6" t="n">
        <f aca="false">(10-(LEN(AN323)))+1</f>
        <v>8</v>
      </c>
      <c r="AN323" s="6" t="n">
        <v>160</v>
      </c>
      <c r="AO323" s="6" t="str">
        <f aca="false">IF($J323="NA","NA",IF(AND($J323&gt;1929,AN323&gt;0),"ERRO","OK"))</f>
        <v>OK</v>
      </c>
      <c r="AP323" s="6" t="n">
        <f aca="false">(10-(LEN(AQ323)))+1</f>
        <v>10</v>
      </c>
      <c r="AQ323" s="6" t="n">
        <v>0</v>
      </c>
      <c r="AR323" s="6" t="str">
        <f aca="false">IF($J323="NA","NA",IF(AND($J323&gt;1919,AQ323&gt;0),"ERRO","OK"))</f>
        <v>OK</v>
      </c>
      <c r="AS323" s="6" t="n">
        <f aca="false">(10-(LEN(AT323)))+1</f>
        <v>10</v>
      </c>
      <c r="AT323" s="6" t="n">
        <v>0</v>
      </c>
      <c r="AU323" s="6" t="str">
        <f aca="false">IF($J323="NA","NA",IF(AND($J323&gt;1909,AT323&gt;0),"ERRO","OK"))</f>
        <v>OK</v>
      </c>
      <c r="AV323" s="6" t="n">
        <f aca="false">(10-(LEN(AW323)))+1</f>
        <v>10</v>
      </c>
      <c r="AW323" s="6" t="n">
        <v>0</v>
      </c>
      <c r="AX323" s="6" t="str">
        <f aca="false">IF($J323="NA","NA",IF(AND($J323&gt;1899,AW323&gt;0),"ERRO","OK"))</f>
        <v>OK</v>
      </c>
    </row>
    <row r="324" customFormat="false" ht="15" hidden="false" customHeight="false" outlineLevel="0" collapsed="false">
      <c r="A324" s="7" t="n">
        <v>322</v>
      </c>
      <c r="B324" s="0" t="s">
        <v>341</v>
      </c>
      <c r="C324" s="8" t="n">
        <v>45330</v>
      </c>
      <c r="D324" s="6" t="n">
        <v>0</v>
      </c>
      <c r="E324" s="0" t="s">
        <v>16</v>
      </c>
      <c r="F324" s="0" t="s">
        <v>17</v>
      </c>
      <c r="G324" s="9" t="str">
        <f aca="false">IF(OR(N324="ERRO",Q324="ERRO",T324="ERRO",W324="ERRO",Z324="ERRO",AC324="ERRO",AF324="ERRO",AI324="ERRO",AL324="ERRO",AO324="ERRO",AR324="ERRO",AU324="ERRO",AX324="ERRO"),"ERRO","OK")</f>
        <v>OK</v>
      </c>
      <c r="H324" s="9" t="n">
        <f aca="false">COUNTIF(L324:AX324,"ERRO")</f>
        <v>0</v>
      </c>
      <c r="I324" s="9" t="s">
        <v>18</v>
      </c>
      <c r="J324" s="10" t="n">
        <v>1917</v>
      </c>
      <c r="K324" s="10" t="n">
        <v>2011</v>
      </c>
      <c r="L324" s="6" t="n">
        <f aca="false">(10-(LEN(M324)))+1</f>
        <v>6</v>
      </c>
      <c r="M324" s="6" t="n">
        <v>13201</v>
      </c>
      <c r="N324" s="6" t="str">
        <f aca="false">IF($J324="NA","NA",IF(AND($J324&gt;2019,M324&gt;0),"ERRO","OK"))</f>
        <v>OK</v>
      </c>
      <c r="O324" s="6" t="n">
        <f aca="false">(10-(LEN(P324)))+1</f>
        <v>6</v>
      </c>
      <c r="P324" s="6" t="n">
        <v>10943</v>
      </c>
      <c r="Q324" s="6" t="str">
        <f aca="false">IF($J324="NA","NA",IF(AND($J324&gt;2009,P324&gt;0),"ERRO","OK"))</f>
        <v>OK</v>
      </c>
      <c r="R324" s="6" t="n">
        <f aca="false">(10-(LEN(S324)))+1</f>
        <v>7</v>
      </c>
      <c r="S324" s="6" t="n">
        <v>9790</v>
      </c>
      <c r="T324" s="6" t="str">
        <f aca="false">IF($J324="NA","NA",IF(AND($J324&gt;1999,S324&gt;0),"ERRO","OK"))</f>
        <v>OK</v>
      </c>
      <c r="U324" s="6" t="n">
        <f aca="false">(10-(LEN(V324)))+1</f>
        <v>6</v>
      </c>
      <c r="V324" s="6" t="n">
        <v>17385</v>
      </c>
      <c r="W324" s="6" t="str">
        <f aca="false">IF($J324="NA","NA",IF(AND($J324&gt;1989,V324&gt;0),"ERRO","OK"))</f>
        <v>OK</v>
      </c>
      <c r="X324" s="6" t="n">
        <f aca="false">(10-(LEN(Y324)))+1</f>
        <v>7</v>
      </c>
      <c r="Y324" s="6" t="n">
        <v>3425</v>
      </c>
      <c r="Z324" s="6" t="str">
        <f aca="false">IF($J324="NA","NA",IF(AND($J324&gt;1979,Y324&gt;0),"ERRO","OK"))</f>
        <v>OK</v>
      </c>
      <c r="AA324" s="6" t="n">
        <f aca="false">(10-(LEN(AB324)))+1</f>
        <v>7</v>
      </c>
      <c r="AB324" s="6" t="n">
        <v>3750</v>
      </c>
      <c r="AC324" s="6" t="str">
        <f aca="false">IF($J324="NA","NA",IF(AND($J324&gt;1969,AB324&gt;0),"ERRO","OK"))</f>
        <v>OK</v>
      </c>
      <c r="AD324" s="6" t="n">
        <f aca="false">(10-(LEN(AE324)))+1</f>
        <v>7</v>
      </c>
      <c r="AE324" s="6" t="n">
        <v>1973</v>
      </c>
      <c r="AF324" s="6" t="str">
        <f aca="false">IF($J324="NA","NA",IF(AND($J324&gt;1959,AE324&gt;0),"ERRO","OK"))</f>
        <v>OK</v>
      </c>
      <c r="AG324" s="6" t="n">
        <f aca="false">(10-(LEN(AH324)))+1</f>
        <v>8</v>
      </c>
      <c r="AH324" s="6" t="n">
        <v>220</v>
      </c>
      <c r="AI324" s="6" t="str">
        <f aca="false">IF($J324="NA","NA",IF(AND($J324&gt;1949,AH324&gt;0),"ERRO","OK"))</f>
        <v>OK</v>
      </c>
      <c r="AJ324" s="6" t="n">
        <f aca="false">(10-(LEN(AK324)))+1</f>
        <v>7</v>
      </c>
      <c r="AK324" s="6" t="n">
        <v>3481</v>
      </c>
      <c r="AL324" s="6" t="str">
        <f aca="false">IF($J324="NA","NA",IF(AND($J324&gt;1939,AK324&gt;0),"ERRO","OK"))</f>
        <v>OK</v>
      </c>
      <c r="AM324" s="6" t="n">
        <f aca="false">(10-(LEN(AN324)))+1</f>
        <v>10</v>
      </c>
      <c r="AN324" s="6" t="n">
        <v>0</v>
      </c>
      <c r="AO324" s="6" t="str">
        <f aca="false">IF($J324="NA","NA",IF(AND($J324&gt;1929,AN324&gt;0),"ERRO","OK"))</f>
        <v>OK</v>
      </c>
      <c r="AP324" s="6" t="n">
        <f aca="false">(10-(LEN(AQ324)))+1</f>
        <v>8</v>
      </c>
      <c r="AQ324" s="6" t="n">
        <v>200</v>
      </c>
      <c r="AR324" s="6" t="str">
        <f aca="false">IF($J324="NA","NA",IF(AND($J324&gt;1919,AQ324&gt;0),"ERRO","OK"))</f>
        <v>OK</v>
      </c>
      <c r="AS324" s="6" t="n">
        <f aca="false">(10-(LEN(AT324)))+1</f>
        <v>10</v>
      </c>
      <c r="AT324" s="6" t="n">
        <v>0</v>
      </c>
      <c r="AU324" s="6" t="str">
        <f aca="false">IF($J324="NA","NA",IF(AND($J324&gt;1909,AT324&gt;0),"ERRO","OK"))</f>
        <v>OK</v>
      </c>
      <c r="AV324" s="6" t="n">
        <f aca="false">(10-(LEN(AW324)))+1</f>
        <v>10</v>
      </c>
      <c r="AW324" s="6" t="n">
        <v>0</v>
      </c>
      <c r="AX324" s="6" t="str">
        <f aca="false">IF($J324="NA","NA",IF(AND($J324&gt;1899,AW324&gt;0),"ERRO","OK"))</f>
        <v>OK</v>
      </c>
    </row>
    <row r="325" customFormat="false" ht="15" hidden="false" customHeight="false" outlineLevel="0" collapsed="false">
      <c r="A325" s="7" t="n">
        <v>323</v>
      </c>
      <c r="B325" s="0" t="s">
        <v>342</v>
      </c>
      <c r="C325" s="8" t="n">
        <v>45330</v>
      </c>
      <c r="D325" s="6" t="n">
        <v>0</v>
      </c>
      <c r="E325" s="0" t="s">
        <v>16</v>
      </c>
      <c r="F325" s="0" t="s">
        <v>17</v>
      </c>
      <c r="G325" s="9" t="str">
        <f aca="false">IF(OR(N325="ERRO",Q325="ERRO",T325="ERRO",W325="ERRO",Z325="ERRO",AC325="ERRO",AF325="ERRO",AI325="ERRO",AL325="ERRO",AO325="ERRO",AR325="ERRO",AU325="ERRO",AX325="ERRO"),"ERRO","OK")</f>
        <v>OK</v>
      </c>
      <c r="H325" s="9" t="n">
        <f aca="false">COUNTIF(L325:AX325,"ERRO")</f>
        <v>0</v>
      </c>
      <c r="I325" s="9" t="s">
        <v>18</v>
      </c>
      <c r="J325" s="10" t="n">
        <v>1905</v>
      </c>
      <c r="K325" s="10" t="n">
        <v>1970</v>
      </c>
      <c r="L325" s="6" t="n">
        <f aca="false">(10-(LEN(M325)))+1</f>
        <v>8</v>
      </c>
      <c r="M325" s="6" t="n">
        <v>708</v>
      </c>
      <c r="N325" s="6" t="str">
        <f aca="false">IF($J325="NA","NA",IF(AND($J325&gt;2019,M325&gt;0),"ERRO","OK"))</f>
        <v>OK</v>
      </c>
      <c r="O325" s="6" t="n">
        <f aca="false">(10-(LEN(P325)))+1</f>
        <v>7</v>
      </c>
      <c r="P325" s="6" t="n">
        <v>1475</v>
      </c>
      <c r="Q325" s="6" t="str">
        <f aca="false">IF($J325="NA","NA",IF(AND($J325&gt;2009,P325&gt;0),"ERRO","OK"))</f>
        <v>OK</v>
      </c>
      <c r="R325" s="6" t="n">
        <f aca="false">(10-(LEN(S325)))+1</f>
        <v>7</v>
      </c>
      <c r="S325" s="6" t="n">
        <v>1891</v>
      </c>
      <c r="T325" s="6" t="str">
        <f aca="false">IF($J325="NA","NA",IF(AND($J325&gt;1999,S325&gt;0),"ERRO","OK"))</f>
        <v>OK</v>
      </c>
      <c r="U325" s="6" t="n">
        <f aca="false">(10-(LEN(V325)))+1</f>
        <v>7</v>
      </c>
      <c r="V325" s="6" t="n">
        <v>2714</v>
      </c>
      <c r="W325" s="6" t="str">
        <f aca="false">IF($J325="NA","NA",IF(AND($J325&gt;1989,V325&gt;0),"ERRO","OK"))</f>
        <v>OK</v>
      </c>
      <c r="X325" s="6" t="n">
        <f aca="false">(10-(LEN(Y325)))+1</f>
        <v>7</v>
      </c>
      <c r="Y325" s="6" t="n">
        <v>3692</v>
      </c>
      <c r="Z325" s="6" t="str">
        <f aca="false">IF($J325="NA","NA",IF(AND($J325&gt;1979,Y325&gt;0),"ERRO","OK"))</f>
        <v>OK</v>
      </c>
      <c r="AA325" s="6" t="n">
        <f aca="false">(10-(LEN(AB325)))+1</f>
        <v>7</v>
      </c>
      <c r="AB325" s="6" t="n">
        <v>1875</v>
      </c>
      <c r="AC325" s="6" t="str">
        <f aca="false">IF($J325="NA","NA",IF(AND($J325&gt;1969,AB325&gt;0),"ERRO","OK"))</f>
        <v>OK</v>
      </c>
      <c r="AD325" s="6" t="n">
        <f aca="false">(10-(LEN(AE325)))+1</f>
        <v>7</v>
      </c>
      <c r="AE325" s="6" t="n">
        <v>4934</v>
      </c>
      <c r="AF325" s="6" t="str">
        <f aca="false">IF($J325="NA","NA",IF(AND($J325&gt;1959,AE325&gt;0),"ERRO","OK"))</f>
        <v>OK</v>
      </c>
      <c r="AG325" s="6" t="n">
        <f aca="false">(10-(LEN(AH325)))+1</f>
        <v>7</v>
      </c>
      <c r="AH325" s="6" t="n">
        <v>4626</v>
      </c>
      <c r="AI325" s="6" t="str">
        <f aca="false">IF($J325="NA","NA",IF(AND($J325&gt;1949,AH325&gt;0),"ERRO","OK"))</f>
        <v>OK</v>
      </c>
      <c r="AJ325" s="6" t="n">
        <f aca="false">(10-(LEN(AK325)))+1</f>
        <v>7</v>
      </c>
      <c r="AK325" s="6" t="n">
        <v>3760</v>
      </c>
      <c r="AL325" s="6" t="str">
        <f aca="false">IF($J325="NA","NA",IF(AND($J325&gt;1939,AK325&gt;0),"ERRO","OK"))</f>
        <v>OK</v>
      </c>
      <c r="AM325" s="6" t="n">
        <f aca="false">(10-(LEN(AN325)))+1</f>
        <v>8</v>
      </c>
      <c r="AN325" s="6" t="n">
        <v>305</v>
      </c>
      <c r="AO325" s="6" t="str">
        <f aca="false">IF($J325="NA","NA",IF(AND($J325&gt;1929,AN325&gt;0),"ERRO","OK"))</f>
        <v>OK</v>
      </c>
      <c r="AP325" s="6" t="n">
        <f aca="false">(10-(LEN(AQ325)))+1</f>
        <v>8</v>
      </c>
      <c r="AQ325" s="6" t="n">
        <v>100</v>
      </c>
      <c r="AR325" s="6" t="str">
        <f aca="false">IF($J325="NA","NA",IF(AND($J325&gt;1919,AQ325&gt;0),"ERRO","OK"))</f>
        <v>OK</v>
      </c>
      <c r="AS325" s="6" t="n">
        <f aca="false">(10-(LEN(AT325)))+1</f>
        <v>8</v>
      </c>
      <c r="AT325" s="6" t="n">
        <v>206</v>
      </c>
      <c r="AU325" s="6" t="str">
        <f aca="false">IF($J325="NA","NA",IF(AND($J325&gt;1909,AT325&gt;0),"ERRO","OK"))</f>
        <v>OK</v>
      </c>
      <c r="AV325" s="6" t="n">
        <f aca="false">(10-(LEN(AW325)))+1</f>
        <v>10</v>
      </c>
      <c r="AW325" s="6" t="n">
        <v>0</v>
      </c>
      <c r="AX325" s="6" t="str">
        <f aca="false">IF($J325="NA","NA",IF(AND($J325&gt;1899,AW325&gt;0),"ERRO","OK"))</f>
        <v>OK</v>
      </c>
    </row>
    <row r="326" customFormat="false" ht="15" hidden="false" customHeight="false" outlineLevel="0" collapsed="false">
      <c r="A326" s="7" t="n">
        <v>324</v>
      </c>
      <c r="B326" s="0" t="s">
        <v>343</v>
      </c>
      <c r="C326" s="8" t="n">
        <v>45330</v>
      </c>
      <c r="D326" s="6" t="n">
        <v>0</v>
      </c>
      <c r="E326" s="0" t="s">
        <v>16</v>
      </c>
      <c r="F326" s="0" t="s">
        <v>17</v>
      </c>
      <c r="G326" s="9" t="str">
        <f aca="false">IF(OR(N326="ERRO",Q326="ERRO",T326="ERRO",W326="ERRO",Z326="ERRO",AC326="ERRO",AF326="ERRO",AI326="ERRO",AL326="ERRO",AO326="ERRO",AR326="ERRO",AU326="ERRO",AX326="ERRO"),"ERRO","OK")</f>
        <v>ERRO</v>
      </c>
      <c r="H326" s="9" t="n">
        <f aca="false">COUNTIF(L326:AX326,"ERRO")</f>
        <v>1</v>
      </c>
      <c r="I326" s="9" t="s">
        <v>18</v>
      </c>
      <c r="J326" s="10" t="n">
        <v>1915</v>
      </c>
      <c r="K326" s="10" t="n">
        <v>1991</v>
      </c>
      <c r="L326" s="6" t="n">
        <f aca="false">(10-(LEN(M326)))+1</f>
        <v>6</v>
      </c>
      <c r="M326" s="6" t="n">
        <v>16741</v>
      </c>
      <c r="N326" s="6" t="str">
        <f aca="false">IF($J326="NA","NA",IF(AND($J326&gt;2019,M326&gt;0),"ERRO","OK"))</f>
        <v>OK</v>
      </c>
      <c r="O326" s="6" t="n">
        <f aca="false">(10-(LEN(P326)))+1</f>
        <v>6</v>
      </c>
      <c r="P326" s="6" t="n">
        <v>34613</v>
      </c>
      <c r="Q326" s="6" t="str">
        <f aca="false">IF($J326="NA","NA",IF(AND($J326&gt;2009,P326&gt;0),"ERRO","OK"))</f>
        <v>OK</v>
      </c>
      <c r="R326" s="6" t="n">
        <f aca="false">(10-(LEN(S326)))+1</f>
        <v>6</v>
      </c>
      <c r="S326" s="6" t="n">
        <v>67519</v>
      </c>
      <c r="T326" s="6" t="str">
        <f aca="false">IF($J326="NA","NA",IF(AND($J326&gt;1999,S326&gt;0),"ERRO","OK"))</f>
        <v>OK</v>
      </c>
      <c r="U326" s="6" t="n">
        <f aca="false">(10-(LEN(V326)))+1</f>
        <v>6</v>
      </c>
      <c r="V326" s="6" t="n">
        <v>65125</v>
      </c>
      <c r="W326" s="6" t="str">
        <f aca="false">IF($J326="NA","NA",IF(AND($J326&gt;1989,V326&gt;0),"ERRO","OK"))</f>
        <v>OK</v>
      </c>
      <c r="X326" s="6" t="n">
        <f aca="false">(10-(LEN(Y326)))+1</f>
        <v>6</v>
      </c>
      <c r="Y326" s="6" t="n">
        <v>56613</v>
      </c>
      <c r="Z326" s="6" t="str">
        <f aca="false">IF($J326="NA","NA",IF(AND($J326&gt;1979,Y326&gt;0),"ERRO","OK"))</f>
        <v>OK</v>
      </c>
      <c r="AA326" s="6" t="n">
        <f aca="false">(10-(LEN(AB326)))+1</f>
        <v>6</v>
      </c>
      <c r="AB326" s="6" t="n">
        <v>32170</v>
      </c>
      <c r="AC326" s="6" t="str">
        <f aca="false">IF($J326="NA","NA",IF(AND($J326&gt;1969,AB326&gt;0),"ERRO","OK"))</f>
        <v>OK</v>
      </c>
      <c r="AD326" s="6" t="n">
        <f aca="false">(10-(LEN(AE326)))+1</f>
        <v>6</v>
      </c>
      <c r="AE326" s="6" t="n">
        <v>16595</v>
      </c>
      <c r="AF326" s="6" t="str">
        <f aca="false">IF($J326="NA","NA",IF(AND($J326&gt;1959,AE326&gt;0),"ERRO","OK"))</f>
        <v>OK</v>
      </c>
      <c r="AG326" s="6" t="n">
        <f aca="false">(10-(LEN(AH326)))+1</f>
        <v>6</v>
      </c>
      <c r="AH326" s="6" t="n">
        <v>29957</v>
      </c>
      <c r="AI326" s="6" t="str">
        <f aca="false">IF($J326="NA","NA",IF(AND($J326&gt;1949,AH326&gt;0),"ERRO","OK"))</f>
        <v>OK</v>
      </c>
      <c r="AJ326" s="6" t="n">
        <f aca="false">(10-(LEN(AK326)))+1</f>
        <v>6</v>
      </c>
      <c r="AK326" s="6" t="n">
        <v>44702</v>
      </c>
      <c r="AL326" s="6" t="str">
        <f aca="false">IF($J326="NA","NA",IF(AND($J326&gt;1939,AK326&gt;0),"ERRO","OK"))</f>
        <v>OK</v>
      </c>
      <c r="AM326" s="6" t="n">
        <f aca="false">(10-(LEN(AN326)))+1</f>
        <v>8</v>
      </c>
      <c r="AN326" s="6" t="n">
        <v>305</v>
      </c>
      <c r="AO326" s="6" t="str">
        <f aca="false">IF($J326="NA","NA",IF(AND($J326&gt;1929,AN326&gt;0),"ERRO","OK"))</f>
        <v>OK</v>
      </c>
      <c r="AP326" s="6" t="n">
        <f aca="false">(10-(LEN(AQ326)))+1</f>
        <v>8</v>
      </c>
      <c r="AQ326" s="6" t="n">
        <v>401</v>
      </c>
      <c r="AR326" s="6" t="str">
        <f aca="false">IF($J326="NA","NA",IF(AND($J326&gt;1919,AQ326&gt;0),"ERRO","OK"))</f>
        <v>OK</v>
      </c>
      <c r="AS326" s="6" t="n">
        <f aca="false">(10-(LEN(AT326)))+1</f>
        <v>8</v>
      </c>
      <c r="AT326" s="6" t="n">
        <v>206</v>
      </c>
      <c r="AU326" s="6" t="str">
        <f aca="false">IF($J326="NA","NA",IF(AND($J326&gt;1909,AT326&gt;0),"ERRO","OK"))</f>
        <v>ERRO</v>
      </c>
      <c r="AV326" s="6" t="n">
        <f aca="false">(10-(LEN(AW326)))+1</f>
        <v>10</v>
      </c>
      <c r="AW326" s="6" t="n">
        <v>0</v>
      </c>
      <c r="AX326" s="6" t="str">
        <f aca="false">IF($J326="NA","NA",IF(AND($J326&gt;1899,AW326&gt;0),"ERRO","OK"))</f>
        <v>OK</v>
      </c>
    </row>
    <row r="327" customFormat="false" ht="15" hidden="false" customHeight="false" outlineLevel="0" collapsed="false">
      <c r="A327" s="7" t="n">
        <v>325</v>
      </c>
      <c r="B327" s="0" t="s">
        <v>344</v>
      </c>
      <c r="C327" s="8" t="n">
        <v>45330</v>
      </c>
      <c r="D327" s="6" t="n">
        <v>0</v>
      </c>
      <c r="E327" s="0" t="s">
        <v>16</v>
      </c>
      <c r="F327" s="0" t="s">
        <v>17</v>
      </c>
      <c r="G327" s="9" t="str">
        <f aca="false">IF(OR(N327="ERRO",Q327="ERRO",T327="ERRO",W327="ERRO",Z327="ERRO",AC327="ERRO",AF327="ERRO",AI327="ERRO",AL327="ERRO",AO327="ERRO",AR327="ERRO",AU327="ERRO",AX327="ERRO"),"ERRO","OK")</f>
        <v>OK</v>
      </c>
      <c r="H327" s="9" t="n">
        <f aca="false">COUNTIF(L327:AX327,"ERRO")</f>
        <v>0</v>
      </c>
      <c r="I327" s="9" t="s">
        <v>18</v>
      </c>
      <c r="J327" s="10" t="n">
        <v>1906</v>
      </c>
      <c r="K327" s="10" t="n">
        <v>1985</v>
      </c>
      <c r="L327" s="6" t="n">
        <f aca="false">(10-(LEN(M327)))+1</f>
        <v>6</v>
      </c>
      <c r="M327" s="6" t="n">
        <v>10120</v>
      </c>
      <c r="N327" s="6" t="str">
        <f aca="false">IF($J327="NA","NA",IF(AND($J327&gt;2019,M327&gt;0),"ERRO","OK"))</f>
        <v>OK</v>
      </c>
      <c r="O327" s="6" t="n">
        <f aca="false">(10-(LEN(P327)))+1</f>
        <v>6</v>
      </c>
      <c r="P327" s="6" t="n">
        <v>12681</v>
      </c>
      <c r="Q327" s="6" t="str">
        <f aca="false">IF($J327="NA","NA",IF(AND($J327&gt;2009,P327&gt;0),"ERRO","OK"))</f>
        <v>OK</v>
      </c>
      <c r="R327" s="6" t="n">
        <f aca="false">(10-(LEN(S327)))+1</f>
        <v>6</v>
      </c>
      <c r="S327" s="6" t="n">
        <v>14955</v>
      </c>
      <c r="T327" s="6" t="str">
        <f aca="false">IF($J327="NA","NA",IF(AND($J327&gt;1999,S327&gt;0),"ERRO","OK"))</f>
        <v>OK</v>
      </c>
      <c r="U327" s="6" t="n">
        <f aca="false">(10-(LEN(V327)))+1</f>
        <v>6</v>
      </c>
      <c r="V327" s="6" t="n">
        <v>16684</v>
      </c>
      <c r="W327" s="6" t="str">
        <f aca="false">IF($J327="NA","NA",IF(AND($J327&gt;1989,V327&gt;0),"ERRO","OK"))</f>
        <v>OK</v>
      </c>
      <c r="X327" s="6" t="n">
        <f aca="false">(10-(LEN(Y327)))+1</f>
        <v>6</v>
      </c>
      <c r="Y327" s="6" t="n">
        <v>13895</v>
      </c>
      <c r="Z327" s="6" t="str">
        <f aca="false">IF($J327="NA","NA",IF(AND($J327&gt;1979,Y327&gt;0),"ERRO","OK"))</f>
        <v>OK</v>
      </c>
      <c r="AA327" s="6" t="n">
        <f aca="false">(10-(LEN(AB327)))+1</f>
        <v>6</v>
      </c>
      <c r="AB327" s="6" t="n">
        <v>16988</v>
      </c>
      <c r="AC327" s="6" t="str">
        <f aca="false">IF($J327="NA","NA",IF(AND($J327&gt;1969,AB327&gt;0),"ERRO","OK"))</f>
        <v>OK</v>
      </c>
      <c r="AD327" s="6" t="n">
        <f aca="false">(10-(LEN(AE327)))+1</f>
        <v>6</v>
      </c>
      <c r="AE327" s="6" t="n">
        <v>23475</v>
      </c>
      <c r="AF327" s="6" t="str">
        <f aca="false">IF($J327="NA","NA",IF(AND($J327&gt;1959,AE327&gt;0),"ERRO","OK"))</f>
        <v>OK</v>
      </c>
      <c r="AG327" s="6" t="n">
        <f aca="false">(10-(LEN(AH327)))+1</f>
        <v>6</v>
      </c>
      <c r="AH327" s="6" t="n">
        <v>12858</v>
      </c>
      <c r="AI327" s="6" t="str">
        <f aca="false">IF($J327="NA","NA",IF(AND($J327&gt;1949,AH327&gt;0),"ERRO","OK"))</f>
        <v>OK</v>
      </c>
      <c r="AJ327" s="6" t="n">
        <f aca="false">(10-(LEN(AK327)))+1</f>
        <v>7</v>
      </c>
      <c r="AK327" s="6" t="n">
        <v>7475</v>
      </c>
      <c r="AL327" s="6" t="str">
        <f aca="false">IF($J327="NA","NA",IF(AND($J327&gt;1939,AK327&gt;0),"ERRO","OK"))</f>
        <v>OK</v>
      </c>
      <c r="AM327" s="6" t="n">
        <f aca="false">(10-(LEN(AN327)))+1</f>
        <v>10</v>
      </c>
      <c r="AN327" s="6" t="n">
        <v>0</v>
      </c>
      <c r="AO327" s="6" t="str">
        <f aca="false">IF($J327="NA","NA",IF(AND($J327&gt;1929,AN327&gt;0),"ERRO","OK"))</f>
        <v>OK</v>
      </c>
      <c r="AP327" s="6" t="n">
        <f aca="false">(10-(LEN(AQ327)))+1</f>
        <v>8</v>
      </c>
      <c r="AQ327" s="6" t="n">
        <v>316</v>
      </c>
      <c r="AR327" s="6" t="str">
        <f aca="false">IF($J327="NA","NA",IF(AND($J327&gt;1919,AQ327&gt;0),"ERRO","OK"))</f>
        <v>OK</v>
      </c>
      <c r="AS327" s="6" t="n">
        <f aca="false">(10-(LEN(AT327)))+1</f>
        <v>10</v>
      </c>
      <c r="AT327" s="6" t="n">
        <v>0</v>
      </c>
      <c r="AU327" s="6" t="str">
        <f aca="false">IF($J327="NA","NA",IF(AND($J327&gt;1909,AT327&gt;0),"ERRO","OK"))</f>
        <v>OK</v>
      </c>
      <c r="AV327" s="6" t="n">
        <f aca="false">(10-(LEN(AW327)))+1</f>
        <v>10</v>
      </c>
      <c r="AW327" s="6" t="n">
        <v>0</v>
      </c>
      <c r="AX327" s="6" t="str">
        <f aca="false">IF($J327="NA","NA",IF(AND($J327&gt;1899,AW327&gt;0),"ERRO","OK"))</f>
        <v>OK</v>
      </c>
    </row>
    <row r="328" customFormat="false" ht="15" hidden="false" customHeight="false" outlineLevel="0" collapsed="false">
      <c r="A328" s="7" t="n">
        <v>326</v>
      </c>
      <c r="B328" s="0" t="s">
        <v>345</v>
      </c>
      <c r="C328" s="8" t="n">
        <v>45330</v>
      </c>
      <c r="D328" s="6" t="n">
        <v>0</v>
      </c>
      <c r="E328" s="0" t="s">
        <v>16</v>
      </c>
      <c r="F328" s="0" t="s">
        <v>17</v>
      </c>
      <c r="G328" s="9" t="str">
        <f aca="false">IF(OR(N328="ERRO",Q328="ERRO",T328="ERRO",W328="ERRO",Z328="ERRO",AC328="ERRO",AF328="ERRO",AI328="ERRO",AL328="ERRO",AO328="ERRO",AR328="ERRO",AU328="ERRO",AX328="ERRO"),"ERRO","OK")</f>
        <v>OK</v>
      </c>
      <c r="H328" s="9" t="n">
        <f aca="false">COUNTIF(L328:AX328,"ERRO")</f>
        <v>0</v>
      </c>
      <c r="I328" s="9" t="s">
        <v>18</v>
      </c>
      <c r="J328" s="10" t="n">
        <v>1911</v>
      </c>
      <c r="K328" s="10" t="n">
        <v>2002</v>
      </c>
      <c r="L328" s="6" t="n">
        <f aca="false">(10-(LEN(M328)))+1</f>
        <v>7</v>
      </c>
      <c r="M328" s="6" t="n">
        <v>4039</v>
      </c>
      <c r="N328" s="6" t="str">
        <f aca="false">IF($J328="NA","NA",IF(AND($J328&gt;2019,M328&gt;0),"ERRO","OK"))</f>
        <v>OK</v>
      </c>
      <c r="O328" s="6" t="n">
        <f aca="false">(10-(LEN(P328)))+1</f>
        <v>7</v>
      </c>
      <c r="P328" s="6" t="n">
        <v>7135</v>
      </c>
      <c r="Q328" s="6" t="str">
        <f aca="false">IF($J328="NA","NA",IF(AND($J328&gt;2009,P328&gt;0),"ERRO","OK"))</f>
        <v>OK</v>
      </c>
      <c r="R328" s="6" t="n">
        <f aca="false">(10-(LEN(S328)))+1</f>
        <v>7</v>
      </c>
      <c r="S328" s="6" t="n">
        <v>8193</v>
      </c>
      <c r="T328" s="6" t="str">
        <f aca="false">IF($J328="NA","NA",IF(AND($J328&gt;1999,S328&gt;0),"ERRO","OK"))</f>
        <v>OK</v>
      </c>
      <c r="U328" s="6" t="n">
        <f aca="false">(10-(LEN(V328)))+1</f>
        <v>7</v>
      </c>
      <c r="V328" s="6" t="n">
        <v>8417</v>
      </c>
      <c r="W328" s="6" t="str">
        <f aca="false">IF($J328="NA","NA",IF(AND($J328&gt;1989,V328&gt;0),"ERRO","OK"))</f>
        <v>OK</v>
      </c>
      <c r="X328" s="6" t="n">
        <f aca="false">(10-(LEN(Y328)))+1</f>
        <v>7</v>
      </c>
      <c r="Y328" s="6" t="n">
        <v>2836</v>
      </c>
      <c r="Z328" s="6" t="str">
        <f aca="false">IF($J328="NA","NA",IF(AND($J328&gt;1979,Y328&gt;0),"ERRO","OK"))</f>
        <v>OK</v>
      </c>
      <c r="AA328" s="6" t="n">
        <f aca="false">(10-(LEN(AB328)))+1</f>
        <v>7</v>
      </c>
      <c r="AB328" s="6" t="n">
        <v>3985</v>
      </c>
      <c r="AC328" s="6" t="str">
        <f aca="false">IF($J328="NA","NA",IF(AND($J328&gt;1969,AB328&gt;0),"ERRO","OK"))</f>
        <v>OK</v>
      </c>
      <c r="AD328" s="6" t="n">
        <f aca="false">(10-(LEN(AE328)))+1</f>
        <v>7</v>
      </c>
      <c r="AE328" s="6" t="n">
        <v>3140</v>
      </c>
      <c r="AF328" s="6" t="str">
        <f aca="false">IF($J328="NA","NA",IF(AND($J328&gt;1959,AE328&gt;0),"ERRO","OK"))</f>
        <v>OK</v>
      </c>
      <c r="AG328" s="6" t="n">
        <f aca="false">(10-(LEN(AH328)))+1</f>
        <v>7</v>
      </c>
      <c r="AH328" s="6" t="n">
        <v>1762</v>
      </c>
      <c r="AI328" s="6" t="str">
        <f aca="false">IF($J328="NA","NA",IF(AND($J328&gt;1949,AH328&gt;0),"ERRO","OK"))</f>
        <v>OK</v>
      </c>
      <c r="AJ328" s="6" t="n">
        <f aca="false">(10-(LEN(AK328)))+1</f>
        <v>7</v>
      </c>
      <c r="AK328" s="6" t="n">
        <v>4178</v>
      </c>
      <c r="AL328" s="6" t="str">
        <f aca="false">IF($J328="NA","NA",IF(AND($J328&gt;1939,AK328&gt;0),"ERRO","OK"))</f>
        <v>OK</v>
      </c>
      <c r="AM328" s="6" t="n">
        <f aca="false">(10-(LEN(AN328)))+1</f>
        <v>10</v>
      </c>
      <c r="AN328" s="6" t="n">
        <v>0</v>
      </c>
      <c r="AO328" s="6" t="str">
        <f aca="false">IF($J328="NA","NA",IF(AND($J328&gt;1929,AN328&gt;0),"ERRO","OK"))</f>
        <v>OK</v>
      </c>
      <c r="AP328" s="6" t="n">
        <f aca="false">(10-(LEN(AQ328)))+1</f>
        <v>10</v>
      </c>
      <c r="AQ328" s="6" t="n">
        <v>0</v>
      </c>
      <c r="AR328" s="6" t="str">
        <f aca="false">IF($J328="NA","NA",IF(AND($J328&gt;1919,AQ328&gt;0),"ERRO","OK"))</f>
        <v>OK</v>
      </c>
      <c r="AS328" s="6" t="n">
        <f aca="false">(10-(LEN(AT328)))+1</f>
        <v>10</v>
      </c>
      <c r="AT328" s="6" t="n">
        <v>0</v>
      </c>
      <c r="AU328" s="6" t="str">
        <f aca="false">IF($J328="NA","NA",IF(AND($J328&gt;1909,AT328&gt;0),"ERRO","OK"))</f>
        <v>OK</v>
      </c>
      <c r="AV328" s="6" t="n">
        <f aca="false">(10-(LEN(AW328)))+1</f>
        <v>10</v>
      </c>
      <c r="AW328" s="6" t="n">
        <v>0</v>
      </c>
      <c r="AX328" s="6" t="str">
        <f aca="false">IF($J328="NA","NA",IF(AND($J328&gt;1899,AW328&gt;0),"ERRO","OK"))</f>
        <v>OK</v>
      </c>
    </row>
    <row r="329" customFormat="false" ht="15" hidden="false" customHeight="false" outlineLevel="0" collapsed="false">
      <c r="A329" s="7" t="n">
        <v>327</v>
      </c>
      <c r="B329" s="0" t="s">
        <v>346</v>
      </c>
      <c r="C329" s="8" t="n">
        <v>45330</v>
      </c>
      <c r="D329" s="6" t="n">
        <v>0</v>
      </c>
      <c r="E329" s="0" t="s">
        <v>16</v>
      </c>
      <c r="F329" s="0" t="s">
        <v>17</v>
      </c>
      <c r="G329" s="9" t="str">
        <f aca="false">IF(OR(N329="ERRO",Q329="ERRO",T329="ERRO",W329="ERRO",Z329="ERRO",AC329="ERRO",AF329="ERRO",AI329="ERRO",AL329="ERRO",AO329="ERRO",AR329="ERRO",AU329="ERRO",AX329="ERRO"),"ERRO","OK")</f>
        <v>OK</v>
      </c>
      <c r="H329" s="9" t="n">
        <f aca="false">COUNTIF(L329:AX329,"ERRO")</f>
        <v>0</v>
      </c>
      <c r="I329" s="9" t="s">
        <v>18</v>
      </c>
      <c r="J329" s="10" t="n">
        <v>1904</v>
      </c>
      <c r="K329" s="10" t="n">
        <v>1948</v>
      </c>
      <c r="L329" s="6" t="n">
        <f aca="false">(10-(LEN(M329)))+1</f>
        <v>7</v>
      </c>
      <c r="M329" s="6" t="n">
        <v>7621</v>
      </c>
      <c r="N329" s="6" t="str">
        <f aca="false">IF($J329="NA","NA",IF(AND($J329&gt;2019,M329&gt;0),"ERRO","OK"))</f>
        <v>OK</v>
      </c>
      <c r="O329" s="6" t="n">
        <f aca="false">(10-(LEN(P329)))+1</f>
        <v>6</v>
      </c>
      <c r="P329" s="6" t="n">
        <v>60992</v>
      </c>
      <c r="Q329" s="6" t="str">
        <f aca="false">IF($J329="NA","NA",IF(AND($J329&gt;2009,P329&gt;0),"ERRO","OK"))</f>
        <v>OK</v>
      </c>
      <c r="R329" s="6" t="n">
        <f aca="false">(10-(LEN(S329)))+1</f>
        <v>6</v>
      </c>
      <c r="S329" s="6" t="n">
        <v>37310</v>
      </c>
      <c r="T329" s="6" t="str">
        <f aca="false">IF($J329="NA","NA",IF(AND($J329&gt;1999,S329&gt;0),"ERRO","OK"))</f>
        <v>OK</v>
      </c>
      <c r="U329" s="6" t="n">
        <f aca="false">(10-(LEN(V329)))+1</f>
        <v>6</v>
      </c>
      <c r="V329" s="6" t="n">
        <v>30585</v>
      </c>
      <c r="W329" s="6" t="str">
        <f aca="false">IF($J329="NA","NA",IF(AND($J329&gt;1989,V329&gt;0),"ERRO","OK"))</f>
        <v>OK</v>
      </c>
      <c r="X329" s="6" t="n">
        <f aca="false">(10-(LEN(Y329)))+1</f>
        <v>6</v>
      </c>
      <c r="Y329" s="6" t="n">
        <v>50085</v>
      </c>
      <c r="Z329" s="6" t="str">
        <f aca="false">IF($J329="NA","NA",IF(AND($J329&gt;1979,Y329&gt;0),"ERRO","OK"))</f>
        <v>OK</v>
      </c>
      <c r="AA329" s="6" t="n">
        <f aca="false">(10-(LEN(AB329)))+1</f>
        <v>6</v>
      </c>
      <c r="AB329" s="6" t="n">
        <v>30002</v>
      </c>
      <c r="AC329" s="6" t="str">
        <f aca="false">IF($J329="NA","NA",IF(AND($J329&gt;1969,AB329&gt;0),"ERRO","OK"))</f>
        <v>OK</v>
      </c>
      <c r="AD329" s="6" t="n">
        <f aca="false">(10-(LEN(AE329)))+1</f>
        <v>6</v>
      </c>
      <c r="AE329" s="6" t="n">
        <v>11123</v>
      </c>
      <c r="AF329" s="6" t="str">
        <f aca="false">IF($J329="NA","NA",IF(AND($J329&gt;1959,AE329&gt;0),"ERRO","OK"))</f>
        <v>OK</v>
      </c>
      <c r="AG329" s="6" t="n">
        <f aca="false">(10-(LEN(AH329)))+1</f>
        <v>7</v>
      </c>
      <c r="AH329" s="6" t="n">
        <v>7159</v>
      </c>
      <c r="AI329" s="6" t="str">
        <f aca="false">IF($J329="NA","NA",IF(AND($J329&gt;1949,AH329&gt;0),"ERRO","OK"))</f>
        <v>OK</v>
      </c>
      <c r="AJ329" s="6" t="n">
        <f aca="false">(10-(LEN(AK329)))+1</f>
        <v>7</v>
      </c>
      <c r="AK329" s="6" t="n">
        <v>7659</v>
      </c>
      <c r="AL329" s="6" t="str">
        <f aca="false">IF($J329="NA","NA",IF(AND($J329&gt;1939,AK329&gt;0),"ERRO","OK"))</f>
        <v>OK</v>
      </c>
      <c r="AM329" s="6" t="n">
        <f aca="false">(10-(LEN(AN329)))+1</f>
        <v>8</v>
      </c>
      <c r="AN329" s="6" t="n">
        <v>152</v>
      </c>
      <c r="AO329" s="6" t="str">
        <f aca="false">IF($J329="NA","NA",IF(AND($J329&gt;1929,AN329&gt;0),"ERRO","OK"))</f>
        <v>OK</v>
      </c>
      <c r="AP329" s="6" t="n">
        <f aca="false">(10-(LEN(AQ329)))+1</f>
        <v>8</v>
      </c>
      <c r="AQ329" s="6" t="n">
        <v>100</v>
      </c>
      <c r="AR329" s="6" t="str">
        <f aca="false">IF($J329="NA","NA",IF(AND($J329&gt;1919,AQ329&gt;0),"ERRO","OK"))</f>
        <v>OK</v>
      </c>
      <c r="AS329" s="6" t="n">
        <f aca="false">(10-(LEN(AT329)))+1</f>
        <v>10</v>
      </c>
      <c r="AT329" s="6" t="n">
        <v>0</v>
      </c>
      <c r="AU329" s="6" t="str">
        <f aca="false">IF($J329="NA","NA",IF(AND($J329&gt;1909,AT329&gt;0),"ERRO","OK"))</f>
        <v>OK</v>
      </c>
      <c r="AV329" s="6" t="n">
        <f aca="false">(10-(LEN(AW329)))+1</f>
        <v>10</v>
      </c>
      <c r="AW329" s="6" t="n">
        <v>0</v>
      </c>
      <c r="AX329" s="6" t="str">
        <f aca="false">IF($J329="NA","NA",IF(AND($J329&gt;1899,AW329&gt;0),"ERRO","OK"))</f>
        <v>OK</v>
      </c>
    </row>
    <row r="330" customFormat="false" ht="15" hidden="false" customHeight="false" outlineLevel="0" collapsed="false">
      <c r="A330" s="7" t="n">
        <v>328</v>
      </c>
      <c r="B330" s="0" t="s">
        <v>347</v>
      </c>
      <c r="C330" s="8" t="n">
        <v>45330</v>
      </c>
      <c r="D330" s="6" t="n">
        <v>0</v>
      </c>
      <c r="E330" s="0" t="s">
        <v>16</v>
      </c>
      <c r="F330" s="0" t="s">
        <v>17</v>
      </c>
      <c r="G330" s="9" t="str">
        <f aca="false">IF(OR(N330="ERRO",Q330="ERRO",T330="ERRO",W330="ERRO",Z330="ERRO",AC330="ERRO",AF330="ERRO",AI330="ERRO",AL330="ERRO",AO330="ERRO",AR330="ERRO",AU330="ERRO",AX330="ERRO"),"ERRO","OK")</f>
        <v>OK</v>
      </c>
      <c r="H330" s="9" t="n">
        <f aca="false">COUNTIF(L330:AX330,"ERRO")</f>
        <v>0</v>
      </c>
      <c r="I330" s="9" t="s">
        <v>18</v>
      </c>
      <c r="J330" s="10" t="n">
        <v>1910</v>
      </c>
      <c r="K330" s="10" t="n">
        <v>2012</v>
      </c>
      <c r="L330" s="6" t="n">
        <f aca="false">(10-(LEN(M330)))+1</f>
        <v>7</v>
      </c>
      <c r="M330" s="6" t="n">
        <v>4706</v>
      </c>
      <c r="N330" s="6" t="str">
        <f aca="false">IF($J330="NA","NA",IF(AND($J330&gt;2019,M330&gt;0),"ERRO","OK"))</f>
        <v>OK</v>
      </c>
      <c r="O330" s="6" t="n">
        <f aca="false">(10-(LEN(P330)))+1</f>
        <v>7</v>
      </c>
      <c r="P330" s="6" t="n">
        <v>6381</v>
      </c>
      <c r="Q330" s="6" t="str">
        <f aca="false">IF($J330="NA","NA",IF(AND($J330&gt;2009,P330&gt;0),"ERRO","OK"))</f>
        <v>OK</v>
      </c>
      <c r="R330" s="6" t="n">
        <f aca="false">(10-(LEN(S330)))+1</f>
        <v>7</v>
      </c>
      <c r="S330" s="6" t="n">
        <v>9790</v>
      </c>
      <c r="T330" s="6" t="str">
        <f aca="false">IF($J330="NA","NA",IF(AND($J330&gt;1999,S330&gt;0),"ERRO","OK"))</f>
        <v>OK</v>
      </c>
      <c r="U330" s="6" t="n">
        <f aca="false">(10-(LEN(V330)))+1</f>
        <v>6</v>
      </c>
      <c r="V330" s="6" t="n">
        <v>11084</v>
      </c>
      <c r="W330" s="6" t="str">
        <f aca="false">IF($J330="NA","NA",IF(AND($J330&gt;1989,V330&gt;0),"ERRO","OK"))</f>
        <v>OK</v>
      </c>
      <c r="X330" s="6" t="n">
        <f aca="false">(10-(LEN(Y330)))+1</f>
        <v>7</v>
      </c>
      <c r="Y330" s="6" t="n">
        <v>5137</v>
      </c>
      <c r="Z330" s="6" t="str">
        <f aca="false">IF($J330="NA","NA",IF(AND($J330&gt;1979,Y330&gt;0),"ERRO","OK"))</f>
        <v>OK</v>
      </c>
      <c r="AA330" s="6" t="n">
        <f aca="false">(10-(LEN(AB330)))+1</f>
        <v>7</v>
      </c>
      <c r="AB330" s="6" t="n">
        <v>1582</v>
      </c>
      <c r="AC330" s="6" t="str">
        <f aca="false">IF($J330="NA","NA",IF(AND($J330&gt;1969,AB330&gt;0),"ERRO","OK"))</f>
        <v>OK</v>
      </c>
      <c r="AD330" s="6" t="n">
        <f aca="false">(10-(LEN(AE330)))+1</f>
        <v>7</v>
      </c>
      <c r="AE330" s="6" t="n">
        <v>1884</v>
      </c>
      <c r="AF330" s="6" t="str">
        <f aca="false">IF($J330="NA","NA",IF(AND($J330&gt;1959,AE330&gt;0),"ERRO","OK"))</f>
        <v>OK</v>
      </c>
      <c r="AG330" s="6" t="n">
        <f aca="false">(10-(LEN(AH330)))+1</f>
        <v>7</v>
      </c>
      <c r="AH330" s="6" t="n">
        <v>2643</v>
      </c>
      <c r="AI330" s="6" t="str">
        <f aca="false">IF($J330="NA","NA",IF(AND($J330&gt;1949,AH330&gt;0),"ERRO","OK"))</f>
        <v>OK</v>
      </c>
      <c r="AJ330" s="6" t="n">
        <f aca="false">(10-(LEN(AK330)))+1</f>
        <v>7</v>
      </c>
      <c r="AK330" s="6" t="n">
        <v>3203</v>
      </c>
      <c r="AL330" s="6" t="str">
        <f aca="false">IF($J330="NA","NA",IF(AND($J330&gt;1939,AK330&gt;0),"ERRO","OK"))</f>
        <v>OK</v>
      </c>
      <c r="AM330" s="6" t="n">
        <f aca="false">(10-(LEN(AN330)))+1</f>
        <v>10</v>
      </c>
      <c r="AN330" s="6" t="n">
        <v>0</v>
      </c>
      <c r="AO330" s="6" t="str">
        <f aca="false">IF($J330="NA","NA",IF(AND($J330&gt;1929,AN330&gt;0),"ERRO","OK"))</f>
        <v>OK</v>
      </c>
      <c r="AP330" s="6" t="n">
        <f aca="false">(10-(LEN(AQ330)))+1</f>
        <v>10</v>
      </c>
      <c r="AQ330" s="6" t="n">
        <v>0</v>
      </c>
      <c r="AR330" s="6" t="str">
        <f aca="false">IF($J330="NA","NA",IF(AND($J330&gt;1919,AQ330&gt;0),"ERRO","OK"))</f>
        <v>OK</v>
      </c>
      <c r="AS330" s="6" t="n">
        <f aca="false">(10-(LEN(AT330)))+1</f>
        <v>10</v>
      </c>
      <c r="AT330" s="6" t="n">
        <v>0</v>
      </c>
      <c r="AU330" s="6" t="str">
        <f aca="false">IF($J330="NA","NA",IF(AND($J330&gt;1909,AT330&gt;0),"ERRO","OK"))</f>
        <v>OK</v>
      </c>
      <c r="AV330" s="6" t="n">
        <f aca="false">(10-(LEN(AW330)))+1</f>
        <v>10</v>
      </c>
      <c r="AW330" s="6" t="n">
        <v>0</v>
      </c>
      <c r="AX330" s="6" t="str">
        <f aca="false">IF($J330="NA","NA",IF(AND($J330&gt;1899,AW330&gt;0),"ERRO","OK"))</f>
        <v>OK</v>
      </c>
    </row>
    <row r="331" customFormat="false" ht="15" hidden="false" customHeight="false" outlineLevel="0" collapsed="false">
      <c r="A331" s="7" t="n">
        <v>329</v>
      </c>
      <c r="B331" s="0" t="s">
        <v>348</v>
      </c>
      <c r="C331" s="8" t="n">
        <v>45330</v>
      </c>
      <c r="D331" s="6" t="n">
        <v>0</v>
      </c>
      <c r="E331" s="0" t="s">
        <v>16</v>
      </c>
      <c r="F331" s="0" t="s">
        <v>17</v>
      </c>
      <c r="G331" s="9" t="str">
        <f aca="false">IF(OR(N331="ERRO",Q331="ERRO",T331="ERRO",W331="ERRO",Z331="ERRO",AC331="ERRO",AF331="ERRO",AI331="ERRO",AL331="ERRO",AO331="ERRO",AR331="ERRO",AU331="ERRO",AX331="ERRO"),"ERRO","OK")</f>
        <v>OK</v>
      </c>
      <c r="H331" s="9" t="n">
        <f aca="false">COUNTIF(L331:AX331,"ERRO")</f>
        <v>0</v>
      </c>
      <c r="I331" s="9" t="s">
        <v>18</v>
      </c>
      <c r="J331" s="10" t="n">
        <v>1895</v>
      </c>
      <c r="K331" s="10" t="n">
        <v>1956</v>
      </c>
      <c r="L331" s="6" t="n">
        <f aca="false">(10-(LEN(M331)))+1</f>
        <v>7</v>
      </c>
      <c r="M331" s="6" t="n">
        <v>3873</v>
      </c>
      <c r="N331" s="6" t="str">
        <f aca="false">IF($J331="NA","NA",IF(AND($J331&gt;2019,M331&gt;0),"ERRO","OK"))</f>
        <v>OK</v>
      </c>
      <c r="O331" s="6" t="n">
        <f aca="false">(10-(LEN(P331)))+1</f>
        <v>7</v>
      </c>
      <c r="P331" s="6" t="n">
        <v>7341</v>
      </c>
      <c r="Q331" s="6" t="str">
        <f aca="false">IF($J331="NA","NA",IF(AND($J331&gt;2009,P331&gt;0),"ERRO","OK"))</f>
        <v>OK</v>
      </c>
      <c r="R331" s="6" t="n">
        <f aca="false">(10-(LEN(S331)))+1</f>
        <v>7</v>
      </c>
      <c r="S331" s="6" t="n">
        <v>8865</v>
      </c>
      <c r="T331" s="6" t="str">
        <f aca="false">IF($J331="NA","NA",IF(AND($J331&gt;1999,S331&gt;0),"ERRO","OK"))</f>
        <v>OK</v>
      </c>
      <c r="U331" s="6" t="n">
        <f aca="false">(10-(LEN(V331)))+1</f>
        <v>6</v>
      </c>
      <c r="V331" s="6" t="n">
        <v>11360</v>
      </c>
      <c r="W331" s="6" t="str">
        <f aca="false">IF($J331="NA","NA",IF(AND($J331&gt;1989,V331&gt;0),"ERRO","OK"))</f>
        <v>OK</v>
      </c>
      <c r="X331" s="6" t="n">
        <f aca="false">(10-(LEN(Y331)))+1</f>
        <v>7</v>
      </c>
      <c r="Y331" s="6" t="n">
        <v>9418</v>
      </c>
      <c r="Z331" s="6" t="str">
        <f aca="false">IF($J331="NA","NA",IF(AND($J331&gt;1979,Y331&gt;0),"ERRO","OK"))</f>
        <v>OK</v>
      </c>
      <c r="AA331" s="6" t="n">
        <f aca="false">(10-(LEN(AB331)))+1</f>
        <v>6</v>
      </c>
      <c r="AB331" s="6" t="n">
        <v>15060</v>
      </c>
      <c r="AC331" s="6" t="str">
        <f aca="false">IF($J331="NA","NA",IF(AND($J331&gt;1969,AB331&gt;0),"ERRO","OK"))</f>
        <v>OK</v>
      </c>
      <c r="AD331" s="6" t="n">
        <f aca="false">(10-(LEN(AE331)))+1</f>
        <v>6</v>
      </c>
      <c r="AE331" s="6" t="n">
        <v>15070</v>
      </c>
      <c r="AF331" s="6" t="str">
        <f aca="false">IF($J331="NA","NA",IF(AND($J331&gt;1959,AE331&gt;0),"ERRO","OK"))</f>
        <v>OK</v>
      </c>
      <c r="AG331" s="6" t="n">
        <f aca="false">(10-(LEN(AH331)))+1</f>
        <v>7</v>
      </c>
      <c r="AH331" s="6" t="n">
        <v>1322</v>
      </c>
      <c r="AI331" s="6" t="str">
        <f aca="false">IF($J331="NA","NA",IF(AND($J331&gt;1949,AH331&gt;0),"ERRO","OK"))</f>
        <v>OK</v>
      </c>
      <c r="AJ331" s="6" t="n">
        <f aca="false">(10-(LEN(AK331)))+1</f>
        <v>7</v>
      </c>
      <c r="AK331" s="6" t="n">
        <v>3899</v>
      </c>
      <c r="AL331" s="6" t="str">
        <f aca="false">IF($J331="NA","NA",IF(AND($J331&gt;1939,AK331&gt;0),"ERRO","OK"))</f>
        <v>OK</v>
      </c>
      <c r="AM331" s="6" t="n">
        <f aca="false">(10-(LEN(AN331)))+1</f>
        <v>6</v>
      </c>
      <c r="AN331" s="6" t="n">
        <v>12643</v>
      </c>
      <c r="AO331" s="6" t="str">
        <f aca="false">IF($J331="NA","NA",IF(AND($J331&gt;1929,AN331&gt;0),"ERRO","OK"))</f>
        <v>OK</v>
      </c>
      <c r="AP331" s="6" t="n">
        <f aca="false">(10-(LEN(AQ331)))+1</f>
        <v>10</v>
      </c>
      <c r="AQ331" s="6" t="n">
        <v>0</v>
      </c>
      <c r="AR331" s="6" t="str">
        <f aca="false">IF($J331="NA","NA",IF(AND($J331&gt;1919,AQ331&gt;0),"ERRO","OK"))</f>
        <v>OK</v>
      </c>
      <c r="AS331" s="6" t="n">
        <f aca="false">(10-(LEN(AT331)))+1</f>
        <v>10</v>
      </c>
      <c r="AT331" s="6" t="n">
        <v>0</v>
      </c>
      <c r="AU331" s="6" t="str">
        <f aca="false">IF($J331="NA","NA",IF(AND($J331&gt;1909,AT331&gt;0),"ERRO","OK"))</f>
        <v>OK</v>
      </c>
      <c r="AV331" s="6" t="n">
        <f aca="false">(10-(LEN(AW331)))+1</f>
        <v>10</v>
      </c>
      <c r="AW331" s="6" t="n">
        <v>0</v>
      </c>
      <c r="AX331" s="6" t="str">
        <f aca="false">IF($J331="NA","NA",IF(AND($J331&gt;1899,AW331&gt;0),"ERRO","OK"))</f>
        <v>OK</v>
      </c>
    </row>
    <row r="332" customFormat="false" ht="15" hidden="false" customHeight="false" outlineLevel="0" collapsed="false">
      <c r="A332" s="7" t="n">
        <v>330</v>
      </c>
      <c r="B332" s="0" t="s">
        <v>349</v>
      </c>
      <c r="C332" s="8" t="n">
        <v>45330</v>
      </c>
      <c r="D332" s="6" t="n">
        <v>0</v>
      </c>
      <c r="E332" s="0" t="s">
        <v>16</v>
      </c>
      <c r="F332" s="0" t="s">
        <v>17</v>
      </c>
      <c r="G332" s="9" t="str">
        <f aca="false">IF(OR(N332="ERRO",Q332="ERRO",T332="ERRO",W332="ERRO",Z332="ERRO",AC332="ERRO",AF332="ERRO",AI332="ERRO",AL332="ERRO",AO332="ERRO",AR332="ERRO",AU332="ERRO",AX332="ERRO"),"ERRO","OK")</f>
        <v>OK</v>
      </c>
      <c r="H332" s="9" t="n">
        <f aca="false">COUNTIF(L332:AX332,"ERRO")</f>
        <v>0</v>
      </c>
      <c r="I332" s="9" t="s">
        <v>18</v>
      </c>
      <c r="J332" s="10" t="s">
        <v>22</v>
      </c>
      <c r="K332" s="10" t="s">
        <v>22</v>
      </c>
      <c r="L332" s="6" t="n">
        <f aca="false">(10-(LEN(M332)))+1</f>
        <v>8</v>
      </c>
      <c r="M332" s="6" t="n">
        <v>208</v>
      </c>
      <c r="N332" s="6" t="str">
        <f aca="false">IF($J332="NA","NA",IF(AND($J332&gt;2019,M332&gt;0),"ERRO","OK"))</f>
        <v>NA</v>
      </c>
      <c r="O332" s="6" t="n">
        <f aca="false">(10-(LEN(P332)))+1</f>
        <v>8</v>
      </c>
      <c r="P332" s="6" t="n">
        <v>137</v>
      </c>
      <c r="Q332" s="6" t="str">
        <f aca="false">IF($J332="NA","NA",IF(AND($J332&gt;2009,P332&gt;0),"ERRO","OK"))</f>
        <v>NA</v>
      </c>
      <c r="R332" s="6" t="n">
        <f aca="false">(10-(LEN(S332)))+1</f>
        <v>9</v>
      </c>
      <c r="S332" s="6" t="n">
        <v>84</v>
      </c>
      <c r="T332" s="6" t="str">
        <f aca="false">IF($J332="NA","NA",IF(AND($J332&gt;1999,S332&gt;0),"ERRO","OK"))</f>
        <v>NA</v>
      </c>
      <c r="U332" s="6" t="n">
        <f aca="false">(10-(LEN(V332)))+1</f>
        <v>8</v>
      </c>
      <c r="V332" s="6" t="n">
        <v>276</v>
      </c>
      <c r="W332" s="6" t="str">
        <f aca="false">IF($J332="NA","NA",IF(AND($J332&gt;1989,V332&gt;0),"ERRO","OK"))</f>
        <v>NA</v>
      </c>
      <c r="X332" s="6" t="n">
        <f aca="false">(10-(LEN(Y332)))+1</f>
        <v>10</v>
      </c>
      <c r="Y332" s="6" t="n">
        <v>0</v>
      </c>
      <c r="Z332" s="6" t="str">
        <f aca="false">IF($J332="NA","NA",IF(AND($J332&gt;1979,Y332&gt;0),"ERRO","OK"))</f>
        <v>NA</v>
      </c>
      <c r="AA332" s="6" t="n">
        <f aca="false">(10-(LEN(AB332)))+1</f>
        <v>10</v>
      </c>
      <c r="AB332" s="6" t="n">
        <v>0</v>
      </c>
      <c r="AC332" s="6" t="str">
        <f aca="false">IF($J332="NA","NA",IF(AND($J332&gt;1969,AB332&gt;0),"ERRO","OK"))</f>
        <v>NA</v>
      </c>
      <c r="AD332" s="6" t="n">
        <f aca="false">(10-(LEN(AE332)))+1</f>
        <v>10</v>
      </c>
      <c r="AE332" s="6" t="n">
        <v>0</v>
      </c>
      <c r="AF332" s="6" t="str">
        <f aca="false">IF($J332="NA","NA",IF(AND($J332&gt;1959,AE332&gt;0),"ERRO","OK"))</f>
        <v>NA</v>
      </c>
      <c r="AG332" s="6" t="n">
        <f aca="false">(10-(LEN(AH332)))+1</f>
        <v>10</v>
      </c>
      <c r="AH332" s="6" t="n">
        <v>0</v>
      </c>
      <c r="AI332" s="6" t="str">
        <f aca="false">IF($J332="NA","NA",IF(AND($J332&gt;1949,AH332&gt;0),"ERRO","OK"))</f>
        <v>NA</v>
      </c>
      <c r="AJ332" s="6" t="n">
        <f aca="false">(10-(LEN(AK332)))+1</f>
        <v>10</v>
      </c>
      <c r="AK332" s="6" t="n">
        <v>0</v>
      </c>
      <c r="AL332" s="6" t="str">
        <f aca="false">IF($J332="NA","NA",IF(AND($J332&gt;1939,AK332&gt;0),"ERRO","OK"))</f>
        <v>NA</v>
      </c>
      <c r="AM332" s="6" t="n">
        <f aca="false">(10-(LEN(AN332)))+1</f>
        <v>10</v>
      </c>
      <c r="AN332" s="6" t="n">
        <v>0</v>
      </c>
      <c r="AO332" s="6" t="str">
        <f aca="false">IF($J332="NA","NA",IF(AND($J332&gt;1929,AN332&gt;0),"ERRO","OK"))</f>
        <v>NA</v>
      </c>
      <c r="AP332" s="6" t="n">
        <f aca="false">(10-(LEN(AQ332)))+1</f>
        <v>10</v>
      </c>
      <c r="AQ332" s="6" t="n">
        <v>0</v>
      </c>
      <c r="AR332" s="6" t="str">
        <f aca="false">IF($J332="NA","NA",IF(AND($J332&gt;1919,AQ332&gt;0),"ERRO","OK"))</f>
        <v>NA</v>
      </c>
      <c r="AS332" s="6" t="n">
        <f aca="false">(10-(LEN(AT332)))+1</f>
        <v>10</v>
      </c>
      <c r="AT332" s="6" t="n">
        <v>0</v>
      </c>
      <c r="AU332" s="6" t="str">
        <f aca="false">IF($J332="NA","NA",IF(AND($J332&gt;1909,AT332&gt;0),"ERRO","OK"))</f>
        <v>NA</v>
      </c>
      <c r="AV332" s="6" t="n">
        <f aca="false">(10-(LEN(AW332)))+1</f>
        <v>10</v>
      </c>
      <c r="AW332" s="6" t="n">
        <v>0</v>
      </c>
      <c r="AX332" s="6" t="str">
        <f aca="false">IF($J332="NA","NA",IF(AND($J332&gt;1899,AW332&gt;0),"ERRO","OK"))</f>
        <v>NA</v>
      </c>
    </row>
    <row r="333" customFormat="false" ht="15" hidden="false" customHeight="false" outlineLevel="0" collapsed="false">
      <c r="A333" s="7" t="n">
        <v>331</v>
      </c>
      <c r="B333" s="0" t="s">
        <v>350</v>
      </c>
      <c r="C333" s="8" t="n">
        <v>45330</v>
      </c>
      <c r="D333" s="6" t="n">
        <v>0</v>
      </c>
      <c r="E333" s="0" t="s">
        <v>16</v>
      </c>
      <c r="F333" s="0" t="s">
        <v>17</v>
      </c>
      <c r="G333" s="9" t="str">
        <f aca="false">IF(OR(N333="ERRO",Q333="ERRO",T333="ERRO",W333="ERRO",Z333="ERRO",AC333="ERRO",AF333="ERRO",AI333="ERRO",AL333="ERRO",AO333="ERRO",AR333="ERRO",AU333="ERRO",AX333="ERRO"),"ERRO","OK")</f>
        <v>OK</v>
      </c>
      <c r="H333" s="9" t="n">
        <f aca="false">COUNTIF(L333:AX333,"ERRO")</f>
        <v>0</v>
      </c>
      <c r="I333" s="9" t="s">
        <v>18</v>
      </c>
      <c r="J333" s="10" t="n">
        <v>1894</v>
      </c>
      <c r="K333" s="10" t="n">
        <v>1975</v>
      </c>
      <c r="L333" s="6" t="n">
        <f aca="false">(10-(LEN(M333)))+1</f>
        <v>8</v>
      </c>
      <c r="M333" s="6" t="n">
        <v>250</v>
      </c>
      <c r="N333" s="6" t="str">
        <f aca="false">IF($J333="NA","NA",IF(AND($J333&gt;2019,M333&gt;0),"ERRO","OK"))</f>
        <v>OK</v>
      </c>
      <c r="O333" s="6" t="n">
        <f aca="false">(10-(LEN(P333)))+1</f>
        <v>8</v>
      </c>
      <c r="P333" s="6" t="n">
        <v>549</v>
      </c>
      <c r="Q333" s="6" t="str">
        <f aca="false">IF($J333="NA","NA",IF(AND($J333&gt;2009,P333&gt;0),"ERRO","OK"))</f>
        <v>OK</v>
      </c>
      <c r="R333" s="6" t="n">
        <f aca="false">(10-(LEN(S333)))+1</f>
        <v>8</v>
      </c>
      <c r="S333" s="6" t="n">
        <v>168</v>
      </c>
      <c r="T333" s="6" t="str">
        <f aca="false">IF($J333="NA","NA",IF(AND($J333&gt;1999,S333&gt;0),"ERRO","OK"))</f>
        <v>OK</v>
      </c>
      <c r="U333" s="6" t="n">
        <f aca="false">(10-(LEN(V333)))+1</f>
        <v>9</v>
      </c>
      <c r="V333" s="6" t="n">
        <v>92</v>
      </c>
      <c r="W333" s="6" t="str">
        <f aca="false">IF($J333="NA","NA",IF(AND($J333&gt;1989,V333&gt;0),"ERRO","OK"))</f>
        <v>OK</v>
      </c>
      <c r="X333" s="6" t="n">
        <f aca="false">(10-(LEN(Y333)))+1</f>
        <v>8</v>
      </c>
      <c r="Y333" s="6" t="n">
        <v>161</v>
      </c>
      <c r="Z333" s="6" t="str">
        <f aca="false">IF($J333="NA","NA",IF(AND($J333&gt;1979,Y333&gt;0),"ERRO","OK"))</f>
        <v>OK</v>
      </c>
      <c r="AA333" s="6" t="n">
        <f aca="false">(10-(LEN(AB333)))+1</f>
        <v>10</v>
      </c>
      <c r="AB333" s="6" t="n">
        <v>0</v>
      </c>
      <c r="AC333" s="6" t="str">
        <f aca="false">IF($J333="NA","NA",IF(AND($J333&gt;1969,AB333&gt;0),"ERRO","OK"))</f>
        <v>OK</v>
      </c>
      <c r="AD333" s="6" t="n">
        <f aca="false">(10-(LEN(AE333)))+1</f>
        <v>10</v>
      </c>
      <c r="AE333" s="6" t="n">
        <v>0</v>
      </c>
      <c r="AF333" s="6" t="str">
        <f aca="false">IF($J333="NA","NA",IF(AND($J333&gt;1959,AE333&gt;0),"ERRO","OK"))</f>
        <v>OK</v>
      </c>
      <c r="AG333" s="6" t="n">
        <f aca="false">(10-(LEN(AH333)))+1</f>
        <v>10</v>
      </c>
      <c r="AH333" s="6" t="n">
        <v>0</v>
      </c>
      <c r="AI333" s="6" t="str">
        <f aca="false">IF($J333="NA","NA",IF(AND($J333&gt;1949,AH333&gt;0),"ERRO","OK"))</f>
        <v>OK</v>
      </c>
      <c r="AJ333" s="6" t="n">
        <f aca="false">(10-(LEN(AK333)))+1</f>
        <v>10</v>
      </c>
      <c r="AK333" s="6" t="n">
        <v>0</v>
      </c>
      <c r="AL333" s="6" t="str">
        <f aca="false">IF($J333="NA","NA",IF(AND($J333&gt;1939,AK333&gt;0),"ERRO","OK"))</f>
        <v>OK</v>
      </c>
      <c r="AM333" s="6" t="n">
        <f aca="false">(10-(LEN(AN333)))+1</f>
        <v>10</v>
      </c>
      <c r="AN333" s="6" t="n">
        <v>0</v>
      </c>
      <c r="AO333" s="6" t="str">
        <f aca="false">IF($J333="NA","NA",IF(AND($J333&gt;1929,AN333&gt;0),"ERRO","OK"))</f>
        <v>OK</v>
      </c>
      <c r="AP333" s="6" t="n">
        <f aca="false">(10-(LEN(AQ333)))+1</f>
        <v>10</v>
      </c>
      <c r="AQ333" s="6" t="n">
        <v>0</v>
      </c>
      <c r="AR333" s="6" t="str">
        <f aca="false">IF($J333="NA","NA",IF(AND($J333&gt;1919,AQ333&gt;0),"ERRO","OK"))</f>
        <v>OK</v>
      </c>
      <c r="AS333" s="6" t="n">
        <f aca="false">(10-(LEN(AT333)))+1</f>
        <v>10</v>
      </c>
      <c r="AT333" s="6" t="n">
        <v>0</v>
      </c>
      <c r="AU333" s="6" t="str">
        <f aca="false">IF($J333="NA","NA",IF(AND($J333&gt;1909,AT333&gt;0),"ERRO","OK"))</f>
        <v>OK</v>
      </c>
      <c r="AV333" s="6" t="n">
        <f aca="false">(10-(LEN(AW333)))+1</f>
        <v>10</v>
      </c>
      <c r="AW333" s="6" t="n">
        <v>0</v>
      </c>
      <c r="AX333" s="6" t="str">
        <f aca="false">IF($J333="NA","NA",IF(AND($J333&gt;1899,AW333&gt;0),"ERRO","OK"))</f>
        <v>OK</v>
      </c>
    </row>
    <row r="334" customFormat="false" ht="15" hidden="false" customHeight="false" outlineLevel="0" collapsed="false">
      <c r="A334" s="7" t="n">
        <v>332</v>
      </c>
      <c r="B334" s="0" t="s">
        <v>351</v>
      </c>
      <c r="C334" s="8" t="n">
        <v>45330</v>
      </c>
      <c r="D334" s="6" t="n">
        <v>0</v>
      </c>
      <c r="E334" s="0" t="s">
        <v>16</v>
      </c>
      <c r="F334" s="0" t="s">
        <v>17</v>
      </c>
      <c r="G334" s="9" t="str">
        <f aca="false">IF(OR(N334="ERRO",Q334="ERRO",T334="ERRO",W334="ERRO",Z334="ERRO",AC334="ERRO",AF334="ERRO",AI334="ERRO",AL334="ERRO",AO334="ERRO",AR334="ERRO",AU334="ERRO",AX334="ERRO"),"ERRO","OK")</f>
        <v>OK</v>
      </c>
      <c r="H334" s="9" t="n">
        <f aca="false">COUNTIF(L334:AX334,"ERRO")</f>
        <v>0</v>
      </c>
      <c r="I334" s="9" t="s">
        <v>18</v>
      </c>
      <c r="J334" s="10" t="n">
        <v>1889</v>
      </c>
      <c r="K334" s="10" t="n">
        <v>1991</v>
      </c>
      <c r="L334" s="6" t="n">
        <f aca="false">(10-(LEN(M334)))+1</f>
        <v>7</v>
      </c>
      <c r="M334" s="6" t="n">
        <v>5789</v>
      </c>
      <c r="N334" s="6" t="str">
        <f aca="false">IF($J334="NA","NA",IF(AND($J334&gt;2019,M334&gt;0),"ERRO","OK"))</f>
        <v>OK</v>
      </c>
      <c r="O334" s="6" t="n">
        <f aca="false">(10-(LEN(P334)))+1</f>
        <v>7</v>
      </c>
      <c r="P334" s="6" t="n">
        <v>9091</v>
      </c>
      <c r="Q334" s="6" t="str">
        <f aca="false">IF($J334="NA","NA",IF(AND($J334&gt;2009,P334&gt;0),"ERRO","OK"))</f>
        <v>OK</v>
      </c>
      <c r="R334" s="6" t="n">
        <f aca="false">(10-(LEN(S334)))+1</f>
        <v>6</v>
      </c>
      <c r="S334" s="6" t="n">
        <v>24117</v>
      </c>
      <c r="T334" s="6" t="str">
        <f aca="false">IF($J334="NA","NA",IF(AND($J334&gt;1999,S334&gt;0),"ERRO","OK"))</f>
        <v>OK</v>
      </c>
      <c r="U334" s="6" t="n">
        <f aca="false">(10-(LEN(V334)))+1</f>
        <v>6</v>
      </c>
      <c r="V334" s="6" t="n">
        <v>29711</v>
      </c>
      <c r="W334" s="6" t="str">
        <f aca="false">IF($J334="NA","NA",IF(AND($J334&gt;1989,V334&gt;0),"ERRO","OK"))</f>
        <v>OK</v>
      </c>
      <c r="X334" s="6" t="n">
        <f aca="false">(10-(LEN(Y334)))+1</f>
        <v>6</v>
      </c>
      <c r="Y334" s="6" t="n">
        <v>24026</v>
      </c>
      <c r="Z334" s="6" t="str">
        <f aca="false">IF($J334="NA","NA",IF(AND($J334&gt;1979,Y334&gt;0),"ERRO","OK"))</f>
        <v>OK</v>
      </c>
      <c r="AA334" s="6" t="n">
        <f aca="false">(10-(LEN(AB334)))+1</f>
        <v>7</v>
      </c>
      <c r="AB334" s="6" t="n">
        <v>8555</v>
      </c>
      <c r="AC334" s="6" t="str">
        <f aca="false">IF($J334="NA","NA",IF(AND($J334&gt;1969,AB334&gt;0),"ERRO","OK"))</f>
        <v>OK</v>
      </c>
      <c r="AD334" s="6" t="n">
        <f aca="false">(10-(LEN(AE334)))+1</f>
        <v>6</v>
      </c>
      <c r="AE334" s="6" t="n">
        <v>11931</v>
      </c>
      <c r="AF334" s="6" t="str">
        <f aca="false">IF($J334="NA","NA",IF(AND($J334&gt;1959,AE334&gt;0),"ERRO","OK"))</f>
        <v>OK</v>
      </c>
      <c r="AG334" s="6" t="n">
        <f aca="false">(10-(LEN(AH334)))+1</f>
        <v>7</v>
      </c>
      <c r="AH334" s="6" t="n">
        <v>6498</v>
      </c>
      <c r="AI334" s="6" t="str">
        <f aca="false">IF($J334="NA","NA",IF(AND($J334&gt;1949,AH334&gt;0),"ERRO","OK"))</f>
        <v>OK</v>
      </c>
      <c r="AJ334" s="6" t="n">
        <f aca="false">(10-(LEN(AK334)))+1</f>
        <v>6</v>
      </c>
      <c r="AK334" s="6" t="n">
        <v>18521</v>
      </c>
      <c r="AL334" s="6" t="str">
        <f aca="false">IF($J334="NA","NA",IF(AND($J334&gt;1939,AK334&gt;0),"ERRO","OK"))</f>
        <v>OK</v>
      </c>
      <c r="AM334" s="6" t="n">
        <f aca="false">(10-(LEN(AN334)))+1</f>
        <v>7</v>
      </c>
      <c r="AN334" s="6" t="n">
        <v>1066</v>
      </c>
      <c r="AO334" s="6" t="str">
        <f aca="false">IF($J334="NA","NA",IF(AND($J334&gt;1929,AN334&gt;0),"ERRO","OK"))</f>
        <v>OK</v>
      </c>
      <c r="AP334" s="6" t="n">
        <f aca="false">(10-(LEN(AQ334)))+1</f>
        <v>10</v>
      </c>
      <c r="AQ334" s="6" t="n">
        <v>0</v>
      </c>
      <c r="AR334" s="6" t="str">
        <f aca="false">IF($J334="NA","NA",IF(AND($J334&gt;1919,AQ334&gt;0),"ERRO","OK"))</f>
        <v>OK</v>
      </c>
      <c r="AS334" s="6" t="n">
        <f aca="false">(10-(LEN(AT334)))+1</f>
        <v>10</v>
      </c>
      <c r="AT334" s="6" t="n">
        <v>0</v>
      </c>
      <c r="AU334" s="6" t="str">
        <f aca="false">IF($J334="NA","NA",IF(AND($J334&gt;1909,AT334&gt;0),"ERRO","OK"))</f>
        <v>OK</v>
      </c>
      <c r="AV334" s="6" t="n">
        <f aca="false">(10-(LEN(AW334)))+1</f>
        <v>10</v>
      </c>
      <c r="AW334" s="6" t="n">
        <v>0</v>
      </c>
      <c r="AX334" s="6" t="str">
        <f aca="false">IF($J334="NA","NA",IF(AND($J334&gt;1899,AW334&gt;0),"ERRO","OK"))</f>
        <v>OK</v>
      </c>
    </row>
    <row r="335" customFormat="false" ht="15" hidden="false" customHeight="false" outlineLevel="0" collapsed="false">
      <c r="A335" s="7" t="n">
        <v>333</v>
      </c>
      <c r="B335" s="0" t="s">
        <v>352</v>
      </c>
      <c r="C335" s="8" t="n">
        <v>45330</v>
      </c>
      <c r="D335" s="6" t="n">
        <v>0</v>
      </c>
      <c r="E335" s="0" t="s">
        <v>16</v>
      </c>
      <c r="F335" s="0" t="s">
        <v>17</v>
      </c>
      <c r="G335" s="9" t="str">
        <f aca="false">IF(OR(N335="ERRO",Q335="ERRO",T335="ERRO",W335="ERRO",Z335="ERRO",AC335="ERRO",AF335="ERRO",AI335="ERRO",AL335="ERRO",AO335="ERRO",AR335="ERRO",AU335="ERRO",AX335="ERRO"),"ERRO","OK")</f>
        <v>OK</v>
      </c>
      <c r="H335" s="9" t="n">
        <f aca="false">COUNTIF(L335:AX335,"ERRO")</f>
        <v>0</v>
      </c>
      <c r="I335" s="9" t="s">
        <v>18</v>
      </c>
      <c r="J335" s="10" t="n">
        <v>1906</v>
      </c>
      <c r="K335" s="10" t="n">
        <v>1994</v>
      </c>
      <c r="L335" s="6" t="n">
        <f aca="false">(10-(LEN(M335)))+1</f>
        <v>9</v>
      </c>
      <c r="M335" s="6" t="n">
        <v>42</v>
      </c>
      <c r="N335" s="6" t="str">
        <f aca="false">IF($J335="NA","NA",IF(AND($J335&gt;2019,M335&gt;0),"ERRO","OK"))</f>
        <v>OK</v>
      </c>
      <c r="O335" s="6" t="n">
        <f aca="false">(10-(LEN(P335)))+1</f>
        <v>9</v>
      </c>
      <c r="P335" s="6" t="n">
        <v>34</v>
      </c>
      <c r="Q335" s="6" t="str">
        <f aca="false">IF($J335="NA","NA",IF(AND($J335&gt;2009,P335&gt;0),"ERRO","OK"))</f>
        <v>OK</v>
      </c>
      <c r="R335" s="6" t="n">
        <f aca="false">(10-(LEN(S335)))+1</f>
        <v>9</v>
      </c>
      <c r="S335" s="6" t="n">
        <v>84</v>
      </c>
      <c r="T335" s="6" t="str">
        <f aca="false">IF($J335="NA","NA",IF(AND($J335&gt;1999,S335&gt;0),"ERRO","OK"))</f>
        <v>OK</v>
      </c>
      <c r="U335" s="6" t="n">
        <f aca="false">(10-(LEN(V335)))+1</f>
        <v>8</v>
      </c>
      <c r="V335" s="6" t="n">
        <v>414</v>
      </c>
      <c r="W335" s="6" t="str">
        <f aca="false">IF($J335="NA","NA",IF(AND($J335&gt;1989,V335&gt;0),"ERRO","OK"))</f>
        <v>OK</v>
      </c>
      <c r="X335" s="6" t="n">
        <f aca="false">(10-(LEN(Y335)))+1</f>
        <v>8</v>
      </c>
      <c r="Y335" s="6" t="n">
        <v>856</v>
      </c>
      <c r="Z335" s="6" t="str">
        <f aca="false">IF($J335="NA","NA",IF(AND($J335&gt;1979,Y335&gt;0),"ERRO","OK"))</f>
        <v>OK</v>
      </c>
      <c r="AA335" s="6" t="n">
        <f aca="false">(10-(LEN(AB335)))+1</f>
        <v>10</v>
      </c>
      <c r="AB335" s="6" t="n">
        <v>0</v>
      </c>
      <c r="AC335" s="6" t="str">
        <f aca="false">IF($J335="NA","NA",IF(AND($J335&gt;1969,AB335&gt;0),"ERRO","OK"))</f>
        <v>OK</v>
      </c>
      <c r="AD335" s="6" t="n">
        <f aca="false">(10-(LEN(AE335)))+1</f>
        <v>10</v>
      </c>
      <c r="AE335" s="6" t="n">
        <v>0</v>
      </c>
      <c r="AF335" s="6" t="str">
        <f aca="false">IF($J335="NA","NA",IF(AND($J335&gt;1959,AE335&gt;0),"ERRO","OK"))</f>
        <v>OK</v>
      </c>
      <c r="AG335" s="6" t="n">
        <f aca="false">(10-(LEN(AH335)))+1</f>
        <v>10</v>
      </c>
      <c r="AH335" s="6" t="n">
        <v>0</v>
      </c>
      <c r="AI335" s="6" t="str">
        <f aca="false">IF($J335="NA","NA",IF(AND($J335&gt;1949,AH335&gt;0),"ERRO","OK"))</f>
        <v>OK</v>
      </c>
      <c r="AJ335" s="6" t="n">
        <f aca="false">(10-(LEN(AK335)))+1</f>
        <v>10</v>
      </c>
      <c r="AK335" s="6" t="n">
        <v>0</v>
      </c>
      <c r="AL335" s="6" t="str">
        <f aca="false">IF($J335="NA","NA",IF(AND($J335&gt;1939,AK335&gt;0),"ERRO","OK"))</f>
        <v>OK</v>
      </c>
      <c r="AM335" s="6" t="n">
        <f aca="false">(10-(LEN(AN335)))+1</f>
        <v>10</v>
      </c>
      <c r="AN335" s="6" t="n">
        <v>0</v>
      </c>
      <c r="AO335" s="6" t="str">
        <f aca="false">IF($J335="NA","NA",IF(AND($J335&gt;1929,AN335&gt;0),"ERRO","OK"))</f>
        <v>OK</v>
      </c>
      <c r="AP335" s="6" t="n">
        <f aca="false">(10-(LEN(AQ335)))+1</f>
        <v>10</v>
      </c>
      <c r="AQ335" s="6" t="n">
        <v>0</v>
      </c>
      <c r="AR335" s="6" t="str">
        <f aca="false">IF($J335="NA","NA",IF(AND($J335&gt;1919,AQ335&gt;0),"ERRO","OK"))</f>
        <v>OK</v>
      </c>
      <c r="AS335" s="6" t="n">
        <f aca="false">(10-(LEN(AT335)))+1</f>
        <v>10</v>
      </c>
      <c r="AT335" s="6" t="n">
        <v>0</v>
      </c>
      <c r="AU335" s="6" t="str">
        <f aca="false">IF($J335="NA","NA",IF(AND($J335&gt;1909,AT335&gt;0),"ERRO","OK"))</f>
        <v>OK</v>
      </c>
      <c r="AV335" s="6" t="n">
        <f aca="false">(10-(LEN(AW335)))+1</f>
        <v>10</v>
      </c>
      <c r="AW335" s="6" t="n">
        <v>0</v>
      </c>
      <c r="AX335" s="6" t="str">
        <f aca="false">IF($J335="NA","NA",IF(AND($J335&gt;1899,AW335&gt;0),"ERRO","OK"))</f>
        <v>OK</v>
      </c>
    </row>
    <row r="336" customFormat="false" ht="15" hidden="false" customHeight="false" outlineLevel="0" collapsed="false">
      <c r="A336" s="7" t="n">
        <v>334</v>
      </c>
      <c r="B336" s="0" t="s">
        <v>353</v>
      </c>
      <c r="C336" s="8" t="n">
        <v>45330</v>
      </c>
      <c r="D336" s="6" t="n">
        <v>0</v>
      </c>
      <c r="E336" s="0" t="s">
        <v>16</v>
      </c>
      <c r="F336" s="0" t="s">
        <v>17</v>
      </c>
      <c r="G336" s="9" t="str">
        <f aca="false">IF(OR(N336="ERRO",Q336="ERRO",T336="ERRO",W336="ERRO",Z336="ERRO",AC336="ERRO",AF336="ERRO",AI336="ERRO",AL336="ERRO",AO336="ERRO",AR336="ERRO",AU336="ERRO",AX336="ERRO"),"ERRO","OK")</f>
        <v>ERRO</v>
      </c>
      <c r="H336" s="9" t="n">
        <f aca="false">COUNTIF(L336:AX336,"ERRO")</f>
        <v>1</v>
      </c>
      <c r="I336" s="9" t="s">
        <v>18</v>
      </c>
      <c r="J336" s="10" t="n">
        <v>1925</v>
      </c>
      <c r="K336" s="10" t="n">
        <v>2008</v>
      </c>
      <c r="L336" s="6" t="n">
        <f aca="false">(10-(LEN(M336)))+1</f>
        <v>6</v>
      </c>
      <c r="M336" s="6" t="n">
        <v>57427</v>
      </c>
      <c r="N336" s="6" t="str">
        <f aca="false">IF($J336="NA","NA",IF(AND($J336&gt;2019,M336&gt;0),"ERRO","OK"))</f>
        <v>OK</v>
      </c>
      <c r="O336" s="6" t="n">
        <f aca="false">(10-(LEN(P336)))+1</f>
        <v>6</v>
      </c>
      <c r="P336" s="6" t="n">
        <v>79791</v>
      </c>
      <c r="Q336" s="6" t="str">
        <f aca="false">IF($J336="NA","NA",IF(AND($J336&gt;2009,P336&gt;0),"ERRO","OK"))</f>
        <v>OK</v>
      </c>
      <c r="R336" s="6" t="n">
        <f aca="false">(10-(LEN(S336)))+1</f>
        <v>6</v>
      </c>
      <c r="S336" s="6" t="n">
        <v>92099</v>
      </c>
      <c r="T336" s="6" t="str">
        <f aca="false">IF($J336="NA","NA",IF(AND($J336&gt;1999,S336&gt;0),"ERRO","OK"))</f>
        <v>OK</v>
      </c>
      <c r="U336" s="6" t="n">
        <f aca="false">(10-(LEN(V336)))+1</f>
        <v>6</v>
      </c>
      <c r="V336" s="6" t="n">
        <v>82740</v>
      </c>
      <c r="W336" s="6" t="str">
        <f aca="false">IF($J336="NA","NA",IF(AND($J336&gt;1989,V336&gt;0),"ERRO","OK"))</f>
        <v>OK</v>
      </c>
      <c r="X336" s="6" t="n">
        <f aca="false">(10-(LEN(Y336)))+1</f>
        <v>6</v>
      </c>
      <c r="Y336" s="6" t="n">
        <v>55275</v>
      </c>
      <c r="Z336" s="6" t="str">
        <f aca="false">IF($J336="NA","NA",IF(AND($J336&gt;1979,Y336&gt;0),"ERRO","OK"))</f>
        <v>OK</v>
      </c>
      <c r="AA336" s="6" t="n">
        <f aca="false">(10-(LEN(AB336)))+1</f>
        <v>6</v>
      </c>
      <c r="AB336" s="6" t="n">
        <v>41253</v>
      </c>
      <c r="AC336" s="6" t="str">
        <f aca="false">IF($J336="NA","NA",IF(AND($J336&gt;1969,AB336&gt;0),"ERRO","OK"))</f>
        <v>OK</v>
      </c>
      <c r="AD336" s="6" t="n">
        <f aca="false">(10-(LEN(AE336)))+1</f>
        <v>7</v>
      </c>
      <c r="AE336" s="6" t="n">
        <v>6818</v>
      </c>
      <c r="AF336" s="6" t="str">
        <f aca="false">IF($J336="NA","NA",IF(AND($J336&gt;1959,AE336&gt;0),"ERRO","OK"))</f>
        <v>OK</v>
      </c>
      <c r="AG336" s="6" t="n">
        <f aca="false">(10-(LEN(AH336)))+1</f>
        <v>7</v>
      </c>
      <c r="AH336" s="6" t="n">
        <v>2423</v>
      </c>
      <c r="AI336" s="6" t="str">
        <f aca="false">IF($J336="NA","NA",IF(AND($J336&gt;1949,AH336&gt;0),"ERRO","OK"))</f>
        <v>OK</v>
      </c>
      <c r="AJ336" s="6" t="n">
        <f aca="false">(10-(LEN(AK336)))+1</f>
        <v>6</v>
      </c>
      <c r="AK336" s="6" t="n">
        <v>48740</v>
      </c>
      <c r="AL336" s="6" t="str">
        <f aca="false">IF($J336="NA","NA",IF(AND($J336&gt;1939,AK336&gt;0),"ERRO","OK"))</f>
        <v>OK</v>
      </c>
      <c r="AM336" s="6" t="n">
        <f aca="false">(10-(LEN(AN336)))+1</f>
        <v>8</v>
      </c>
      <c r="AN336" s="6" t="n">
        <v>305</v>
      </c>
      <c r="AO336" s="6" t="str">
        <f aca="false">IF($J336="NA","NA",IF(AND($J336&gt;1929,AN336&gt;0),"ERRO","OK"))</f>
        <v>OK</v>
      </c>
      <c r="AP336" s="6" t="n">
        <f aca="false">(10-(LEN(AQ336)))+1</f>
        <v>7</v>
      </c>
      <c r="AQ336" s="6" t="n">
        <v>1302</v>
      </c>
      <c r="AR336" s="6" t="str">
        <f aca="false">IF($J336="NA","NA",IF(AND($J336&gt;1919,AQ336&gt;0),"ERRO","OK"))</f>
        <v>ERRO</v>
      </c>
      <c r="AS336" s="6" t="n">
        <f aca="false">(10-(LEN(AT336)))+1</f>
        <v>10</v>
      </c>
      <c r="AT336" s="6" t="n">
        <v>0</v>
      </c>
      <c r="AU336" s="6" t="str">
        <f aca="false">IF($J336="NA","NA",IF(AND($J336&gt;1909,AT336&gt;0),"ERRO","OK"))</f>
        <v>OK</v>
      </c>
      <c r="AV336" s="6" t="n">
        <f aca="false">(10-(LEN(AW336)))+1</f>
        <v>10</v>
      </c>
      <c r="AW336" s="6" t="n">
        <v>0</v>
      </c>
      <c r="AX336" s="6" t="str">
        <f aca="false">IF($J336="NA","NA",IF(AND($J336&gt;1899,AW336&gt;0),"ERRO","OK"))</f>
        <v>OK</v>
      </c>
    </row>
    <row r="337" customFormat="false" ht="15" hidden="false" customHeight="false" outlineLevel="0" collapsed="false">
      <c r="A337" s="7" t="n">
        <v>335</v>
      </c>
      <c r="B337" s="0" t="s">
        <v>354</v>
      </c>
      <c r="C337" s="8" t="n">
        <v>45330</v>
      </c>
      <c r="D337" s="6" t="n">
        <v>0</v>
      </c>
      <c r="E337" s="0" t="s">
        <v>16</v>
      </c>
      <c r="F337" s="0" t="s">
        <v>17</v>
      </c>
      <c r="G337" s="9" t="str">
        <f aca="false">IF(OR(N337="ERRO",Q337="ERRO",T337="ERRO",W337="ERRO",Z337="ERRO",AC337="ERRO",AF337="ERRO",AI337="ERRO",AL337="ERRO",AO337="ERRO",AR337="ERRO",AU337="ERRO",AX337="ERRO"),"ERRO","OK")</f>
        <v>ERRO</v>
      </c>
      <c r="H337" s="9" t="n">
        <f aca="false">COUNTIF(L337:AX337,"ERRO")</f>
        <v>2</v>
      </c>
      <c r="I337" s="9" t="s">
        <v>18</v>
      </c>
      <c r="J337" s="10" t="n">
        <v>1930</v>
      </c>
      <c r="K337" s="10" t="s">
        <v>22</v>
      </c>
      <c r="L337" s="6" t="n">
        <f aca="false">(10-(LEN(M337)))+1</f>
        <v>6</v>
      </c>
      <c r="M337" s="6" t="n">
        <v>43893</v>
      </c>
      <c r="N337" s="6" t="str">
        <f aca="false">IF($J337="NA","NA",IF(AND($J337&gt;2019,M337&gt;0),"ERRO","OK"))</f>
        <v>OK</v>
      </c>
      <c r="O337" s="6" t="n">
        <f aca="false">(10-(LEN(P337)))+1</f>
        <v>6</v>
      </c>
      <c r="P337" s="6" t="n">
        <v>88950</v>
      </c>
      <c r="Q337" s="6" t="str">
        <f aca="false">IF($J337="NA","NA",IF(AND($J337&gt;2009,P337&gt;0),"ERRO","OK"))</f>
        <v>OK</v>
      </c>
      <c r="R337" s="6" t="n">
        <f aca="false">(10-(LEN(S337)))+1</f>
        <v>5</v>
      </c>
      <c r="S337" s="6" t="n">
        <v>113401</v>
      </c>
      <c r="T337" s="6" t="str">
        <f aca="false">IF($J337="NA","NA",IF(AND($J337&gt;1999,S337&gt;0),"ERRO","OK"))</f>
        <v>OK</v>
      </c>
      <c r="U337" s="6" t="n">
        <f aca="false">(10-(LEN(V337)))+1</f>
        <v>5</v>
      </c>
      <c r="V337" s="6" t="n">
        <v>131215</v>
      </c>
      <c r="W337" s="6" t="str">
        <f aca="false">IF($J337="NA","NA",IF(AND($J337&gt;1989,V337&gt;0),"ERRO","OK"))</f>
        <v>OK</v>
      </c>
      <c r="X337" s="6" t="n">
        <f aca="false">(10-(LEN(Y337)))+1</f>
        <v>6</v>
      </c>
      <c r="Y337" s="6" t="n">
        <v>70525</v>
      </c>
      <c r="Z337" s="6" t="str">
        <f aca="false">IF($J337="NA","NA",IF(AND($J337&gt;1979,Y337&gt;0),"ERRO","OK"))</f>
        <v>OK</v>
      </c>
      <c r="AA337" s="6" t="n">
        <f aca="false">(10-(LEN(AB337)))+1</f>
        <v>6</v>
      </c>
      <c r="AB337" s="6" t="n">
        <v>56488</v>
      </c>
      <c r="AC337" s="6" t="str">
        <f aca="false">IF($J337="NA","NA",IF(AND($J337&gt;1969,AB337&gt;0),"ERRO","OK"))</f>
        <v>OK</v>
      </c>
      <c r="AD337" s="6" t="n">
        <f aca="false">(10-(LEN(AE337)))+1</f>
        <v>7</v>
      </c>
      <c r="AE337" s="6" t="n">
        <v>8701</v>
      </c>
      <c r="AF337" s="6" t="str">
        <f aca="false">IF($J337="NA","NA",IF(AND($J337&gt;1959,AE337&gt;0),"ERRO","OK"))</f>
        <v>OK</v>
      </c>
      <c r="AG337" s="6" t="n">
        <f aca="false">(10-(LEN(AH337)))+1</f>
        <v>7</v>
      </c>
      <c r="AH337" s="6" t="n">
        <v>2423</v>
      </c>
      <c r="AI337" s="6" t="str">
        <f aca="false">IF($J337="NA","NA",IF(AND($J337&gt;1949,AH337&gt;0),"ERRO","OK"))</f>
        <v>OK</v>
      </c>
      <c r="AJ337" s="6" t="n">
        <f aca="false">(10-(LEN(AK337)))+1</f>
        <v>6</v>
      </c>
      <c r="AK337" s="6" t="n">
        <v>46651</v>
      </c>
      <c r="AL337" s="6" t="str">
        <f aca="false">IF($J337="NA","NA",IF(AND($J337&gt;1939,AK337&gt;0),"ERRO","OK"))</f>
        <v>OK</v>
      </c>
      <c r="AM337" s="6" t="n">
        <f aca="false">(10-(LEN(AN337)))+1</f>
        <v>8</v>
      </c>
      <c r="AN337" s="6" t="n">
        <v>609</v>
      </c>
      <c r="AO337" s="6" t="str">
        <f aca="false">IF($J337="NA","NA",IF(AND($J337&gt;1929,AN337&gt;0),"ERRO","OK"))</f>
        <v>ERRO</v>
      </c>
      <c r="AP337" s="6" t="n">
        <f aca="false">(10-(LEN(AQ337)))+1</f>
        <v>8</v>
      </c>
      <c r="AQ337" s="6" t="n">
        <v>401</v>
      </c>
      <c r="AR337" s="6" t="str">
        <f aca="false">IF($J337="NA","NA",IF(AND($J337&gt;1919,AQ337&gt;0),"ERRO","OK"))</f>
        <v>ERRO</v>
      </c>
      <c r="AS337" s="6" t="n">
        <f aca="false">(10-(LEN(AT337)))+1</f>
        <v>10</v>
      </c>
      <c r="AT337" s="6" t="n">
        <v>0</v>
      </c>
      <c r="AU337" s="6" t="str">
        <f aca="false">IF($J337="NA","NA",IF(AND($J337&gt;1909,AT337&gt;0),"ERRO","OK"))</f>
        <v>OK</v>
      </c>
      <c r="AV337" s="6" t="n">
        <f aca="false">(10-(LEN(AW337)))+1</f>
        <v>10</v>
      </c>
      <c r="AW337" s="6" t="n">
        <v>0</v>
      </c>
      <c r="AX337" s="6" t="str">
        <f aca="false">IF($J337="NA","NA",IF(AND($J337&gt;1899,AW337&gt;0),"ERRO","OK"))</f>
        <v>OK</v>
      </c>
    </row>
    <row r="338" customFormat="false" ht="15" hidden="false" customHeight="false" outlineLevel="0" collapsed="false">
      <c r="A338" s="7" t="n">
        <v>336</v>
      </c>
      <c r="B338" s="0" t="s">
        <v>355</v>
      </c>
      <c r="C338" s="8" t="n">
        <v>45330</v>
      </c>
      <c r="D338" s="6" t="n">
        <v>0</v>
      </c>
      <c r="E338" s="0" t="s">
        <v>16</v>
      </c>
      <c r="F338" s="0" t="s">
        <v>17</v>
      </c>
      <c r="G338" s="9" t="str">
        <f aca="false">IF(OR(N338="ERRO",Q338="ERRO",T338="ERRO",W338="ERRO",Z338="ERRO",AC338="ERRO",AF338="ERRO",AI338="ERRO",AL338="ERRO",AO338="ERRO",AR338="ERRO",AU338="ERRO",AX338="ERRO"),"ERRO","OK")</f>
        <v>ERRO</v>
      </c>
      <c r="H338" s="9" t="n">
        <f aca="false">COUNTIF(L338:AX338,"ERRO")</f>
        <v>1</v>
      </c>
      <c r="I338" s="9" t="s">
        <v>18</v>
      </c>
      <c r="J338" s="10" t="n">
        <v>1919</v>
      </c>
      <c r="K338" s="10" t="n">
        <v>2009</v>
      </c>
      <c r="L338" s="6" t="n">
        <f aca="false">(10-(LEN(M338)))+1</f>
        <v>6</v>
      </c>
      <c r="M338" s="6" t="n">
        <v>31608</v>
      </c>
      <c r="N338" s="6" t="str">
        <f aca="false">IF($J338="NA","NA",IF(AND($J338&gt;2019,M338&gt;0),"ERRO","OK"))</f>
        <v>OK</v>
      </c>
      <c r="O338" s="6" t="n">
        <f aca="false">(10-(LEN(P338)))+1</f>
        <v>6</v>
      </c>
      <c r="P338" s="6" t="n">
        <v>54303</v>
      </c>
      <c r="Q338" s="6" t="str">
        <f aca="false">IF($J338="NA","NA",IF(AND($J338&gt;2009,P338&gt;0),"ERRO","OK"))</f>
        <v>OK</v>
      </c>
      <c r="R338" s="6" t="n">
        <f aca="false">(10-(LEN(S338)))+1</f>
        <v>6</v>
      </c>
      <c r="S338" s="6" t="n">
        <v>82477</v>
      </c>
      <c r="T338" s="6" t="str">
        <f aca="false">IF($J338="NA","NA",IF(AND($J338&gt;1999,S338&gt;0),"ERRO","OK"))</f>
        <v>OK</v>
      </c>
      <c r="U338" s="6" t="n">
        <f aca="false">(10-(LEN(V338)))+1</f>
        <v>6</v>
      </c>
      <c r="V338" s="6" t="n">
        <v>67470</v>
      </c>
      <c r="W338" s="6" t="str">
        <f aca="false">IF($J338="NA","NA",IF(AND($J338&gt;1989,V338&gt;0),"ERRO","OK"))</f>
        <v>OK</v>
      </c>
      <c r="X338" s="6" t="n">
        <f aca="false">(10-(LEN(Y338)))+1</f>
        <v>6</v>
      </c>
      <c r="Y338" s="6" t="n">
        <v>58111</v>
      </c>
      <c r="Z338" s="6" t="str">
        <f aca="false">IF($J338="NA","NA",IF(AND($J338&gt;1979,Y338&gt;0),"ERRO","OK"))</f>
        <v>OK</v>
      </c>
      <c r="AA338" s="6" t="n">
        <f aca="false">(10-(LEN(AB338)))+1</f>
        <v>6</v>
      </c>
      <c r="AB338" s="6" t="n">
        <v>28596</v>
      </c>
      <c r="AC338" s="6" t="str">
        <f aca="false">IF($J338="NA","NA",IF(AND($J338&gt;1969,AB338&gt;0),"ERRO","OK"))</f>
        <v>OK</v>
      </c>
      <c r="AD338" s="6" t="n">
        <f aca="false">(10-(LEN(AE338)))+1</f>
        <v>6</v>
      </c>
      <c r="AE338" s="6" t="n">
        <v>15250</v>
      </c>
      <c r="AF338" s="6" t="str">
        <f aca="false">IF($J338="NA","NA",IF(AND($J338&gt;1959,AE338&gt;0),"ERRO","OK"))</f>
        <v>OK</v>
      </c>
      <c r="AG338" s="6" t="n">
        <f aca="false">(10-(LEN(AH338)))+1</f>
        <v>6</v>
      </c>
      <c r="AH338" s="6" t="n">
        <v>23239</v>
      </c>
      <c r="AI338" s="6" t="str">
        <f aca="false">IF($J338="NA","NA",IF(AND($J338&gt;1949,AH338&gt;0),"ERRO","OK"))</f>
        <v>OK</v>
      </c>
      <c r="AJ338" s="6" t="n">
        <f aca="false">(10-(LEN(AK338)))+1</f>
        <v>7</v>
      </c>
      <c r="AK338" s="6" t="n">
        <v>3760</v>
      </c>
      <c r="AL338" s="6" t="str">
        <f aca="false">IF($J338="NA","NA",IF(AND($J338&gt;1939,AK338&gt;0),"ERRO","OK"))</f>
        <v>OK</v>
      </c>
      <c r="AM338" s="6" t="n">
        <f aca="false">(10-(LEN(AN338)))+1</f>
        <v>10</v>
      </c>
      <c r="AN338" s="6" t="n">
        <v>0</v>
      </c>
      <c r="AO338" s="6" t="str">
        <f aca="false">IF($J338="NA","NA",IF(AND($J338&gt;1929,AN338&gt;0),"ERRO","OK"))</f>
        <v>OK</v>
      </c>
      <c r="AP338" s="6" t="n">
        <f aca="false">(10-(LEN(AQ338)))+1</f>
        <v>10</v>
      </c>
      <c r="AQ338" s="6" t="n">
        <v>0</v>
      </c>
      <c r="AR338" s="6" t="str">
        <f aca="false">IF($J338="NA","NA",IF(AND($J338&gt;1919,AQ338&gt;0),"ERRO","OK"))</f>
        <v>OK</v>
      </c>
      <c r="AS338" s="6" t="n">
        <f aca="false">(10-(LEN(AT338)))+1</f>
        <v>10</v>
      </c>
      <c r="AT338" s="6" t="n">
        <v>0</v>
      </c>
      <c r="AU338" s="6" t="str">
        <f aca="false">IF($J338="NA","NA",IF(AND($J338&gt;1909,AT338&gt;0),"ERRO","OK"))</f>
        <v>OK</v>
      </c>
      <c r="AV338" s="6" t="n">
        <f aca="false">(10-(LEN(AW338)))+1</f>
        <v>8</v>
      </c>
      <c r="AW338" s="6" t="n">
        <v>129</v>
      </c>
      <c r="AX338" s="6" t="str">
        <f aca="false">IF($J338="NA","NA",IF(AND($J338&gt;1899,AW338&gt;0),"ERRO","OK"))</f>
        <v>ERRO</v>
      </c>
    </row>
    <row r="339" customFormat="false" ht="15" hidden="false" customHeight="false" outlineLevel="0" collapsed="false">
      <c r="A339" s="7" t="n">
        <v>337</v>
      </c>
      <c r="B339" s="0" t="s">
        <v>356</v>
      </c>
      <c r="C339" s="8" t="n">
        <v>45331</v>
      </c>
      <c r="D339" s="6" t="n">
        <v>0</v>
      </c>
      <c r="E339" s="0" t="s">
        <v>16</v>
      </c>
      <c r="F339" s="0" t="s">
        <v>17</v>
      </c>
      <c r="G339" s="9" t="str">
        <f aca="false">IF(OR(N339="ERRO",Q339="ERRO",T339="ERRO",W339="ERRO",Z339="ERRO",AC339="ERRO",AF339="ERRO",AI339="ERRO",AL339="ERRO",AO339="ERRO",AR339="ERRO",AU339="ERRO",AX339="ERRO"),"ERRO","OK")</f>
        <v>ERRO</v>
      </c>
      <c r="H339" s="9" t="n">
        <f aca="false">COUNTIF(L339:AX339,"ERRO")</f>
        <v>1</v>
      </c>
      <c r="I339" s="9" t="s">
        <v>18</v>
      </c>
      <c r="J339" s="10" t="n">
        <v>1925</v>
      </c>
      <c r="K339" s="10" t="n">
        <v>1991</v>
      </c>
      <c r="L339" s="6" t="n">
        <f aca="false">(10-(LEN(M339)))+1</f>
        <v>7</v>
      </c>
      <c r="M339" s="6" t="n">
        <v>8995</v>
      </c>
      <c r="N339" s="6" t="str">
        <f aca="false">IF($J339="NA","NA",IF(AND($J339&gt;2019,M339&gt;0),"ERRO","OK"))</f>
        <v>OK</v>
      </c>
      <c r="O339" s="6" t="n">
        <f aca="false">(10-(LEN(P339)))+1</f>
        <v>6</v>
      </c>
      <c r="P339" s="6" t="n">
        <v>16157</v>
      </c>
      <c r="Q339" s="6" t="str">
        <f aca="false">IF($J339="NA","NA",IF(AND($J339&gt;2009,P339&gt;0),"ERRO","OK"))</f>
        <v>OK</v>
      </c>
      <c r="R339" s="6" t="n">
        <f aca="false">(10-(LEN(S339)))+1</f>
        <v>6</v>
      </c>
      <c r="S339" s="6" t="n">
        <v>18529</v>
      </c>
      <c r="T339" s="6" t="str">
        <f aca="false">IF($J339="NA","NA",IF(AND($J339&gt;1999,S339&gt;0),"ERRO","OK"))</f>
        <v>OK</v>
      </c>
      <c r="U339" s="6" t="n">
        <f aca="false">(10-(LEN(V339)))+1</f>
        <v>6</v>
      </c>
      <c r="V339" s="6" t="n">
        <v>17845</v>
      </c>
      <c r="W339" s="6" t="str">
        <f aca="false">IF($J339="NA","NA",IF(AND($J339&gt;1989,V339&gt;0),"ERRO","OK"))</f>
        <v>OK</v>
      </c>
      <c r="X339" s="6" t="n">
        <f aca="false">(10-(LEN(Y339)))+1</f>
        <v>7</v>
      </c>
      <c r="Y339" s="6" t="n">
        <v>4762</v>
      </c>
      <c r="Z339" s="6" t="str">
        <f aca="false">IF($J339="NA","NA",IF(AND($J339&gt;1979,Y339&gt;0),"ERRO","OK"))</f>
        <v>OK</v>
      </c>
      <c r="AA339" s="6" t="n">
        <f aca="false">(10-(LEN(AB339)))+1</f>
        <v>6</v>
      </c>
      <c r="AB339" s="6" t="n">
        <v>14239</v>
      </c>
      <c r="AC339" s="6" t="str">
        <f aca="false">IF($J339="NA","NA",IF(AND($J339&gt;1969,AB339&gt;0),"ERRO","OK"))</f>
        <v>OK</v>
      </c>
      <c r="AD339" s="6" t="n">
        <f aca="false">(10-(LEN(AE339)))+1</f>
        <v>7</v>
      </c>
      <c r="AE339" s="6" t="n">
        <v>2781</v>
      </c>
      <c r="AF339" s="6" t="str">
        <f aca="false">IF($J339="NA","NA",IF(AND($J339&gt;1959,AE339&gt;0),"ERRO","OK"))</f>
        <v>OK</v>
      </c>
      <c r="AG339" s="6" t="n">
        <f aca="false">(10-(LEN(AH339)))+1</f>
        <v>8</v>
      </c>
      <c r="AH339" s="6" t="n">
        <v>110</v>
      </c>
      <c r="AI339" s="6" t="str">
        <f aca="false">IF($J339="NA","NA",IF(AND($J339&gt;1949,AH339&gt;0),"ERRO","OK"))</f>
        <v>OK</v>
      </c>
      <c r="AJ339" s="6" t="n">
        <f aca="false">(10-(LEN(AK339)))+1</f>
        <v>7</v>
      </c>
      <c r="AK339" s="6" t="n">
        <v>2646</v>
      </c>
      <c r="AL339" s="6" t="str">
        <f aca="false">IF($J339="NA","NA",IF(AND($J339&gt;1939,AK339&gt;0),"ERRO","OK"))</f>
        <v>OK</v>
      </c>
      <c r="AM339" s="6" t="n">
        <f aca="false">(10-(LEN(AN339)))+1</f>
        <v>10</v>
      </c>
      <c r="AN339" s="6" t="n">
        <v>0</v>
      </c>
      <c r="AO339" s="6" t="str">
        <f aca="false">IF($J339="NA","NA",IF(AND($J339&gt;1929,AN339&gt;0),"ERRO","OK"))</f>
        <v>OK</v>
      </c>
      <c r="AP339" s="6" t="n">
        <f aca="false">(10-(LEN(AQ339)))+1</f>
        <v>8</v>
      </c>
      <c r="AQ339" s="6" t="n">
        <v>100</v>
      </c>
      <c r="AR339" s="6" t="str">
        <f aca="false">IF($J339="NA","NA",IF(AND($J339&gt;1919,AQ339&gt;0),"ERRO","OK"))</f>
        <v>ERRO</v>
      </c>
      <c r="AS339" s="6" t="n">
        <f aca="false">(10-(LEN(AT339)))+1</f>
        <v>10</v>
      </c>
      <c r="AT339" s="6" t="n">
        <v>0</v>
      </c>
      <c r="AU339" s="6" t="str">
        <f aca="false">IF($J339="NA","NA",IF(AND($J339&gt;1909,AT339&gt;0),"ERRO","OK"))</f>
        <v>OK</v>
      </c>
      <c r="AV339" s="6" t="n">
        <f aca="false">(10-(LEN(AW339)))+1</f>
        <v>10</v>
      </c>
      <c r="AW339" s="6" t="n">
        <v>0</v>
      </c>
      <c r="AX339" s="6" t="str">
        <f aca="false">IF($J339="NA","NA",IF(AND($J339&gt;1899,AW339&gt;0),"ERRO","OK"))</f>
        <v>OK</v>
      </c>
    </row>
    <row r="340" customFormat="false" ht="15" hidden="false" customHeight="false" outlineLevel="0" collapsed="false">
      <c r="A340" s="7" t="n">
        <v>338</v>
      </c>
      <c r="B340" s="0" t="s">
        <v>357</v>
      </c>
      <c r="C340" s="8" t="n">
        <v>45331</v>
      </c>
      <c r="D340" s="6" t="n">
        <v>0</v>
      </c>
      <c r="E340" s="0" t="s">
        <v>16</v>
      </c>
      <c r="F340" s="0" t="s">
        <v>17</v>
      </c>
      <c r="G340" s="9" t="str">
        <f aca="false">IF(OR(N340="ERRO",Q340="ERRO",T340="ERRO",W340="ERRO",Z340="ERRO",AC340="ERRO",AF340="ERRO",AI340="ERRO",AL340="ERRO",AO340="ERRO",AR340="ERRO",AU340="ERRO",AX340="ERRO"),"ERRO","OK")</f>
        <v>ERRO</v>
      </c>
      <c r="H340" s="9" t="n">
        <f aca="false">COUNTIF(L340:AX340,"ERRO")</f>
        <v>1</v>
      </c>
      <c r="I340" s="9" t="s">
        <v>18</v>
      </c>
      <c r="J340" s="10" t="n">
        <v>1932</v>
      </c>
      <c r="K340" s="10" t="n">
        <v>2005</v>
      </c>
      <c r="L340" s="6" t="n">
        <f aca="false">(10-(LEN(M340)))+1</f>
        <v>7</v>
      </c>
      <c r="M340" s="6" t="n">
        <v>5747</v>
      </c>
      <c r="N340" s="6" t="str">
        <f aca="false">IF($J340="NA","NA",IF(AND($J340&gt;2019,M340&gt;0),"ERRO","OK"))</f>
        <v>OK</v>
      </c>
      <c r="O340" s="6" t="n">
        <f aca="false">(10-(LEN(P340)))+1</f>
        <v>6</v>
      </c>
      <c r="P340" s="6" t="n">
        <v>11012</v>
      </c>
      <c r="Q340" s="6" t="str">
        <f aca="false">IF($J340="NA","NA",IF(AND($J340&gt;2009,P340&gt;0),"ERRO","OK"))</f>
        <v>OK</v>
      </c>
      <c r="R340" s="6" t="n">
        <f aca="false">(10-(LEN(S340)))+1</f>
        <v>7</v>
      </c>
      <c r="S340" s="6" t="n">
        <v>7983</v>
      </c>
      <c r="T340" s="6" t="str">
        <f aca="false">IF($J340="NA","NA",IF(AND($J340&gt;1999,S340&gt;0),"ERRO","OK"))</f>
        <v>OK</v>
      </c>
      <c r="U340" s="6" t="n">
        <f aca="false">(10-(LEN(V340)))+1</f>
        <v>7</v>
      </c>
      <c r="V340" s="6" t="n">
        <v>9612</v>
      </c>
      <c r="W340" s="6" t="str">
        <f aca="false">IF($J340="NA","NA",IF(AND($J340&gt;1989,V340&gt;0),"ERRO","OK"))</f>
        <v>OK</v>
      </c>
      <c r="X340" s="6" t="n">
        <f aca="false">(10-(LEN(Y340)))+1</f>
        <v>7</v>
      </c>
      <c r="Y340" s="6" t="n">
        <v>3692</v>
      </c>
      <c r="Z340" s="6" t="str">
        <f aca="false">IF($J340="NA","NA",IF(AND($J340&gt;1979,Y340&gt;0),"ERRO","OK"))</f>
        <v>OK</v>
      </c>
      <c r="AA340" s="6" t="n">
        <f aca="false">(10-(LEN(AB340)))+1</f>
        <v>7</v>
      </c>
      <c r="AB340" s="6" t="n">
        <v>6329</v>
      </c>
      <c r="AC340" s="6" t="str">
        <f aca="false">IF($J340="NA","NA",IF(AND($J340&gt;1969,AB340&gt;0),"ERRO","OK"))</f>
        <v>OK</v>
      </c>
      <c r="AD340" s="6" t="n">
        <f aca="false">(10-(LEN(AE340)))+1</f>
        <v>8</v>
      </c>
      <c r="AE340" s="6" t="n">
        <v>179</v>
      </c>
      <c r="AF340" s="6" t="str">
        <f aca="false">IF($J340="NA","NA",IF(AND($J340&gt;1959,AE340&gt;0),"ERRO","OK"))</f>
        <v>OK</v>
      </c>
      <c r="AG340" s="6" t="n">
        <f aca="false">(10-(LEN(AH340)))+1</f>
        <v>10</v>
      </c>
      <c r="AH340" s="6" t="n">
        <v>0</v>
      </c>
      <c r="AI340" s="6" t="str">
        <f aca="false">IF($J340="NA","NA",IF(AND($J340&gt;1949,AH340&gt;0),"ERRO","OK"))</f>
        <v>OK</v>
      </c>
      <c r="AJ340" s="6" t="n">
        <f aca="false">(10-(LEN(AK340)))+1</f>
        <v>7</v>
      </c>
      <c r="AK340" s="6" t="n">
        <v>6127</v>
      </c>
      <c r="AL340" s="6" t="str">
        <f aca="false">IF($J340="NA","NA",IF(AND($J340&gt;1939,AK340&gt;0),"ERRO","OK"))</f>
        <v>OK</v>
      </c>
      <c r="AM340" s="6" t="n">
        <f aca="false">(10-(LEN(AN340)))+1</f>
        <v>10</v>
      </c>
      <c r="AN340" s="6" t="n">
        <v>0</v>
      </c>
      <c r="AO340" s="6" t="str">
        <f aca="false">IF($J340="NA","NA",IF(AND($J340&gt;1929,AN340&gt;0),"ERRO","OK"))</f>
        <v>OK</v>
      </c>
      <c r="AP340" s="6" t="n">
        <f aca="false">(10-(LEN(AQ340)))+1</f>
        <v>8</v>
      </c>
      <c r="AQ340" s="6" t="n">
        <v>300</v>
      </c>
      <c r="AR340" s="6" t="str">
        <f aca="false">IF($J340="NA","NA",IF(AND($J340&gt;1919,AQ340&gt;0),"ERRO","OK"))</f>
        <v>ERRO</v>
      </c>
      <c r="AS340" s="6" t="n">
        <f aca="false">(10-(LEN(AT340)))+1</f>
        <v>10</v>
      </c>
      <c r="AT340" s="6" t="n">
        <v>0</v>
      </c>
      <c r="AU340" s="6" t="str">
        <f aca="false">IF($J340="NA","NA",IF(AND($J340&gt;1909,AT340&gt;0),"ERRO","OK"))</f>
        <v>OK</v>
      </c>
      <c r="AV340" s="6" t="n">
        <f aca="false">(10-(LEN(AW340)))+1</f>
        <v>10</v>
      </c>
      <c r="AW340" s="6" t="n">
        <v>0</v>
      </c>
      <c r="AX340" s="6" t="str">
        <f aca="false">IF($J340="NA","NA",IF(AND($J340&gt;1899,AW340&gt;0),"ERRO","OK"))</f>
        <v>OK</v>
      </c>
    </row>
    <row r="341" customFormat="false" ht="15" hidden="false" customHeight="false" outlineLevel="0" collapsed="false">
      <c r="A341" s="7" t="n">
        <v>339</v>
      </c>
      <c r="B341" s="0" t="s">
        <v>358</v>
      </c>
      <c r="C341" s="8" t="n">
        <v>45331</v>
      </c>
      <c r="D341" s="6" t="n">
        <v>0</v>
      </c>
      <c r="E341" s="0" t="s">
        <v>16</v>
      </c>
      <c r="F341" s="0" t="s">
        <v>17</v>
      </c>
      <c r="G341" s="9" t="str">
        <f aca="false">IF(OR(N341="ERRO",Q341="ERRO",T341="ERRO",W341="ERRO",Z341="ERRO",AC341="ERRO",AF341="ERRO",AI341="ERRO",AL341="ERRO",AO341="ERRO",AR341="ERRO",AU341="ERRO",AX341="ERRO"),"ERRO","OK")</f>
        <v>ERRO</v>
      </c>
      <c r="H341" s="9" t="n">
        <f aca="false">COUNTIF(L341:AX341,"ERRO")</f>
        <v>4</v>
      </c>
      <c r="I341" s="9" t="s">
        <v>104</v>
      </c>
      <c r="J341" s="10" t="n">
        <v>1930</v>
      </c>
      <c r="K341" s="10" t="n">
        <v>2010</v>
      </c>
      <c r="L341" s="6" t="n">
        <f aca="false">(10-(LEN(M341)))+1</f>
        <v>8</v>
      </c>
      <c r="M341" s="6" t="n">
        <v>125</v>
      </c>
      <c r="N341" s="6" t="str">
        <f aca="false">IF($J341="NA","NA",IF(AND($J341&gt;2019,M341&gt;0),"ERRO","OK"))</f>
        <v>OK</v>
      </c>
      <c r="O341" s="6" t="n">
        <f aca="false">(10-(LEN(P341)))+1</f>
        <v>8</v>
      </c>
      <c r="P341" s="6" t="n">
        <v>412</v>
      </c>
      <c r="Q341" s="6" t="str">
        <f aca="false">IF($J341="NA","NA",IF(AND($J341&gt;2009,P341&gt;0),"ERRO","OK"))</f>
        <v>OK</v>
      </c>
      <c r="R341" s="6" t="n">
        <f aca="false">(10-(LEN(S341)))+1</f>
        <v>7</v>
      </c>
      <c r="S341" s="6" t="n">
        <v>1723</v>
      </c>
      <c r="T341" s="6" t="str">
        <f aca="false">IF($J341="NA","NA",IF(AND($J341&gt;1999,S341&gt;0),"ERRO","OK"))</f>
        <v>OK</v>
      </c>
      <c r="U341" s="6" t="n">
        <f aca="false">(10-(LEN(V341)))+1</f>
        <v>7</v>
      </c>
      <c r="V341" s="6" t="n">
        <v>1426</v>
      </c>
      <c r="W341" s="6" t="str">
        <f aca="false">IF($J341="NA","NA",IF(AND($J341&gt;1989,V341&gt;0),"ERRO","OK"))</f>
        <v>OK</v>
      </c>
      <c r="X341" s="6" t="n">
        <f aca="false">(10-(LEN(Y341)))+1</f>
        <v>7</v>
      </c>
      <c r="Y341" s="6" t="n">
        <v>2461</v>
      </c>
      <c r="Z341" s="6" t="str">
        <f aca="false">IF($J341="NA","NA",IF(AND($J341&gt;1979,Y341&gt;0),"ERRO","OK"))</f>
        <v>OK</v>
      </c>
      <c r="AA341" s="6" t="n">
        <f aca="false">(10-(LEN(AB341)))+1</f>
        <v>8</v>
      </c>
      <c r="AB341" s="6" t="n">
        <v>938</v>
      </c>
      <c r="AC341" s="6" t="str">
        <f aca="false">IF($J341="NA","NA",IF(AND($J341&gt;1969,AB341&gt;0),"ERRO","OK"))</f>
        <v>OK</v>
      </c>
      <c r="AD341" s="6" t="n">
        <f aca="false">(10-(LEN(AE341)))+1</f>
        <v>7</v>
      </c>
      <c r="AE341" s="6" t="n">
        <v>1256</v>
      </c>
      <c r="AF341" s="6" t="str">
        <f aca="false">IF($J341="NA","NA",IF(AND($J341&gt;1959,AE341&gt;0),"ERRO","OK"))</f>
        <v>OK</v>
      </c>
      <c r="AG341" s="6" t="n">
        <f aca="false">(10-(LEN(AH341)))+1</f>
        <v>7</v>
      </c>
      <c r="AH341" s="6" t="n">
        <v>1101</v>
      </c>
      <c r="AI341" s="6" t="str">
        <f aca="false">IF($J341="NA","NA",IF(AND($J341&gt;1949,AH341&gt;0),"ERRO","OK"))</f>
        <v>OK</v>
      </c>
      <c r="AJ341" s="6" t="n">
        <f aca="false">(10-(LEN(AK341)))+1</f>
        <v>7</v>
      </c>
      <c r="AK341" s="6" t="n">
        <v>2089</v>
      </c>
      <c r="AL341" s="6" t="str">
        <f aca="false">IF($J341="NA","NA",IF(AND($J341&gt;1939,AK341&gt;0),"ERRO","OK"))</f>
        <v>OK</v>
      </c>
      <c r="AM341" s="6" t="n">
        <f aca="false">(10-(LEN(AN341)))+1</f>
        <v>7</v>
      </c>
      <c r="AN341" s="6" t="n">
        <v>1371</v>
      </c>
      <c r="AO341" s="6" t="str">
        <f aca="false">IF($J341="NA","NA",IF(AND($J341&gt;1929,AN341&gt;0),"ERRO","OK"))</f>
        <v>ERRO</v>
      </c>
      <c r="AP341" s="6" t="n">
        <f aca="false">(10-(LEN(AQ341)))+1</f>
        <v>6</v>
      </c>
      <c r="AQ341" s="6" t="n">
        <v>15821</v>
      </c>
      <c r="AR341" s="6" t="str">
        <f aca="false">IF($J341="NA","NA",IF(AND($J341&gt;1919,AQ341&gt;0),"ERRO","OK"))</f>
        <v>ERRO</v>
      </c>
      <c r="AS341" s="6" t="n">
        <f aca="false">(10-(LEN(AT341)))+1</f>
        <v>7</v>
      </c>
      <c r="AT341" s="6" t="n">
        <v>6909</v>
      </c>
      <c r="AU341" s="6" t="str">
        <f aca="false">IF($J341="NA","NA",IF(AND($J341&gt;1909,AT341&gt;0),"ERRO","OK"))</f>
        <v>ERRO</v>
      </c>
      <c r="AV341" s="6" t="n">
        <f aca="false">(10-(LEN(AW341)))+1</f>
        <v>7</v>
      </c>
      <c r="AW341" s="6" t="n">
        <v>3096</v>
      </c>
      <c r="AX341" s="6" t="str">
        <f aca="false">IF($J341="NA","NA",IF(AND($J341&gt;1899,AW341&gt;0),"ERRO","OK"))</f>
        <v>ERRO</v>
      </c>
    </row>
    <row r="342" customFormat="false" ht="15" hidden="false" customHeight="false" outlineLevel="0" collapsed="false">
      <c r="A342" s="7" t="n">
        <v>340</v>
      </c>
      <c r="B342" s="0" t="s">
        <v>359</v>
      </c>
      <c r="C342" s="8" t="n">
        <v>45331</v>
      </c>
      <c r="D342" s="6" t="n">
        <v>0</v>
      </c>
      <c r="E342" s="0" t="s">
        <v>16</v>
      </c>
      <c r="F342" s="0" t="s">
        <v>17</v>
      </c>
      <c r="G342" s="9" t="str">
        <f aca="false">IF(OR(N342="ERRO",Q342="ERRO",T342="ERRO",W342="ERRO",Z342="ERRO",AC342="ERRO",AF342="ERRO",AI342="ERRO",AL342="ERRO",AO342="ERRO",AR342="ERRO",AU342="ERRO",AX342="ERRO"),"ERRO","OK")</f>
        <v>OK</v>
      </c>
      <c r="H342" s="9" t="n">
        <f aca="false">COUNTIF(L342:AX342,"ERRO")</f>
        <v>0</v>
      </c>
      <c r="I342" s="9" t="s">
        <v>18</v>
      </c>
      <c r="J342" s="10" t="n">
        <v>1927</v>
      </c>
      <c r="K342" s="10" t="n">
        <v>1994</v>
      </c>
      <c r="L342" s="6" t="n">
        <f aca="false">(10-(LEN(M342)))+1</f>
        <v>7</v>
      </c>
      <c r="M342" s="6" t="n">
        <v>2124</v>
      </c>
      <c r="N342" s="6" t="str">
        <f aca="false">IF($J342="NA","NA",IF(AND($J342&gt;2019,M342&gt;0),"ERRO","OK"))</f>
        <v>OK</v>
      </c>
      <c r="O342" s="6" t="n">
        <f aca="false">(10-(LEN(P342)))+1</f>
        <v>7</v>
      </c>
      <c r="P342" s="6" t="n">
        <v>5900</v>
      </c>
      <c r="Q342" s="6" t="str">
        <f aca="false">IF($J342="NA","NA",IF(AND($J342&gt;2009,P342&gt;0),"ERRO","OK"))</f>
        <v>OK</v>
      </c>
      <c r="R342" s="6" t="n">
        <f aca="false">(10-(LEN(S342)))+1</f>
        <v>7</v>
      </c>
      <c r="S342" s="6" t="n">
        <v>7521</v>
      </c>
      <c r="T342" s="6" t="str">
        <f aca="false">IF($J342="NA","NA",IF(AND($J342&gt;1999,S342&gt;0),"ERRO","OK"))</f>
        <v>OK</v>
      </c>
      <c r="U342" s="6" t="n">
        <f aca="false">(10-(LEN(V342)))+1</f>
        <v>6</v>
      </c>
      <c r="V342" s="6" t="n">
        <v>13706</v>
      </c>
      <c r="W342" s="6" t="str">
        <f aca="false">IF($J342="NA","NA",IF(AND($J342&gt;1989,V342&gt;0),"ERRO","OK"))</f>
        <v>OK</v>
      </c>
      <c r="X342" s="6" t="n">
        <f aca="false">(10-(LEN(Y342)))+1</f>
        <v>7</v>
      </c>
      <c r="Y342" s="6" t="n">
        <v>4120</v>
      </c>
      <c r="Z342" s="6" t="str">
        <f aca="false">IF($J342="NA","NA",IF(AND($J342&gt;1979,Y342&gt;0),"ERRO","OK"))</f>
        <v>OK</v>
      </c>
      <c r="AA342" s="6" t="n">
        <f aca="false">(10-(LEN(AB342)))+1</f>
        <v>7</v>
      </c>
      <c r="AB342" s="6" t="n">
        <v>8555</v>
      </c>
      <c r="AC342" s="6" t="str">
        <f aca="false">IF($J342="NA","NA",IF(AND($J342&gt;1969,AB342&gt;0),"ERRO","OK"))</f>
        <v>OK</v>
      </c>
      <c r="AD342" s="6" t="n">
        <f aca="false">(10-(LEN(AE342)))+1</f>
        <v>9</v>
      </c>
      <c r="AE342" s="6" t="n">
        <v>90</v>
      </c>
      <c r="AF342" s="6" t="str">
        <f aca="false">IF($J342="NA","NA",IF(AND($J342&gt;1959,AE342&gt;0),"ERRO","OK"))</f>
        <v>OK</v>
      </c>
      <c r="AG342" s="6" t="n">
        <f aca="false">(10-(LEN(AH342)))+1</f>
        <v>10</v>
      </c>
      <c r="AH342" s="6" t="n">
        <v>0</v>
      </c>
      <c r="AI342" s="6" t="str">
        <f aca="false">IF($J342="NA","NA",IF(AND($J342&gt;1949,AH342&gt;0),"ERRO","OK"))</f>
        <v>OK</v>
      </c>
      <c r="AJ342" s="6" t="n">
        <f aca="false">(10-(LEN(AK342)))+1</f>
        <v>7</v>
      </c>
      <c r="AK342" s="6" t="n">
        <v>2367</v>
      </c>
      <c r="AL342" s="6" t="str">
        <f aca="false">IF($J342="NA","NA",IF(AND($J342&gt;1939,AK342&gt;0),"ERRO","OK"))</f>
        <v>OK</v>
      </c>
      <c r="AM342" s="6" t="n">
        <f aca="false">(10-(LEN(AN342)))+1</f>
        <v>10</v>
      </c>
      <c r="AN342" s="6" t="n">
        <v>0</v>
      </c>
      <c r="AO342" s="6" t="str">
        <f aca="false">IF($J342="NA","NA",IF(AND($J342&gt;1929,AN342&gt;0),"ERRO","OK"))</f>
        <v>OK</v>
      </c>
      <c r="AP342" s="6" t="n">
        <f aca="false">(10-(LEN(AQ342)))+1</f>
        <v>10</v>
      </c>
      <c r="AQ342" s="6" t="n">
        <v>0</v>
      </c>
      <c r="AR342" s="6" t="str">
        <f aca="false">IF($J342="NA","NA",IF(AND($J342&gt;1919,AQ342&gt;0),"ERRO","OK"))</f>
        <v>OK</v>
      </c>
      <c r="AS342" s="6" t="n">
        <f aca="false">(10-(LEN(AT342)))+1</f>
        <v>10</v>
      </c>
      <c r="AT342" s="6" t="n">
        <v>0</v>
      </c>
      <c r="AU342" s="6" t="str">
        <f aca="false">IF($J342="NA","NA",IF(AND($J342&gt;1909,AT342&gt;0),"ERRO","OK"))</f>
        <v>OK</v>
      </c>
      <c r="AV342" s="6" t="n">
        <f aca="false">(10-(LEN(AW342)))+1</f>
        <v>10</v>
      </c>
      <c r="AW342" s="6" t="n">
        <v>0</v>
      </c>
      <c r="AX342" s="6" t="str">
        <f aca="false">IF($J342="NA","NA",IF(AND($J342&gt;1899,AW342&gt;0),"ERRO","OK"))</f>
        <v>OK</v>
      </c>
    </row>
    <row r="343" customFormat="false" ht="15" hidden="false" customHeight="false" outlineLevel="0" collapsed="false">
      <c r="A343" s="7" t="n">
        <v>341</v>
      </c>
      <c r="B343" s="0" t="s">
        <v>360</v>
      </c>
      <c r="C343" s="8" t="n">
        <v>45331</v>
      </c>
      <c r="D343" s="6" t="n">
        <v>0</v>
      </c>
      <c r="E343" s="0" t="s">
        <v>16</v>
      </c>
      <c r="F343" s="0" t="s">
        <v>17</v>
      </c>
      <c r="G343" s="9" t="str">
        <f aca="false">IF(OR(N343="ERRO",Q343="ERRO",T343="ERRO",W343="ERRO",Z343="ERRO",AC343="ERRO",AF343="ERRO",AI343="ERRO",AL343="ERRO",AO343="ERRO",AR343="ERRO",AU343="ERRO",AX343="ERRO"),"ERRO","OK")</f>
        <v>OK</v>
      </c>
      <c r="H343" s="9" t="n">
        <f aca="false">COUNTIF(L343:AX343,"ERRO")</f>
        <v>0</v>
      </c>
      <c r="I343" s="9" t="s">
        <v>18</v>
      </c>
      <c r="J343" s="10" t="n">
        <v>1934</v>
      </c>
      <c r="K343" s="10" t="n">
        <v>1934</v>
      </c>
      <c r="L343" s="6" t="n">
        <f aca="false">(10-(LEN(M343)))+1</f>
        <v>7</v>
      </c>
      <c r="M343" s="6" t="n">
        <v>1665</v>
      </c>
      <c r="N343" s="6" t="str">
        <f aca="false">IF($J343="NA","NA",IF(AND($J343&gt;2019,M343&gt;0),"ERRO","OK"))</f>
        <v>OK</v>
      </c>
      <c r="O343" s="6" t="n">
        <f aca="false">(10-(LEN(P343)))+1</f>
        <v>7</v>
      </c>
      <c r="P343" s="6" t="n">
        <v>5008</v>
      </c>
      <c r="Q343" s="6" t="str">
        <f aca="false">IF($J343="NA","NA",IF(AND($J343&gt;2009,P343&gt;0),"ERRO","OK"))</f>
        <v>OK</v>
      </c>
      <c r="R343" s="6" t="n">
        <f aca="false">(10-(LEN(S343)))+1</f>
        <v>7</v>
      </c>
      <c r="S343" s="6" t="n">
        <v>5514</v>
      </c>
      <c r="T343" s="6" t="str">
        <f aca="false">IF($J343="NA","NA",IF(AND($J343&gt;1999,S343&gt;0),"ERRO","OK"))</f>
        <v>OK</v>
      </c>
      <c r="U343" s="6" t="n">
        <f aca="false">(10-(LEN(V343)))+1</f>
        <v>7</v>
      </c>
      <c r="V343" s="6" t="n">
        <v>6867</v>
      </c>
      <c r="W343" s="6" t="str">
        <f aca="false">IF($J343="NA","NA",IF(AND($J343&gt;1989,V343&gt;0),"ERRO","OK"))</f>
        <v>OK</v>
      </c>
      <c r="X343" s="6" t="n">
        <f aca="false">(10-(LEN(Y343)))+1</f>
        <v>7</v>
      </c>
      <c r="Y343" s="6" t="n">
        <v>6582</v>
      </c>
      <c r="Z343" s="6" t="str">
        <f aca="false">IF($J343="NA","NA",IF(AND($J343&gt;1979,Y343&gt;0),"ERRO","OK"))</f>
        <v>OK</v>
      </c>
      <c r="AA343" s="6" t="n">
        <f aca="false">(10-(LEN(AB343)))+1</f>
        <v>7</v>
      </c>
      <c r="AB343" s="6" t="n">
        <v>4986</v>
      </c>
      <c r="AC343" s="6" t="str">
        <f aca="false">IF($J343="NA","NA",IF(AND($J343&gt;1969,AB343&gt;0),"ERRO","OK"))</f>
        <v>OK</v>
      </c>
      <c r="AD343" s="6" t="n">
        <f aca="false">(10-(LEN(AE343)))+1</f>
        <v>10</v>
      </c>
      <c r="AE343" s="6" t="n">
        <v>0</v>
      </c>
      <c r="AF343" s="6" t="str">
        <f aca="false">IF($J343="NA","NA",IF(AND($J343&gt;1959,AE343&gt;0),"ERRO","OK"))</f>
        <v>OK</v>
      </c>
      <c r="AG343" s="6" t="n">
        <f aca="false">(10-(LEN(AH343)))+1</f>
        <v>8</v>
      </c>
      <c r="AH343" s="6" t="n">
        <v>232</v>
      </c>
      <c r="AI343" s="6" t="str">
        <f aca="false">IF($J343="NA","NA",IF(AND($J343&gt;1949,AH343&gt;0),"ERRO","OK"))</f>
        <v>OK</v>
      </c>
      <c r="AJ343" s="6" t="n">
        <f aca="false">(10-(LEN(AK343)))+1</f>
        <v>7</v>
      </c>
      <c r="AK343" s="6" t="n">
        <v>4250</v>
      </c>
      <c r="AL343" s="6" t="str">
        <f aca="false">IF($J343="NA","NA",IF(AND($J343&gt;1939,AK343&gt;0),"ERRO","OK"))</f>
        <v>OK</v>
      </c>
      <c r="AM343" s="6" t="n">
        <f aca="false">(10-(LEN(AN343)))+1</f>
        <v>10</v>
      </c>
      <c r="AN343" s="6" t="n">
        <v>0</v>
      </c>
      <c r="AO343" s="6" t="str">
        <f aca="false">IF($J343="NA","NA",IF(AND($J343&gt;1929,AN343&gt;0),"ERRO","OK"))</f>
        <v>OK</v>
      </c>
      <c r="AP343" s="6" t="n">
        <f aca="false">(10-(LEN(AQ343)))+1</f>
        <v>10</v>
      </c>
      <c r="AQ343" s="6" t="n">
        <v>0</v>
      </c>
      <c r="AR343" s="6" t="str">
        <f aca="false">IF($J343="NA","NA",IF(AND($J343&gt;1919,AQ343&gt;0),"ERRO","OK"))</f>
        <v>OK</v>
      </c>
      <c r="AS343" s="6" t="n">
        <f aca="false">(10-(LEN(AT343)))+1</f>
        <v>10</v>
      </c>
      <c r="AT343" s="6" t="n">
        <v>0</v>
      </c>
      <c r="AU343" s="6" t="str">
        <f aca="false">IF($J343="NA","NA",IF(AND($J343&gt;1909,AT343&gt;0),"ERRO","OK"))</f>
        <v>OK</v>
      </c>
      <c r="AV343" s="6" t="n">
        <f aca="false">(10-(LEN(AW343)))+1</f>
        <v>10</v>
      </c>
      <c r="AW343" s="6" t="n">
        <v>0</v>
      </c>
      <c r="AX343" s="6" t="str">
        <f aca="false">IF($J343="NA","NA",IF(AND($J343&gt;1899,AW343&gt;0),"ERRO","OK"))</f>
        <v>OK</v>
      </c>
    </row>
    <row r="344" customFormat="false" ht="15" hidden="false" customHeight="false" outlineLevel="0" collapsed="false">
      <c r="A344" s="7" t="n">
        <v>342</v>
      </c>
      <c r="B344" s="0" t="s">
        <v>361</v>
      </c>
      <c r="C344" s="8" t="n">
        <v>45331</v>
      </c>
      <c r="D344" s="6" t="n">
        <v>0</v>
      </c>
      <c r="E344" s="0" t="s">
        <v>16</v>
      </c>
      <c r="F344" s="0" t="s">
        <v>17</v>
      </c>
      <c r="G344" s="9" t="str">
        <f aca="false">IF(OR(N344="ERRO",Q344="ERRO",T344="ERRO",W344="ERRO",Z344="ERRO",AC344="ERRO",AF344="ERRO",AI344="ERRO",AL344="ERRO",AO344="ERRO",AR344="ERRO",AU344="ERRO",AX344="ERRO"),"ERRO","OK")</f>
        <v>ERRO</v>
      </c>
      <c r="H344" s="9" t="n">
        <f aca="false">COUNTIF(L344:AX344,"ERRO")</f>
        <v>2</v>
      </c>
      <c r="I344" s="9" t="s">
        <v>18</v>
      </c>
      <c r="J344" s="10" t="n">
        <v>1939</v>
      </c>
      <c r="K344" s="10" t="s">
        <v>22</v>
      </c>
      <c r="L344" s="6" t="n">
        <f aca="false">(10-(LEN(M344)))+1</f>
        <v>7</v>
      </c>
      <c r="M344" s="6" t="n">
        <v>4706</v>
      </c>
      <c r="N344" s="6" t="str">
        <f aca="false">IF($J344="NA","NA",IF(AND($J344&gt;2019,M344&gt;0),"ERRO","OK"))</f>
        <v>OK</v>
      </c>
      <c r="O344" s="6" t="n">
        <f aca="false">(10-(LEN(P344)))+1</f>
        <v>7</v>
      </c>
      <c r="P344" s="6" t="n">
        <v>8953</v>
      </c>
      <c r="Q344" s="6" t="str">
        <f aca="false">IF($J344="NA","NA",IF(AND($J344&gt;2009,P344&gt;0),"ERRO","OK"))</f>
        <v>OK</v>
      </c>
      <c r="R344" s="6" t="n">
        <f aca="false">(10-(LEN(S344)))+1</f>
        <v>6</v>
      </c>
      <c r="S344" s="6" t="n">
        <v>14411</v>
      </c>
      <c r="T344" s="6" t="str">
        <f aca="false">IF($J344="NA","NA",IF(AND($J344&gt;1999,S344&gt;0),"ERRO","OK"))</f>
        <v>OK</v>
      </c>
      <c r="U344" s="6" t="n">
        <f aca="false">(10-(LEN(V344)))+1</f>
        <v>6</v>
      </c>
      <c r="V344" s="6" t="n">
        <v>17983</v>
      </c>
      <c r="W344" s="6" t="str">
        <f aca="false">IF($J344="NA","NA",IF(AND($J344&gt;1989,V344&gt;0),"ERRO","OK"))</f>
        <v>OK</v>
      </c>
      <c r="X344" s="6" t="n">
        <f aca="false">(10-(LEN(Y344)))+1</f>
        <v>6</v>
      </c>
      <c r="Y344" s="6" t="n">
        <v>15036</v>
      </c>
      <c r="Z344" s="6" t="str">
        <f aca="false">IF($J344="NA","NA",IF(AND($J344&gt;1979,Y344&gt;0),"ERRO","OK"))</f>
        <v>OK</v>
      </c>
      <c r="AA344" s="6" t="n">
        <f aca="false">(10-(LEN(AB344)))+1</f>
        <v>6</v>
      </c>
      <c r="AB344" s="6" t="n">
        <v>10782</v>
      </c>
      <c r="AC344" s="6" t="str">
        <f aca="false">IF($J344="NA","NA",IF(AND($J344&gt;1969,AB344&gt;0),"ERRO","OK"))</f>
        <v>OK</v>
      </c>
      <c r="AD344" s="6" t="n">
        <f aca="false">(10-(LEN(AE344)))+1</f>
        <v>7</v>
      </c>
      <c r="AE344" s="6" t="n">
        <v>2153</v>
      </c>
      <c r="AF344" s="6" t="str">
        <f aca="false">IF($J344="NA","NA",IF(AND($J344&gt;1959,AE344&gt;0),"ERRO","OK"))</f>
        <v>OK</v>
      </c>
      <c r="AG344" s="6" t="n">
        <f aca="false">(10-(LEN(AH344)))+1</f>
        <v>7</v>
      </c>
      <c r="AH344" s="6" t="n">
        <v>4185</v>
      </c>
      <c r="AI344" s="6" t="str">
        <f aca="false">IF($J344="NA","NA",IF(AND($J344&gt;1949,AH344&gt;0),"ERRO","OK"))</f>
        <v>OK</v>
      </c>
      <c r="AJ344" s="6" t="n">
        <f aca="false">(10-(LEN(AK344)))+1</f>
        <v>7</v>
      </c>
      <c r="AK344" s="6" t="n">
        <v>6963</v>
      </c>
      <c r="AL344" s="6" t="str">
        <f aca="false">IF($J344="NA","NA",IF(AND($J344&gt;1939,AK344&gt;0),"ERRO","OK"))</f>
        <v>OK</v>
      </c>
      <c r="AM344" s="6" t="n">
        <f aca="false">(10-(LEN(AN344)))+1</f>
        <v>8</v>
      </c>
      <c r="AN344" s="6" t="n">
        <v>305</v>
      </c>
      <c r="AO344" s="6" t="str">
        <f aca="false">IF($J344="NA","NA",IF(AND($J344&gt;1929,AN344&gt;0),"ERRO","OK"))</f>
        <v>ERRO</v>
      </c>
      <c r="AP344" s="6" t="n">
        <f aca="false">(10-(LEN(AQ344)))+1</f>
        <v>10</v>
      </c>
      <c r="AQ344" s="6" t="n">
        <v>0</v>
      </c>
      <c r="AR344" s="6" t="str">
        <f aca="false">IF($J344="NA","NA",IF(AND($J344&gt;1919,AQ344&gt;0),"ERRO","OK"))</f>
        <v>OK</v>
      </c>
      <c r="AS344" s="6" t="n">
        <f aca="false">(10-(LEN(AT344)))+1</f>
        <v>8</v>
      </c>
      <c r="AT344" s="6" t="n">
        <v>206</v>
      </c>
      <c r="AU344" s="6" t="str">
        <f aca="false">IF($J344="NA","NA",IF(AND($J344&gt;1909,AT344&gt;0),"ERRO","OK"))</f>
        <v>ERRO</v>
      </c>
      <c r="AV344" s="6" t="n">
        <f aca="false">(10-(LEN(AW344)))+1</f>
        <v>10</v>
      </c>
      <c r="AW344" s="6" t="n">
        <v>0</v>
      </c>
      <c r="AX344" s="6" t="str">
        <f aca="false">IF($J344="NA","NA",IF(AND($J344&gt;1899,AW344&gt;0),"ERRO","OK"))</f>
        <v>OK</v>
      </c>
    </row>
    <row r="345" customFormat="false" ht="15" hidden="false" customHeight="false" outlineLevel="0" collapsed="false">
      <c r="A345" s="7" t="n">
        <v>343</v>
      </c>
      <c r="B345" s="0" t="s">
        <v>362</v>
      </c>
      <c r="C345" s="8" t="n">
        <v>45331</v>
      </c>
      <c r="D345" s="6" t="n">
        <v>0</v>
      </c>
      <c r="E345" s="0" t="s">
        <v>16</v>
      </c>
      <c r="F345" s="0" t="s">
        <v>17</v>
      </c>
      <c r="G345" s="9" t="str">
        <f aca="false">IF(OR(N345="ERRO",Q345="ERRO",T345="ERRO",W345="ERRO",Z345="ERRO",AC345="ERRO",AF345="ERRO",AI345="ERRO",AL345="ERRO",AO345="ERRO",AR345="ERRO",AU345="ERRO",AX345="ERRO"),"ERRO","OK")</f>
        <v>ERRO</v>
      </c>
      <c r="H345" s="9" t="n">
        <f aca="false">COUNTIF(L345:AX345,"ERRO")</f>
        <v>3</v>
      </c>
      <c r="I345" s="9" t="s">
        <v>104</v>
      </c>
      <c r="J345" s="10" t="n">
        <v>1928</v>
      </c>
      <c r="K345" s="10" t="s">
        <v>22</v>
      </c>
      <c r="L345" s="6" t="n">
        <f aca="false">(10-(LEN(M345)))+1</f>
        <v>6</v>
      </c>
      <c r="M345" s="6" t="n">
        <v>17157</v>
      </c>
      <c r="N345" s="6" t="str">
        <f aca="false">IF($J345="NA","NA",IF(AND($J345&gt;2019,M345&gt;0),"ERRO","OK"))</f>
        <v>OK</v>
      </c>
      <c r="O345" s="6" t="n">
        <f aca="false">(10-(LEN(P345)))+1</f>
        <v>6</v>
      </c>
      <c r="P345" s="6" t="n">
        <v>26826</v>
      </c>
      <c r="Q345" s="6" t="str">
        <f aca="false">IF($J345="NA","NA",IF(AND($J345&gt;2009,P345&gt;0),"ERRO","OK"))</f>
        <v>OK</v>
      </c>
      <c r="R345" s="6" t="n">
        <f aca="false">(10-(LEN(S345)))+1</f>
        <v>6</v>
      </c>
      <c r="S345" s="6" t="n">
        <v>32310</v>
      </c>
      <c r="T345" s="6" t="str">
        <f aca="false">IF($J345="NA","NA",IF(AND($J345&gt;1999,S345&gt;0),"ERRO","OK"))</f>
        <v>OK</v>
      </c>
      <c r="U345" s="6" t="n">
        <f aca="false">(10-(LEN(V345)))+1</f>
        <v>6</v>
      </c>
      <c r="V345" s="6" t="n">
        <v>24008</v>
      </c>
      <c r="W345" s="6" t="str">
        <f aca="false">IF($J345="NA","NA",IF(AND($J345&gt;1989,V345&gt;0),"ERRO","OK"))</f>
        <v>OK</v>
      </c>
      <c r="X345" s="6" t="n">
        <f aca="false">(10-(LEN(Y345)))+1</f>
        <v>6</v>
      </c>
      <c r="Y345" s="6" t="n">
        <v>23598</v>
      </c>
      <c r="Z345" s="6" t="str">
        <f aca="false">IF($J345="NA","NA",IF(AND($J345&gt;1979,Y345&gt;0),"ERRO","OK"))</f>
        <v>OK</v>
      </c>
      <c r="AA345" s="6" t="n">
        <f aca="false">(10-(LEN(AB345)))+1</f>
        <v>6</v>
      </c>
      <c r="AB345" s="6" t="n">
        <v>12716</v>
      </c>
      <c r="AC345" s="6" t="str">
        <f aca="false">IF($J345="NA","NA",IF(AND($J345&gt;1969,AB345&gt;0),"ERRO","OK"))</f>
        <v>OK</v>
      </c>
      <c r="AD345" s="6" t="n">
        <f aca="false">(10-(LEN(AE345)))+1</f>
        <v>6</v>
      </c>
      <c r="AE345" s="6" t="n">
        <v>12738</v>
      </c>
      <c r="AF345" s="6" t="str">
        <f aca="false">IF($J345="NA","NA",IF(AND($J345&gt;1959,AE345&gt;0),"ERRO","OK"))</f>
        <v>OK</v>
      </c>
      <c r="AG345" s="6" t="n">
        <f aca="false">(10-(LEN(AH345)))+1</f>
        <v>6</v>
      </c>
      <c r="AH345" s="6" t="n">
        <v>26103</v>
      </c>
      <c r="AI345" s="6" t="str">
        <f aca="false">IF($J345="NA","NA",IF(AND($J345&gt;1949,AH345&gt;0),"ERRO","OK"))</f>
        <v>OK</v>
      </c>
      <c r="AJ345" s="6" t="n">
        <f aca="false">(10-(LEN(AK345)))+1</f>
        <v>6</v>
      </c>
      <c r="AK345" s="6" t="n">
        <v>63084</v>
      </c>
      <c r="AL345" s="6" t="str">
        <f aca="false">IF($J345="NA","NA",IF(AND($J345&gt;1939,AK345&gt;0),"ERRO","OK"))</f>
        <v>OK</v>
      </c>
      <c r="AM345" s="6" t="n">
        <f aca="false">(10-(LEN(AN345)))+1</f>
        <v>6</v>
      </c>
      <c r="AN345" s="6" t="n">
        <v>15842</v>
      </c>
      <c r="AO345" s="6" t="str">
        <f aca="false">IF($J345="NA","NA",IF(AND($J345&gt;1929,AN345&gt;0),"ERRO","OK"))</f>
        <v>OK</v>
      </c>
      <c r="AP345" s="6" t="n">
        <f aca="false">(10-(LEN(AQ345)))+1</f>
        <v>6</v>
      </c>
      <c r="AQ345" s="6" t="n">
        <v>19025</v>
      </c>
      <c r="AR345" s="6" t="str">
        <f aca="false">IF($J345="NA","NA",IF(AND($J345&gt;1919,AQ345&gt;0),"ERRO","OK"))</f>
        <v>ERRO</v>
      </c>
      <c r="AS345" s="6" t="n">
        <f aca="false">(10-(LEN(AT345)))+1</f>
        <v>6</v>
      </c>
      <c r="AT345" s="6" t="n">
        <v>10416</v>
      </c>
      <c r="AU345" s="6" t="str">
        <f aca="false">IF($J345="NA","NA",IF(AND($J345&gt;1909,AT345&gt;0),"ERRO","OK"))</f>
        <v>ERRO</v>
      </c>
      <c r="AV345" s="6" t="n">
        <f aca="false">(10-(LEN(AW345)))+1</f>
        <v>6</v>
      </c>
      <c r="AW345" s="6" t="n">
        <v>22314</v>
      </c>
      <c r="AX345" s="6" t="str">
        <f aca="false">IF($J345="NA","NA",IF(AND($J345&gt;1899,AW345&gt;0),"ERRO","OK"))</f>
        <v>ERRO</v>
      </c>
    </row>
    <row r="346" customFormat="false" ht="15" hidden="false" customHeight="false" outlineLevel="0" collapsed="false">
      <c r="A346" s="7" t="n">
        <v>344</v>
      </c>
      <c r="B346" s="0" t="s">
        <v>363</v>
      </c>
      <c r="C346" s="8" t="n">
        <v>45331</v>
      </c>
      <c r="D346" s="6" t="n">
        <v>0</v>
      </c>
      <c r="E346" s="0" t="s">
        <v>16</v>
      </c>
      <c r="F346" s="0" t="s">
        <v>17</v>
      </c>
      <c r="G346" s="9" t="str">
        <f aca="false">IF(OR(N346="ERRO",Q346="ERRO",T346="ERRO",W346="ERRO",Z346="ERRO",AC346="ERRO",AF346="ERRO",AI346="ERRO",AL346="ERRO",AO346="ERRO",AR346="ERRO",AU346="ERRO",AX346="ERRO"),"ERRO","OK")</f>
        <v>ERRO</v>
      </c>
      <c r="H346" s="9" t="n">
        <f aca="false">COUNTIF(L346:AX346,"ERRO")</f>
        <v>1</v>
      </c>
      <c r="I346" s="9" t="s">
        <v>18</v>
      </c>
      <c r="J346" s="10" t="n">
        <v>1937</v>
      </c>
      <c r="K346" s="10" t="s">
        <v>22</v>
      </c>
      <c r="L346" s="6" t="n">
        <f aca="false">(10-(LEN(M346)))+1</f>
        <v>7</v>
      </c>
      <c r="M346" s="6" t="n">
        <v>1666</v>
      </c>
      <c r="N346" s="6" t="str">
        <f aca="false">IF($J346="NA","NA",IF(AND($J346&gt;2019,M346&gt;0),"ERRO","OK"))</f>
        <v>OK</v>
      </c>
      <c r="O346" s="6" t="n">
        <f aca="false">(10-(LEN(P346)))+1</f>
        <v>7</v>
      </c>
      <c r="P346" s="6" t="n">
        <v>4665</v>
      </c>
      <c r="Q346" s="6" t="str">
        <f aca="false">IF($J346="NA","NA",IF(AND($J346&gt;2009,P346&gt;0),"ERRO","OK"))</f>
        <v>OK</v>
      </c>
      <c r="R346" s="6" t="n">
        <f aca="false">(10-(LEN(S346)))+1</f>
        <v>6</v>
      </c>
      <c r="S346" s="6" t="n">
        <v>29747</v>
      </c>
      <c r="T346" s="6" t="str">
        <f aca="false">IF($J346="NA","NA",IF(AND($J346&gt;1999,S346&gt;0),"ERRO","OK"))</f>
        <v>OK</v>
      </c>
      <c r="U346" s="6" t="n">
        <f aca="false">(10-(LEN(V346)))+1</f>
        <v>6</v>
      </c>
      <c r="V346" s="6" t="n">
        <v>12050</v>
      </c>
      <c r="W346" s="6" t="str">
        <f aca="false">IF($J346="NA","NA",IF(AND($J346&gt;1989,V346&gt;0),"ERRO","OK"))</f>
        <v>OK</v>
      </c>
      <c r="X346" s="6" t="n">
        <f aca="false">(10-(LEN(Y346)))+1</f>
        <v>7</v>
      </c>
      <c r="Y346" s="6" t="n">
        <v>6368</v>
      </c>
      <c r="Z346" s="6" t="str">
        <f aca="false">IF($J346="NA","NA",IF(AND($J346&gt;1979,Y346&gt;0),"ERRO","OK"))</f>
        <v>OK</v>
      </c>
      <c r="AA346" s="6" t="n">
        <f aca="false">(10-(LEN(AB346)))+1</f>
        <v>7</v>
      </c>
      <c r="AB346" s="6" t="n">
        <v>4043</v>
      </c>
      <c r="AC346" s="6" t="str">
        <f aca="false">IF($J346="NA","NA",IF(AND($J346&gt;1969,AB346&gt;0),"ERRO","OK"))</f>
        <v>OK</v>
      </c>
      <c r="AD346" s="6" t="n">
        <f aca="false">(10-(LEN(AE346)))+1</f>
        <v>8</v>
      </c>
      <c r="AE346" s="6" t="n">
        <v>179</v>
      </c>
      <c r="AF346" s="6" t="str">
        <f aca="false">IF($J346="NA","NA",IF(AND($J346&gt;1959,AE346&gt;0),"ERRO","OK"))</f>
        <v>OK</v>
      </c>
      <c r="AG346" s="6" t="n">
        <f aca="false">(10-(LEN(AH346)))+1</f>
        <v>8</v>
      </c>
      <c r="AH346" s="6" t="n">
        <v>110</v>
      </c>
      <c r="AI346" s="6" t="str">
        <f aca="false">IF($J346="NA","NA",IF(AND($J346&gt;1949,AH346&gt;0),"ERRO","OK"))</f>
        <v>OK</v>
      </c>
      <c r="AJ346" s="6" t="n">
        <f aca="false">(10-(LEN(AK346)))+1</f>
        <v>7</v>
      </c>
      <c r="AK346" s="6" t="n">
        <v>6406</v>
      </c>
      <c r="AL346" s="6" t="str">
        <f aca="false">IF($J346="NA","NA",IF(AND($J346&gt;1939,AK346&gt;0),"ERRO","OK"))</f>
        <v>OK</v>
      </c>
      <c r="AM346" s="6" t="n">
        <f aca="false">(10-(LEN(AN346)))+1</f>
        <v>8</v>
      </c>
      <c r="AN346" s="6" t="n">
        <v>152</v>
      </c>
      <c r="AO346" s="6" t="str">
        <f aca="false">IF($J346="NA","NA",IF(AND($J346&gt;1929,AN346&gt;0),"ERRO","OK"))</f>
        <v>ERRO</v>
      </c>
      <c r="AP346" s="6" t="n">
        <f aca="false">(10-(LEN(AQ346)))+1</f>
        <v>10</v>
      </c>
      <c r="AQ346" s="6" t="n">
        <v>0</v>
      </c>
      <c r="AR346" s="6" t="str">
        <f aca="false">IF($J346="NA","NA",IF(AND($J346&gt;1919,AQ346&gt;0),"ERRO","OK"))</f>
        <v>OK</v>
      </c>
      <c r="AS346" s="6" t="n">
        <f aca="false">(10-(LEN(AT346)))+1</f>
        <v>10</v>
      </c>
      <c r="AT346" s="6" t="n">
        <v>0</v>
      </c>
      <c r="AU346" s="6" t="str">
        <f aca="false">IF($J346="NA","NA",IF(AND($J346&gt;1909,AT346&gt;0),"ERRO","OK"))</f>
        <v>OK</v>
      </c>
      <c r="AV346" s="6" t="n">
        <f aca="false">(10-(LEN(AW346)))+1</f>
        <v>10</v>
      </c>
      <c r="AW346" s="6" t="n">
        <v>0</v>
      </c>
      <c r="AX346" s="6" t="str">
        <f aca="false">IF($J346="NA","NA",IF(AND($J346&gt;1899,AW346&gt;0),"ERRO","OK"))</f>
        <v>OK</v>
      </c>
    </row>
    <row r="347" customFormat="false" ht="15" hidden="false" customHeight="false" outlineLevel="0" collapsed="false">
      <c r="A347" s="7" t="n">
        <v>345</v>
      </c>
      <c r="B347" s="0" t="s">
        <v>364</v>
      </c>
      <c r="C347" s="8" t="n">
        <v>45331</v>
      </c>
      <c r="D347" s="6" t="n">
        <v>0</v>
      </c>
      <c r="E347" s="0" t="s">
        <v>16</v>
      </c>
      <c r="F347" s="0" t="s">
        <v>17</v>
      </c>
      <c r="G347" s="9" t="str">
        <f aca="false">IF(OR(N347="ERRO",Q347="ERRO",T347="ERRO",W347="ERRO",Z347="ERRO",AC347="ERRO",AF347="ERRO",AI347="ERRO",AL347="ERRO",AO347="ERRO",AR347="ERRO",AU347="ERRO",AX347="ERRO"),"ERRO","OK")</f>
        <v>OK</v>
      </c>
      <c r="H347" s="9" t="n">
        <f aca="false">COUNTIF(L347:AX347,"ERRO")</f>
        <v>0</v>
      </c>
      <c r="I347" s="9" t="s">
        <v>18</v>
      </c>
      <c r="J347" s="10" t="n">
        <v>1926</v>
      </c>
      <c r="K347" s="10" t="n">
        <v>2018</v>
      </c>
      <c r="L347" s="6" t="n">
        <f aca="false">(10-(LEN(M347)))+1</f>
        <v>7</v>
      </c>
      <c r="M347" s="6" t="n">
        <v>1249</v>
      </c>
      <c r="N347" s="6" t="str">
        <f aca="false">IF($J347="NA","NA",IF(AND($J347&gt;2019,M347&gt;0),"ERRO","OK"))</f>
        <v>OK</v>
      </c>
      <c r="O347" s="6" t="n">
        <f aca="false">(10-(LEN(P347)))+1</f>
        <v>7</v>
      </c>
      <c r="P347" s="6" t="n">
        <v>4940</v>
      </c>
      <c r="Q347" s="6" t="str">
        <f aca="false">IF($J347="NA","NA",IF(AND($J347&gt;2009,P347&gt;0),"ERRO","OK"))</f>
        <v>OK</v>
      </c>
      <c r="R347" s="6" t="n">
        <f aca="false">(10-(LEN(S347)))+1</f>
        <v>7</v>
      </c>
      <c r="S347" s="6" t="n">
        <v>5462</v>
      </c>
      <c r="T347" s="6" t="str">
        <f aca="false">IF($J347="NA","NA",IF(AND($J347&gt;1999,S347&gt;0),"ERRO","OK"))</f>
        <v>OK</v>
      </c>
      <c r="U347" s="6" t="n">
        <f aca="false">(10-(LEN(V347)))+1</f>
        <v>7</v>
      </c>
      <c r="V347" s="6" t="n">
        <v>6899</v>
      </c>
      <c r="W347" s="6" t="str">
        <f aca="false">IF($J347="NA","NA",IF(AND($J347&gt;1989,V347&gt;0),"ERRO","OK"))</f>
        <v>OK</v>
      </c>
      <c r="X347" s="6" t="n">
        <f aca="false">(10-(LEN(Y347)))+1</f>
        <v>7</v>
      </c>
      <c r="Y347" s="6" t="n">
        <v>2408</v>
      </c>
      <c r="Z347" s="6" t="str">
        <f aca="false">IF($J347="NA","NA",IF(AND($J347&gt;1979,Y347&gt;0),"ERRO","OK"))</f>
        <v>OK</v>
      </c>
      <c r="AA347" s="6" t="n">
        <f aca="false">(10-(LEN(AB347)))+1</f>
        <v>8</v>
      </c>
      <c r="AB347" s="6" t="n">
        <v>234</v>
      </c>
      <c r="AC347" s="6" t="str">
        <f aca="false">IF($J347="NA","NA",IF(AND($J347&gt;1969,AB347&gt;0),"ERRO","OK"))</f>
        <v>OK</v>
      </c>
      <c r="AD347" s="6" t="n">
        <f aca="false">(10-(LEN(AE347)))+1</f>
        <v>8</v>
      </c>
      <c r="AE347" s="6" t="n">
        <v>897</v>
      </c>
      <c r="AF347" s="6" t="str">
        <f aca="false">IF($J347="NA","NA",IF(AND($J347&gt;1959,AE347&gt;0),"ERRO","OK"))</f>
        <v>OK</v>
      </c>
      <c r="AG347" s="6" t="n">
        <f aca="false">(10-(LEN(AH347)))+1</f>
        <v>8</v>
      </c>
      <c r="AH347" s="6" t="n">
        <v>771</v>
      </c>
      <c r="AI347" s="6" t="str">
        <f aca="false">IF($J347="NA","NA",IF(AND($J347&gt;1949,AH347&gt;0),"ERRO","OK"))</f>
        <v>OK</v>
      </c>
      <c r="AJ347" s="6" t="n">
        <f aca="false">(10-(LEN(AK347)))+1</f>
        <v>7</v>
      </c>
      <c r="AK347" s="6" t="n">
        <v>5570</v>
      </c>
      <c r="AL347" s="6" t="str">
        <f aca="false">IF($J347="NA","NA",IF(AND($J347&gt;1939,AK347&gt;0),"ERRO","OK"))</f>
        <v>OK</v>
      </c>
      <c r="AM347" s="6" t="n">
        <f aca="false">(10-(LEN(AN347)))+1</f>
        <v>10</v>
      </c>
      <c r="AN347" s="6" t="n">
        <v>0</v>
      </c>
      <c r="AO347" s="6" t="str">
        <f aca="false">IF($J347="NA","NA",IF(AND($J347&gt;1929,AN347&gt;0),"ERRO","OK"))</f>
        <v>OK</v>
      </c>
      <c r="AP347" s="6" t="n">
        <f aca="false">(10-(LEN(AQ347)))+1</f>
        <v>10</v>
      </c>
      <c r="AQ347" s="6" t="n">
        <v>0</v>
      </c>
      <c r="AR347" s="6" t="str">
        <f aca="false">IF($J347="NA","NA",IF(AND($J347&gt;1919,AQ347&gt;0),"ERRO","OK"))</f>
        <v>OK</v>
      </c>
      <c r="AS347" s="6" t="n">
        <f aca="false">(10-(LEN(AT347)))+1</f>
        <v>10</v>
      </c>
      <c r="AT347" s="6" t="n">
        <v>0</v>
      </c>
      <c r="AU347" s="6" t="str">
        <f aca="false">IF($J347="NA","NA",IF(AND($J347&gt;1909,AT347&gt;0),"ERRO","OK"))</f>
        <v>OK</v>
      </c>
      <c r="AV347" s="6" t="n">
        <f aca="false">(10-(LEN(AW347)))+1</f>
        <v>10</v>
      </c>
      <c r="AW347" s="6" t="n">
        <v>0</v>
      </c>
      <c r="AX347" s="6" t="str">
        <f aca="false">IF($J347="NA","NA",IF(AND($J347&gt;1899,AW347&gt;0),"ERRO","OK"))</f>
        <v>OK</v>
      </c>
    </row>
    <row r="348" customFormat="false" ht="15" hidden="false" customHeight="false" outlineLevel="0" collapsed="false">
      <c r="A348" s="7" t="n">
        <v>346</v>
      </c>
      <c r="B348" s="0" t="s">
        <v>365</v>
      </c>
      <c r="C348" s="8" t="n">
        <v>45331</v>
      </c>
      <c r="D348" s="6" t="n">
        <v>0</v>
      </c>
      <c r="E348" s="0" t="s">
        <v>16</v>
      </c>
      <c r="F348" s="0" t="s">
        <v>17</v>
      </c>
      <c r="G348" s="9" t="str">
        <f aca="false">IF(OR(N348="ERRO",Q348="ERRO",T348="ERRO",W348="ERRO",Z348="ERRO",AC348="ERRO",AF348="ERRO",AI348="ERRO",AL348="ERRO",AO348="ERRO",AR348="ERRO",AU348="ERRO",AX348="ERRO"),"ERRO","OK")</f>
        <v>ERRO</v>
      </c>
      <c r="H348" s="9" t="n">
        <f aca="false">COUNTIF(L348:AX348,"ERRO")</f>
        <v>2</v>
      </c>
      <c r="I348" s="9" t="s">
        <v>104</v>
      </c>
      <c r="J348" s="10" t="n">
        <v>1910</v>
      </c>
      <c r="K348" s="10" t="n">
        <v>1995</v>
      </c>
      <c r="L348" s="6" t="n">
        <f aca="false">(10-(LEN(M348)))+1</f>
        <v>8</v>
      </c>
      <c r="M348" s="6" t="n">
        <v>250</v>
      </c>
      <c r="N348" s="6" t="str">
        <f aca="false">IF($J348="NA","NA",IF(AND($J348&gt;2019,M348&gt;0),"ERRO","OK"))</f>
        <v>OK</v>
      </c>
      <c r="O348" s="6" t="n">
        <f aca="false">(10-(LEN(P348)))+1</f>
        <v>7</v>
      </c>
      <c r="P348" s="6" t="n">
        <v>1338</v>
      </c>
      <c r="Q348" s="6" t="str">
        <f aca="false">IF($J348="NA","NA",IF(AND($J348&gt;2009,P348&gt;0),"ERRO","OK"))</f>
        <v>OK</v>
      </c>
      <c r="R348" s="6" t="n">
        <f aca="false">(10-(LEN(S348)))+1</f>
        <v>7</v>
      </c>
      <c r="S348" s="6" t="n">
        <v>1302</v>
      </c>
      <c r="T348" s="6" t="str">
        <f aca="false">IF($J348="NA","NA",IF(AND($J348&gt;1999,S348&gt;0),"ERRO","OK"))</f>
        <v>OK</v>
      </c>
      <c r="U348" s="6" t="n">
        <f aca="false">(10-(LEN(V348)))+1</f>
        <v>7</v>
      </c>
      <c r="V348" s="6" t="n">
        <v>2024</v>
      </c>
      <c r="W348" s="6" t="str">
        <f aca="false">IF($J348="NA","NA",IF(AND($J348&gt;1989,V348&gt;0),"ERRO","OK"))</f>
        <v>OK</v>
      </c>
      <c r="X348" s="6" t="n">
        <f aca="false">(10-(LEN(Y348)))+1</f>
        <v>7</v>
      </c>
      <c r="Y348" s="6" t="n">
        <v>4013</v>
      </c>
      <c r="Z348" s="6" t="str">
        <f aca="false">IF($J348="NA","NA",IF(AND($J348&gt;1979,Y348&gt;0),"ERRO","OK"))</f>
        <v>OK</v>
      </c>
      <c r="AA348" s="6" t="n">
        <f aca="false">(10-(LEN(AB348)))+1</f>
        <v>7</v>
      </c>
      <c r="AB348" s="6" t="n">
        <v>4278</v>
      </c>
      <c r="AC348" s="6" t="str">
        <f aca="false">IF($J348="NA","NA",IF(AND($J348&gt;1969,AB348&gt;0),"ERRO","OK"))</f>
        <v>OK</v>
      </c>
      <c r="AD348" s="6" t="n">
        <f aca="false">(10-(LEN(AE348)))+1</f>
        <v>8</v>
      </c>
      <c r="AE348" s="6" t="n">
        <v>987</v>
      </c>
      <c r="AF348" s="6" t="str">
        <f aca="false">IF($J348="NA","NA",IF(AND($J348&gt;1959,AE348&gt;0),"ERRO","OK"))</f>
        <v>OK</v>
      </c>
      <c r="AG348" s="6" t="n">
        <f aca="false">(10-(LEN(AH348)))+1</f>
        <v>8</v>
      </c>
      <c r="AH348" s="6" t="n">
        <v>881</v>
      </c>
      <c r="AI348" s="6" t="str">
        <f aca="false">IF($J348="NA","NA",IF(AND($J348&gt;1949,AH348&gt;0),"ERRO","OK"))</f>
        <v>OK</v>
      </c>
      <c r="AJ348" s="6" t="n">
        <f aca="false">(10-(LEN(AK348)))+1</f>
        <v>7</v>
      </c>
      <c r="AK348" s="6" t="n">
        <v>2507</v>
      </c>
      <c r="AL348" s="6" t="str">
        <f aca="false">IF($J348="NA","NA",IF(AND($J348&gt;1939,AK348&gt;0),"ERRO","OK"))</f>
        <v>OK</v>
      </c>
      <c r="AM348" s="6" t="n">
        <f aca="false">(10-(LEN(AN348)))+1</f>
        <v>7</v>
      </c>
      <c r="AN348" s="6" t="n">
        <v>1523</v>
      </c>
      <c r="AO348" s="6" t="str">
        <f aca="false">IF($J348="NA","NA",IF(AND($J348&gt;1929,AN348&gt;0),"ERRO","OK"))</f>
        <v>OK</v>
      </c>
      <c r="AP348" s="6" t="n">
        <f aca="false">(10-(LEN(AQ348)))+1</f>
        <v>8</v>
      </c>
      <c r="AQ348" s="6" t="n">
        <v>601</v>
      </c>
      <c r="AR348" s="6" t="str">
        <f aca="false">IF($J348="NA","NA",IF(AND($J348&gt;1919,AQ348&gt;0),"ERRO","OK"))</f>
        <v>OK</v>
      </c>
      <c r="AS348" s="6" t="n">
        <f aca="false">(10-(LEN(AT348)))+1</f>
        <v>7</v>
      </c>
      <c r="AT348" s="6" t="n">
        <v>4228</v>
      </c>
      <c r="AU348" s="6" t="str">
        <f aca="false">IF($J348="NA","NA",IF(AND($J348&gt;1909,AT348&gt;0),"ERRO","OK"))</f>
        <v>ERRO</v>
      </c>
      <c r="AV348" s="6" t="n">
        <f aca="false">(10-(LEN(AW348)))+1</f>
        <v>7</v>
      </c>
      <c r="AW348" s="6" t="n">
        <v>3225</v>
      </c>
      <c r="AX348" s="6" t="str">
        <f aca="false">IF($J348="NA","NA",IF(AND($J348&gt;1899,AW348&gt;0),"ERRO","OK"))</f>
        <v>ERRO</v>
      </c>
    </row>
    <row r="349" customFormat="false" ht="15" hidden="false" customHeight="false" outlineLevel="0" collapsed="false">
      <c r="A349" s="7" t="n">
        <v>347</v>
      </c>
      <c r="B349" s="0" t="s">
        <v>366</v>
      </c>
      <c r="C349" s="8" t="n">
        <v>45331</v>
      </c>
      <c r="D349" s="6" t="n">
        <v>0</v>
      </c>
      <c r="E349" s="0" t="s">
        <v>16</v>
      </c>
      <c r="F349" s="0" t="s">
        <v>17</v>
      </c>
      <c r="G349" s="9" t="str">
        <f aca="false">IF(OR(N349="ERRO",Q349="ERRO",T349="ERRO",W349="ERRO",Z349="ERRO",AC349="ERRO",AF349="ERRO",AI349="ERRO",AL349="ERRO",AO349="ERRO",AR349="ERRO",AU349="ERRO",AX349="ERRO"),"ERRO","OK")</f>
        <v>OK</v>
      </c>
      <c r="H349" s="9" t="n">
        <f aca="false">COUNTIF(L349:AX349,"ERRO")</f>
        <v>0</v>
      </c>
      <c r="I349" s="9" t="s">
        <v>18</v>
      </c>
      <c r="J349" s="10" t="n">
        <v>1936</v>
      </c>
      <c r="K349" s="10" t="n">
        <v>2010</v>
      </c>
      <c r="L349" s="6" t="n">
        <f aca="false">(10-(LEN(M349)))+1</f>
        <v>6</v>
      </c>
      <c r="M349" s="6" t="n">
        <v>36865</v>
      </c>
      <c r="N349" s="6" t="str">
        <f aca="false">IF($J349="NA","NA",IF(AND($J349&gt;2019,M349&gt;0),"ERRO","OK"))</f>
        <v>OK</v>
      </c>
      <c r="O349" s="6" t="n">
        <f aca="false">(10-(LEN(P349)))+1</f>
        <v>6</v>
      </c>
      <c r="P349" s="6" t="n">
        <v>61816</v>
      </c>
      <c r="Q349" s="6" t="str">
        <f aca="false">IF($J349="NA","NA",IF(AND($J349&gt;2009,P349&gt;0),"ERRO","OK"))</f>
        <v>OK</v>
      </c>
      <c r="R349" s="6" t="n">
        <f aca="false">(10-(LEN(S349)))+1</f>
        <v>6</v>
      </c>
      <c r="S349" s="6" t="n">
        <v>69872</v>
      </c>
      <c r="T349" s="6" t="str">
        <f aca="false">IF($J349="NA","NA",IF(AND($J349&gt;1999,S349&gt;0),"ERRO","OK"))</f>
        <v>OK</v>
      </c>
      <c r="U349" s="6" t="n">
        <f aca="false">(10-(LEN(V349)))+1</f>
        <v>6</v>
      </c>
      <c r="V349" s="6" t="n">
        <v>47556</v>
      </c>
      <c r="W349" s="6" t="str">
        <f aca="false">IF($J349="NA","NA",IF(AND($J349&gt;1989,V349&gt;0),"ERRO","OK"))</f>
        <v>OK</v>
      </c>
      <c r="X349" s="6" t="n">
        <f aca="false">(10-(LEN(Y349)))+1</f>
        <v>6</v>
      </c>
      <c r="Y349" s="6" t="n">
        <v>20922</v>
      </c>
      <c r="Z349" s="6" t="str">
        <f aca="false">IF($J349="NA","NA",IF(AND($J349&gt;1979,Y349&gt;0),"ERRO","OK"))</f>
        <v>OK</v>
      </c>
      <c r="AA349" s="6" t="n">
        <f aca="false">(10-(LEN(AB349)))+1</f>
        <v>6</v>
      </c>
      <c r="AB349" s="6" t="n">
        <v>24670</v>
      </c>
      <c r="AC349" s="6" t="str">
        <f aca="false">IF($J349="NA","NA",IF(AND($J349&gt;1969,AB349&gt;0),"ERRO","OK"))</f>
        <v>OK</v>
      </c>
      <c r="AD349" s="6" t="n">
        <f aca="false">(10-(LEN(AE349)))+1</f>
        <v>7</v>
      </c>
      <c r="AE349" s="6" t="n">
        <v>2871</v>
      </c>
      <c r="AF349" s="6" t="str">
        <f aca="false">IF($J349="NA","NA",IF(AND($J349&gt;1959,AE349&gt;0),"ERRO","OK"))</f>
        <v>OK</v>
      </c>
      <c r="AG349" s="6" t="n">
        <f aca="false">(10-(LEN(AH349)))+1</f>
        <v>8</v>
      </c>
      <c r="AH349" s="6" t="n">
        <v>881</v>
      </c>
      <c r="AI349" s="6" t="str">
        <f aca="false">IF($J349="NA","NA",IF(AND($J349&gt;1949,AH349&gt;0),"ERRO","OK"))</f>
        <v>OK</v>
      </c>
      <c r="AJ349" s="6" t="n">
        <f aca="false">(10-(LEN(AK349)))+1</f>
        <v>7</v>
      </c>
      <c r="AK349" s="6" t="n">
        <v>1950</v>
      </c>
      <c r="AL349" s="6" t="str">
        <f aca="false">IF($J349="NA","NA",IF(AND($J349&gt;1939,AK349&gt;0),"ERRO","OK"))</f>
        <v>OK</v>
      </c>
      <c r="AM349" s="6" t="n">
        <f aca="false">(10-(LEN(AN349)))+1</f>
        <v>10</v>
      </c>
      <c r="AN349" s="6" t="n">
        <v>0</v>
      </c>
      <c r="AO349" s="6" t="str">
        <f aca="false">IF($J349="NA","NA",IF(AND($J349&gt;1929,AN349&gt;0),"ERRO","OK"))</f>
        <v>OK</v>
      </c>
      <c r="AP349" s="6" t="n">
        <f aca="false">(10-(LEN(AQ349)))+1</f>
        <v>10</v>
      </c>
      <c r="AQ349" s="6" t="n">
        <v>0</v>
      </c>
      <c r="AR349" s="6" t="str">
        <f aca="false">IF($J349="NA","NA",IF(AND($J349&gt;1919,AQ349&gt;0),"ERRO","OK"))</f>
        <v>OK</v>
      </c>
      <c r="AS349" s="6" t="n">
        <f aca="false">(10-(LEN(AT349)))+1</f>
        <v>10</v>
      </c>
      <c r="AT349" s="6" t="n">
        <v>0</v>
      </c>
      <c r="AU349" s="6" t="str">
        <f aca="false">IF($J349="NA","NA",IF(AND($J349&gt;1909,AT349&gt;0),"ERRO","OK"))</f>
        <v>OK</v>
      </c>
      <c r="AV349" s="6" t="n">
        <f aca="false">(10-(LEN(AW349)))+1</f>
        <v>10</v>
      </c>
      <c r="AW349" s="6" t="n">
        <v>0</v>
      </c>
      <c r="AX349" s="6" t="str">
        <f aca="false">IF($J349="NA","NA",IF(AND($J349&gt;1899,AW349&gt;0),"ERRO","OK"))</f>
        <v>OK</v>
      </c>
    </row>
    <row r="350" customFormat="false" ht="15" hidden="false" customHeight="false" outlineLevel="0" collapsed="false">
      <c r="A350" s="7" t="n">
        <v>348</v>
      </c>
      <c r="B350" s="0" t="s">
        <v>367</v>
      </c>
      <c r="C350" s="8" t="n">
        <v>45331</v>
      </c>
      <c r="D350" s="6" t="n">
        <v>0</v>
      </c>
      <c r="E350" s="0" t="s">
        <v>16</v>
      </c>
      <c r="F350" s="0" t="s">
        <v>17</v>
      </c>
      <c r="G350" s="9" t="str">
        <f aca="false">IF(OR(N350="ERRO",Q350="ERRO",T350="ERRO",W350="ERRO",Z350="ERRO",AC350="ERRO",AF350="ERRO",AI350="ERRO",AL350="ERRO",AO350="ERRO",AR350="ERRO",AU350="ERRO",AX350="ERRO"),"ERRO","OK")</f>
        <v>OK</v>
      </c>
      <c r="H350" s="9" t="n">
        <f aca="false">COUNTIF(L350:AX350,"ERRO")</f>
        <v>0</v>
      </c>
      <c r="I350" s="9" t="s">
        <v>18</v>
      </c>
      <c r="J350" s="10" t="s">
        <v>22</v>
      </c>
      <c r="K350" s="10" t="s">
        <v>22</v>
      </c>
      <c r="L350" s="6" t="n">
        <f aca="false">(10-(LEN(M350)))+1</f>
        <v>9</v>
      </c>
      <c r="M350" s="6" t="n">
        <v>42</v>
      </c>
      <c r="N350" s="6" t="str">
        <f aca="false">IF($J350="NA","NA",IF(AND($J350&gt;2019,M350&gt;0),"ERRO","OK"))</f>
        <v>NA</v>
      </c>
      <c r="O350" s="6" t="n">
        <f aca="false">(10-(LEN(P350)))+1</f>
        <v>8</v>
      </c>
      <c r="P350" s="6" t="n">
        <v>309</v>
      </c>
      <c r="Q350" s="6" t="str">
        <f aca="false">IF($J350="NA","NA",IF(AND($J350&gt;2009,P350&gt;0),"ERRO","OK"))</f>
        <v>NA</v>
      </c>
      <c r="R350" s="6" t="n">
        <f aca="false">(10-(LEN(S350)))+1</f>
        <v>9</v>
      </c>
      <c r="S350" s="6" t="n">
        <v>42</v>
      </c>
      <c r="T350" s="6" t="str">
        <f aca="false">IF($J350="NA","NA",IF(AND($J350&gt;1999,S350&gt;0),"ERRO","OK"))</f>
        <v>NA</v>
      </c>
      <c r="U350" s="6" t="n">
        <f aca="false">(10-(LEN(V350)))+1</f>
        <v>8</v>
      </c>
      <c r="V350" s="6" t="n">
        <v>184</v>
      </c>
      <c r="W350" s="6" t="str">
        <f aca="false">IF($J350="NA","NA",IF(AND($J350&gt;1989,V350&gt;0),"ERRO","OK"))</f>
        <v>NA</v>
      </c>
      <c r="X350" s="6" t="n">
        <f aca="false">(10-(LEN(Y350)))+1</f>
        <v>8</v>
      </c>
      <c r="Y350" s="6" t="n">
        <v>428</v>
      </c>
      <c r="Z350" s="6" t="str">
        <f aca="false">IF($J350="NA","NA",IF(AND($J350&gt;1979,Y350&gt;0),"ERRO","OK"))</f>
        <v>NA</v>
      </c>
      <c r="AA350" s="6" t="n">
        <f aca="false">(10-(LEN(AB350)))+1</f>
        <v>10</v>
      </c>
      <c r="AB350" s="6" t="n">
        <v>0</v>
      </c>
      <c r="AC350" s="6" t="str">
        <f aca="false">IF($J350="NA","NA",IF(AND($J350&gt;1969,AB350&gt;0),"ERRO","OK"))</f>
        <v>NA</v>
      </c>
      <c r="AD350" s="6" t="n">
        <f aca="false">(10-(LEN(AE350)))+1</f>
        <v>10</v>
      </c>
      <c r="AE350" s="6" t="n">
        <v>0</v>
      </c>
      <c r="AF350" s="6" t="str">
        <f aca="false">IF($J350="NA","NA",IF(AND($J350&gt;1959,AE350&gt;0),"ERRO","OK"))</f>
        <v>NA</v>
      </c>
      <c r="AG350" s="6" t="n">
        <f aca="false">(10-(LEN(AH350)))+1</f>
        <v>10</v>
      </c>
      <c r="AH350" s="6" t="n">
        <v>0</v>
      </c>
      <c r="AI350" s="6" t="str">
        <f aca="false">IF($J350="NA","NA",IF(AND($J350&gt;1949,AH350&gt;0),"ERRO","OK"))</f>
        <v>NA</v>
      </c>
      <c r="AJ350" s="6" t="n">
        <f aca="false">(10-(LEN(AK350)))+1</f>
        <v>8</v>
      </c>
      <c r="AK350" s="6" t="n">
        <v>139</v>
      </c>
      <c r="AL350" s="6" t="str">
        <f aca="false">IF($J350="NA","NA",IF(AND($J350&gt;1939,AK350&gt;0),"ERRO","OK"))</f>
        <v>NA</v>
      </c>
      <c r="AM350" s="6" t="n">
        <f aca="false">(10-(LEN(AN350)))+1</f>
        <v>10</v>
      </c>
      <c r="AN350" s="6" t="n">
        <v>0</v>
      </c>
      <c r="AO350" s="6" t="str">
        <f aca="false">IF($J350="NA","NA",IF(AND($J350&gt;1929,AN350&gt;0),"ERRO","OK"))</f>
        <v>NA</v>
      </c>
      <c r="AP350" s="6" t="n">
        <f aca="false">(10-(LEN(AQ350)))+1</f>
        <v>10</v>
      </c>
      <c r="AQ350" s="6" t="n">
        <v>0</v>
      </c>
      <c r="AR350" s="6" t="str">
        <f aca="false">IF($J350="NA","NA",IF(AND($J350&gt;1919,AQ350&gt;0),"ERRO","OK"))</f>
        <v>NA</v>
      </c>
      <c r="AS350" s="6" t="n">
        <f aca="false">(10-(LEN(AT350)))+1</f>
        <v>10</v>
      </c>
      <c r="AT350" s="6" t="n">
        <v>0</v>
      </c>
      <c r="AU350" s="6" t="str">
        <f aca="false">IF($J350="NA","NA",IF(AND($J350&gt;1909,AT350&gt;0),"ERRO","OK"))</f>
        <v>NA</v>
      </c>
      <c r="AV350" s="6" t="n">
        <f aca="false">(10-(LEN(AW350)))+1</f>
        <v>10</v>
      </c>
      <c r="AW350" s="6" t="n">
        <v>0</v>
      </c>
      <c r="AX350" s="6" t="str">
        <f aca="false">IF($J350="NA","NA",IF(AND($J350&gt;1899,AW350&gt;0),"ERRO","OK"))</f>
        <v>NA</v>
      </c>
    </row>
    <row r="351" customFormat="false" ht="15" hidden="false" customHeight="false" outlineLevel="0" collapsed="false">
      <c r="A351" s="7" t="n">
        <v>349</v>
      </c>
      <c r="B351" s="0" t="s">
        <v>368</v>
      </c>
      <c r="C351" s="8" t="n">
        <v>45331</v>
      </c>
      <c r="D351" s="6" t="n">
        <v>0</v>
      </c>
      <c r="E351" s="0" t="s">
        <v>16</v>
      </c>
      <c r="F351" s="0" t="s">
        <v>17</v>
      </c>
      <c r="G351" s="9" t="str">
        <f aca="false">IF(OR(N351="ERRO",Q351="ERRO",T351="ERRO",W351="ERRO",Z351="ERRO",AC351="ERRO",AF351="ERRO",AI351="ERRO",AL351="ERRO",AO351="ERRO",AR351="ERRO",AU351="ERRO",AX351="ERRO"),"ERRO","OK")</f>
        <v>OK</v>
      </c>
      <c r="H351" s="9" t="n">
        <f aca="false">COUNTIF(L351:AX351,"ERRO")</f>
        <v>0</v>
      </c>
      <c r="I351" s="9" t="s">
        <v>18</v>
      </c>
      <c r="J351" s="10" t="s">
        <v>22</v>
      </c>
      <c r="K351" s="10" t="s">
        <v>22</v>
      </c>
      <c r="L351" s="6" t="n">
        <f aca="false">(10-(LEN(M351)))+1</f>
        <v>8</v>
      </c>
      <c r="M351" s="6" t="n">
        <v>458</v>
      </c>
      <c r="N351" s="6" t="str">
        <f aca="false">IF($J351="NA","NA",IF(AND($J351&gt;2019,M351&gt;0),"ERRO","OK"))</f>
        <v>NA</v>
      </c>
      <c r="O351" s="6" t="n">
        <f aca="false">(10-(LEN(P351)))+1</f>
        <v>7</v>
      </c>
      <c r="P351" s="6" t="n">
        <v>1166</v>
      </c>
      <c r="Q351" s="6" t="str">
        <f aca="false">IF($J351="NA","NA",IF(AND($J351&gt;2009,P351&gt;0),"ERRO","OK"))</f>
        <v>NA</v>
      </c>
      <c r="R351" s="6" t="n">
        <f aca="false">(10-(LEN(S351)))+1</f>
        <v>8</v>
      </c>
      <c r="S351" s="6" t="n">
        <v>756</v>
      </c>
      <c r="T351" s="6" t="str">
        <f aca="false">IF($J351="NA","NA",IF(AND($J351&gt;1999,S351&gt;0),"ERRO","OK"))</f>
        <v>NA</v>
      </c>
      <c r="U351" s="6" t="n">
        <f aca="false">(10-(LEN(V351)))+1</f>
        <v>7</v>
      </c>
      <c r="V351" s="6" t="n">
        <v>1288</v>
      </c>
      <c r="W351" s="6" t="str">
        <f aca="false">IF($J351="NA","NA",IF(AND($J351&gt;1989,V351&gt;0),"ERRO","OK"))</f>
        <v>NA</v>
      </c>
      <c r="X351" s="6" t="n">
        <f aca="false">(10-(LEN(Y351)))+1</f>
        <v>8</v>
      </c>
      <c r="Y351" s="6" t="n">
        <v>321</v>
      </c>
      <c r="Z351" s="6" t="str">
        <f aca="false">IF($J351="NA","NA",IF(AND($J351&gt;1979,Y351&gt;0),"ERRO","OK"))</f>
        <v>NA</v>
      </c>
      <c r="AA351" s="6" t="n">
        <f aca="false">(10-(LEN(AB351)))+1</f>
        <v>7</v>
      </c>
      <c r="AB351" s="6" t="n">
        <v>1564</v>
      </c>
      <c r="AC351" s="6" t="str">
        <f aca="false">IF($J351="NA","NA",IF(AND($J351&gt;1969,AB351&gt;0),"ERRO","OK"))</f>
        <v>NA</v>
      </c>
      <c r="AD351" s="6" t="n">
        <f aca="false">(10-(LEN(AE351)))+1</f>
        <v>7</v>
      </c>
      <c r="AE351" s="6" t="n">
        <v>1973</v>
      </c>
      <c r="AF351" s="6" t="str">
        <f aca="false">IF($J351="NA","NA",IF(AND($J351&gt;1959,AE351&gt;0),"ERRO","OK"))</f>
        <v>NA</v>
      </c>
      <c r="AG351" s="6" t="n">
        <f aca="false">(10-(LEN(AH351)))+1</f>
        <v>10</v>
      </c>
      <c r="AH351" s="6" t="n">
        <v>0</v>
      </c>
      <c r="AI351" s="6" t="str">
        <f aca="false">IF($J351="NA","NA",IF(AND($J351&gt;1949,AH351&gt;0),"ERRO","OK"))</f>
        <v>NA</v>
      </c>
      <c r="AJ351" s="6" t="n">
        <f aca="false">(10-(LEN(AK351)))+1</f>
        <v>10</v>
      </c>
      <c r="AK351" s="6" t="n">
        <v>0</v>
      </c>
      <c r="AL351" s="6" t="str">
        <f aca="false">IF($J351="NA","NA",IF(AND($J351&gt;1939,AK351&gt;0),"ERRO","OK"))</f>
        <v>NA</v>
      </c>
      <c r="AM351" s="6" t="n">
        <f aca="false">(10-(LEN(AN351)))+1</f>
        <v>10</v>
      </c>
      <c r="AN351" s="6" t="n">
        <v>0</v>
      </c>
      <c r="AO351" s="6" t="str">
        <f aca="false">IF($J351="NA","NA",IF(AND($J351&gt;1929,AN351&gt;0),"ERRO","OK"))</f>
        <v>NA</v>
      </c>
      <c r="AP351" s="6" t="n">
        <f aca="false">(10-(LEN(AQ351)))+1</f>
        <v>10</v>
      </c>
      <c r="AQ351" s="6" t="n">
        <v>0</v>
      </c>
      <c r="AR351" s="6" t="str">
        <f aca="false">IF($J351="NA","NA",IF(AND($J351&gt;1919,AQ351&gt;0),"ERRO","OK"))</f>
        <v>NA</v>
      </c>
      <c r="AS351" s="6" t="n">
        <f aca="false">(10-(LEN(AT351)))+1</f>
        <v>10</v>
      </c>
      <c r="AT351" s="6" t="n">
        <v>0</v>
      </c>
      <c r="AU351" s="6" t="str">
        <f aca="false">IF($J351="NA","NA",IF(AND($J351&gt;1909,AT351&gt;0),"ERRO","OK"))</f>
        <v>NA</v>
      </c>
      <c r="AV351" s="6" t="n">
        <f aca="false">(10-(LEN(AW351)))+1</f>
        <v>10</v>
      </c>
      <c r="AW351" s="6" t="n">
        <v>0</v>
      </c>
      <c r="AX351" s="6" t="str">
        <f aca="false">IF($J351="NA","NA",IF(AND($J351&gt;1899,AW351&gt;0),"ERRO","OK"))</f>
        <v>NA</v>
      </c>
    </row>
    <row r="352" customFormat="false" ht="15" hidden="false" customHeight="false" outlineLevel="0" collapsed="false">
      <c r="A352" s="7" t="n">
        <v>350</v>
      </c>
      <c r="B352" s="0" t="s">
        <v>369</v>
      </c>
      <c r="C352" s="8" t="n">
        <v>45331</v>
      </c>
      <c r="D352" s="6" t="n">
        <v>0</v>
      </c>
      <c r="E352" s="0" t="s">
        <v>16</v>
      </c>
      <c r="F352" s="0" t="s">
        <v>17</v>
      </c>
      <c r="G352" s="9" t="str">
        <f aca="false">IF(OR(N352="ERRO",Q352="ERRO",T352="ERRO",W352="ERRO",Z352="ERRO",AC352="ERRO",AF352="ERRO",AI352="ERRO",AL352="ERRO",AO352="ERRO",AR352="ERRO",AU352="ERRO",AX352="ERRO"),"ERRO","OK")</f>
        <v>OK</v>
      </c>
      <c r="H352" s="9" t="n">
        <f aca="false">COUNTIF(L352:AX352,"ERRO")</f>
        <v>0</v>
      </c>
      <c r="I352" s="9" t="s">
        <v>18</v>
      </c>
      <c r="J352" s="10" t="n">
        <v>1914</v>
      </c>
      <c r="K352" s="10" t="n">
        <v>1994</v>
      </c>
      <c r="L352" s="6" t="n">
        <f aca="false">(10-(LEN(M352)))+1</f>
        <v>9</v>
      </c>
      <c r="M352" s="6" t="n">
        <v>83</v>
      </c>
      <c r="N352" s="6" t="str">
        <f aca="false">IF($J352="NA","NA",IF(AND($J352&gt;2019,M352&gt;0),"ERRO","OK"))</f>
        <v>OK</v>
      </c>
      <c r="O352" s="6" t="n">
        <f aca="false">(10-(LEN(P352)))+1</f>
        <v>7</v>
      </c>
      <c r="P352" s="6" t="n">
        <v>1029</v>
      </c>
      <c r="Q352" s="6" t="str">
        <f aca="false">IF($J352="NA","NA",IF(AND($J352&gt;2009,P352&gt;0),"ERRO","OK"))</f>
        <v>OK</v>
      </c>
      <c r="R352" s="6" t="n">
        <f aca="false">(10-(LEN(S352)))+1</f>
        <v>8</v>
      </c>
      <c r="S352" s="6" t="n">
        <v>546</v>
      </c>
      <c r="T352" s="6" t="str">
        <f aca="false">IF($J352="NA","NA",IF(AND($J352&gt;1999,S352&gt;0),"ERRO","OK"))</f>
        <v>OK</v>
      </c>
      <c r="U352" s="6" t="n">
        <f aca="false">(10-(LEN(V352)))+1</f>
        <v>7</v>
      </c>
      <c r="V352" s="6" t="n">
        <v>1794</v>
      </c>
      <c r="W352" s="6" t="str">
        <f aca="false">IF($J352="NA","NA",IF(AND($J352&gt;1989,V352&gt;0),"ERRO","OK"))</f>
        <v>OK</v>
      </c>
      <c r="X352" s="6" t="n">
        <f aca="false">(10-(LEN(Y352)))+1</f>
        <v>8</v>
      </c>
      <c r="Y352" s="6" t="n">
        <v>696</v>
      </c>
      <c r="Z352" s="6" t="str">
        <f aca="false">IF($J352="NA","NA",IF(AND($J352&gt;1979,Y352&gt;0),"ERRO","OK"))</f>
        <v>OK</v>
      </c>
      <c r="AA352" s="6" t="n">
        <f aca="false">(10-(LEN(AB352)))+1</f>
        <v>8</v>
      </c>
      <c r="AB352" s="6" t="n">
        <v>234</v>
      </c>
      <c r="AC352" s="6" t="str">
        <f aca="false">IF($J352="NA","NA",IF(AND($J352&gt;1969,AB352&gt;0),"ERRO","OK"))</f>
        <v>OK</v>
      </c>
      <c r="AD352" s="6" t="n">
        <f aca="false">(10-(LEN(AE352)))+1</f>
        <v>10</v>
      </c>
      <c r="AE352" s="6" t="n">
        <v>0</v>
      </c>
      <c r="AF352" s="6" t="str">
        <f aca="false">IF($J352="NA","NA",IF(AND($J352&gt;1959,AE352&gt;0),"ERRO","OK"))</f>
        <v>OK</v>
      </c>
      <c r="AG352" s="6" t="n">
        <f aca="false">(10-(LEN(AH352)))+1</f>
        <v>10</v>
      </c>
      <c r="AH352" s="6" t="n">
        <v>0</v>
      </c>
      <c r="AI352" s="6" t="str">
        <f aca="false">IF($J352="NA","NA",IF(AND($J352&gt;1949,AH352&gt;0),"ERRO","OK"))</f>
        <v>OK</v>
      </c>
      <c r="AJ352" s="6" t="n">
        <f aca="false">(10-(LEN(AK352)))+1</f>
        <v>8</v>
      </c>
      <c r="AK352" s="6" t="n">
        <v>418</v>
      </c>
      <c r="AL352" s="6" t="str">
        <f aca="false">IF($J352="NA","NA",IF(AND($J352&gt;1939,AK352&gt;0),"ERRO","OK"))</f>
        <v>OK</v>
      </c>
      <c r="AM352" s="6" t="n">
        <f aca="false">(10-(LEN(AN352)))+1</f>
        <v>10</v>
      </c>
      <c r="AN352" s="6" t="n">
        <v>0</v>
      </c>
      <c r="AO352" s="6" t="str">
        <f aca="false">IF($J352="NA","NA",IF(AND($J352&gt;1929,AN352&gt;0),"ERRO","OK"))</f>
        <v>OK</v>
      </c>
      <c r="AP352" s="6" t="n">
        <f aca="false">(10-(LEN(AQ352)))+1</f>
        <v>10</v>
      </c>
      <c r="AQ352" s="6" t="n">
        <v>0</v>
      </c>
      <c r="AR352" s="6" t="str">
        <f aca="false">IF($J352="NA","NA",IF(AND($J352&gt;1919,AQ352&gt;0),"ERRO","OK"))</f>
        <v>OK</v>
      </c>
      <c r="AS352" s="6" t="n">
        <f aca="false">(10-(LEN(AT352)))+1</f>
        <v>10</v>
      </c>
      <c r="AT352" s="6" t="n">
        <v>0</v>
      </c>
      <c r="AU352" s="6" t="str">
        <f aca="false">IF($J352="NA","NA",IF(AND($J352&gt;1909,AT352&gt;0),"ERRO","OK"))</f>
        <v>OK</v>
      </c>
      <c r="AV352" s="6" t="n">
        <f aca="false">(10-(LEN(AW352)))+1</f>
        <v>10</v>
      </c>
      <c r="AW352" s="6" t="n">
        <v>0</v>
      </c>
      <c r="AX352" s="6" t="str">
        <f aca="false">IF($J352="NA","NA",IF(AND($J352&gt;1899,AW352&gt;0),"ERRO","OK"))</f>
        <v>OK</v>
      </c>
    </row>
    <row r="353" customFormat="false" ht="15" hidden="false" customHeight="false" outlineLevel="0" collapsed="false">
      <c r="A353" s="7" t="n">
        <v>351</v>
      </c>
      <c r="B353" s="0" t="s">
        <v>370</v>
      </c>
      <c r="C353" s="8" t="n">
        <v>45331</v>
      </c>
      <c r="D353" s="6" t="n">
        <v>0</v>
      </c>
      <c r="E353" s="0" t="s">
        <v>16</v>
      </c>
      <c r="F353" s="0" t="s">
        <v>17</v>
      </c>
      <c r="G353" s="9" t="str">
        <f aca="false">IF(OR(N353="ERRO",Q353="ERRO",T353="ERRO",W353="ERRO",Z353="ERRO",AC353="ERRO",AF353="ERRO",AI353="ERRO",AL353="ERRO",AO353="ERRO",AR353="ERRO",AU353="ERRO",AX353="ERRO"),"ERRO","OK")</f>
        <v>ERRO</v>
      </c>
      <c r="H353" s="9" t="n">
        <f aca="false">COUNTIF(L353:AX353,"ERRO")</f>
        <v>1</v>
      </c>
      <c r="I353" s="9" t="s">
        <v>18</v>
      </c>
      <c r="J353" s="10" t="n">
        <v>1938</v>
      </c>
      <c r="K353" s="10" t="n">
        <v>2023</v>
      </c>
      <c r="L353" s="6" t="n">
        <f aca="false">(10-(LEN(M353)))+1</f>
        <v>7</v>
      </c>
      <c r="M353" s="6" t="n">
        <v>3082</v>
      </c>
      <c r="N353" s="6" t="str">
        <f aca="false">IF($J353="NA","NA",IF(AND($J353&gt;2019,M353&gt;0),"ERRO","OK"))</f>
        <v>OK</v>
      </c>
      <c r="O353" s="6" t="n">
        <f aca="false">(10-(LEN(P353)))+1</f>
        <v>8</v>
      </c>
      <c r="P353" s="6" t="n">
        <v>583</v>
      </c>
      <c r="Q353" s="6" t="str">
        <f aca="false">IF($J353="NA","NA",IF(AND($J353&gt;2009,P353&gt;0),"ERRO","OK"))</f>
        <v>OK</v>
      </c>
      <c r="R353" s="6" t="n">
        <f aca="false">(10-(LEN(S353)))+1</f>
        <v>9</v>
      </c>
      <c r="S353" s="6" t="n">
        <v>42</v>
      </c>
      <c r="T353" s="6" t="str">
        <f aca="false">IF($J353="NA","NA",IF(AND($J353&gt;1999,S353&gt;0),"ERRO","OK"))</f>
        <v>OK</v>
      </c>
      <c r="U353" s="6" t="n">
        <f aca="false">(10-(LEN(V353)))+1</f>
        <v>8</v>
      </c>
      <c r="V353" s="6" t="n">
        <v>276</v>
      </c>
      <c r="W353" s="6" t="str">
        <f aca="false">IF($J353="NA","NA",IF(AND($J353&gt;1989,V353&gt;0),"ERRO","OK"))</f>
        <v>OK</v>
      </c>
      <c r="X353" s="6" t="n">
        <f aca="false">(10-(LEN(Y353)))+1</f>
        <v>8</v>
      </c>
      <c r="Y353" s="6" t="n">
        <v>375</v>
      </c>
      <c r="Z353" s="6" t="str">
        <f aca="false">IF($J353="NA","NA",IF(AND($J353&gt;1979,Y353&gt;0),"ERRO","OK"))</f>
        <v>OK</v>
      </c>
      <c r="AA353" s="6" t="n">
        <f aca="false">(10-(LEN(AB353)))+1</f>
        <v>8</v>
      </c>
      <c r="AB353" s="6" t="n">
        <v>234</v>
      </c>
      <c r="AC353" s="6" t="str">
        <f aca="false">IF($J353="NA","NA",IF(AND($J353&gt;1969,AB353&gt;0),"ERRO","OK"))</f>
        <v>OK</v>
      </c>
      <c r="AD353" s="6" t="n">
        <f aca="false">(10-(LEN(AE353)))+1</f>
        <v>10</v>
      </c>
      <c r="AE353" s="6" t="n">
        <v>0</v>
      </c>
      <c r="AF353" s="6" t="str">
        <f aca="false">IF($J353="NA","NA",IF(AND($J353&gt;1959,AE353&gt;0),"ERRO","OK"))</f>
        <v>OK</v>
      </c>
      <c r="AG353" s="6" t="n">
        <f aca="false">(10-(LEN(AH353)))+1</f>
        <v>10</v>
      </c>
      <c r="AH353" s="6" t="n">
        <v>0</v>
      </c>
      <c r="AI353" s="6" t="str">
        <f aca="false">IF($J353="NA","NA",IF(AND($J353&gt;1949,AH353&gt;0),"ERRO","OK"))</f>
        <v>OK</v>
      </c>
      <c r="AJ353" s="6" t="n">
        <f aca="false">(10-(LEN(AK353)))+1</f>
        <v>10</v>
      </c>
      <c r="AK353" s="6" t="n">
        <v>0</v>
      </c>
      <c r="AL353" s="6" t="str">
        <f aca="false">IF($J353="NA","NA",IF(AND($J353&gt;1939,AK353&gt;0),"ERRO","OK"))</f>
        <v>OK</v>
      </c>
      <c r="AM353" s="6" t="n">
        <f aca="false">(10-(LEN(AN353)))+1</f>
        <v>10</v>
      </c>
      <c r="AN353" s="6" t="n">
        <v>0</v>
      </c>
      <c r="AO353" s="6" t="str">
        <f aca="false">IF($J353="NA","NA",IF(AND($J353&gt;1929,AN353&gt;0),"ERRO","OK"))</f>
        <v>OK</v>
      </c>
      <c r="AP353" s="6" t="n">
        <f aca="false">(10-(LEN(AQ353)))+1</f>
        <v>10</v>
      </c>
      <c r="AQ353" s="6" t="n">
        <v>0</v>
      </c>
      <c r="AR353" s="6" t="str">
        <f aca="false">IF($J353="NA","NA",IF(AND($J353&gt;1919,AQ353&gt;0),"ERRO","OK"))</f>
        <v>OK</v>
      </c>
      <c r="AS353" s="6" t="n">
        <f aca="false">(10-(LEN(AT353)))+1</f>
        <v>10</v>
      </c>
      <c r="AT353" s="6" t="n">
        <v>0</v>
      </c>
      <c r="AU353" s="6" t="str">
        <f aca="false">IF($J353="NA","NA",IF(AND($J353&gt;1909,AT353&gt;0),"ERRO","OK"))</f>
        <v>OK</v>
      </c>
      <c r="AV353" s="6" t="n">
        <f aca="false">(10-(LEN(AW353)))+1</f>
        <v>8</v>
      </c>
      <c r="AW353" s="6" t="n">
        <v>129</v>
      </c>
      <c r="AX353" s="6" t="str">
        <f aca="false">IF($J353="NA","NA",IF(AND($J353&gt;1899,AW353&gt;0),"ERRO","OK"))</f>
        <v>ERRO</v>
      </c>
    </row>
    <row r="354" customFormat="false" ht="15" hidden="false" customHeight="false" outlineLevel="0" collapsed="false">
      <c r="A354" s="7" t="n">
        <v>352</v>
      </c>
      <c r="B354" s="0" t="s">
        <v>371</v>
      </c>
      <c r="C354" s="8" t="n">
        <v>45331</v>
      </c>
      <c r="D354" s="6" t="n">
        <v>0</v>
      </c>
      <c r="E354" s="0" t="s">
        <v>16</v>
      </c>
      <c r="F354" s="0" t="s">
        <v>17</v>
      </c>
      <c r="G354" s="9" t="str">
        <f aca="false">IF(OR(N354="ERRO",Q354="ERRO",T354="ERRO",W354="ERRO",Z354="ERRO",AC354="ERRO",AF354="ERRO",AI354="ERRO",AL354="ERRO",AO354="ERRO",AR354="ERRO",AU354="ERRO",AX354="ERRO"),"ERRO","OK")</f>
        <v>OK</v>
      </c>
      <c r="H354" s="9" t="n">
        <f aca="false">COUNTIF(L354:AX354,"ERRO")</f>
        <v>0</v>
      </c>
      <c r="I354" s="9" t="s">
        <v>18</v>
      </c>
      <c r="J354" s="10" t="n">
        <v>1943</v>
      </c>
      <c r="K354" s="10" t="n">
        <v>2021</v>
      </c>
      <c r="L354" s="6" t="n">
        <f aca="false">(10-(LEN(M354)))+1</f>
        <v>7</v>
      </c>
      <c r="M354" s="6" t="n">
        <v>7454</v>
      </c>
      <c r="N354" s="6" t="str">
        <f aca="false">IF($J354="NA","NA",IF(AND($J354&gt;2019,M354&gt;0),"ERRO","OK"))</f>
        <v>OK</v>
      </c>
      <c r="O354" s="6" t="n">
        <f aca="false">(10-(LEN(P354)))+1</f>
        <v>7</v>
      </c>
      <c r="P354" s="6" t="n">
        <v>1578</v>
      </c>
      <c r="Q354" s="6" t="str">
        <f aca="false">IF($J354="NA","NA",IF(AND($J354&gt;2009,P354&gt;0),"ERRO","OK"))</f>
        <v>OK</v>
      </c>
      <c r="R354" s="6" t="n">
        <f aca="false">(10-(LEN(S354)))+1</f>
        <v>8</v>
      </c>
      <c r="S354" s="6" t="n">
        <v>714</v>
      </c>
      <c r="T354" s="6" t="str">
        <f aca="false">IF($J354="NA","NA",IF(AND($J354&gt;1999,S354&gt;0),"ERRO","OK"))</f>
        <v>OK</v>
      </c>
      <c r="U354" s="6" t="n">
        <f aca="false">(10-(LEN(V354)))+1</f>
        <v>8</v>
      </c>
      <c r="V354" s="6" t="n">
        <v>276</v>
      </c>
      <c r="W354" s="6" t="str">
        <f aca="false">IF($J354="NA","NA",IF(AND($J354&gt;1989,V354&gt;0),"ERRO","OK"))</f>
        <v>OK</v>
      </c>
      <c r="X354" s="6" t="n">
        <f aca="false">(10-(LEN(Y354)))+1</f>
        <v>7</v>
      </c>
      <c r="Y354" s="6" t="n">
        <v>2675</v>
      </c>
      <c r="Z354" s="6" t="str">
        <f aca="false">IF($J354="NA","NA",IF(AND($J354&gt;1979,Y354&gt;0),"ERRO","OK"))</f>
        <v>OK</v>
      </c>
      <c r="AA354" s="6" t="n">
        <f aca="false">(10-(LEN(AB354)))+1</f>
        <v>10</v>
      </c>
      <c r="AB354" s="6" t="n">
        <v>0</v>
      </c>
      <c r="AC354" s="6" t="str">
        <f aca="false">IF($J354="NA","NA",IF(AND($J354&gt;1969,AB354&gt;0),"ERRO","OK"))</f>
        <v>OK</v>
      </c>
      <c r="AD354" s="6" t="n">
        <f aca="false">(10-(LEN(AE354)))+1</f>
        <v>10</v>
      </c>
      <c r="AE354" s="6" t="n">
        <v>0</v>
      </c>
      <c r="AF354" s="6" t="str">
        <f aca="false">IF($J354="NA","NA",IF(AND($J354&gt;1959,AE354&gt;0),"ERRO","OK"))</f>
        <v>OK</v>
      </c>
      <c r="AG354" s="6" t="n">
        <f aca="false">(10-(LEN(AH354)))+1</f>
        <v>10</v>
      </c>
      <c r="AH354" s="6" t="n">
        <v>0</v>
      </c>
      <c r="AI354" s="6" t="str">
        <f aca="false">IF($J354="NA","NA",IF(AND($J354&gt;1949,AH354&gt;0),"ERRO","OK"))</f>
        <v>OK</v>
      </c>
      <c r="AJ354" s="6" t="n">
        <f aca="false">(10-(LEN(AK354)))+1</f>
        <v>10</v>
      </c>
      <c r="AK354" s="6" t="n">
        <v>0</v>
      </c>
      <c r="AL354" s="6" t="str">
        <f aca="false">IF($J354="NA","NA",IF(AND($J354&gt;1939,AK354&gt;0),"ERRO","OK"))</f>
        <v>OK</v>
      </c>
      <c r="AM354" s="6" t="n">
        <f aca="false">(10-(LEN(AN354)))+1</f>
        <v>10</v>
      </c>
      <c r="AN354" s="6" t="n">
        <v>0</v>
      </c>
      <c r="AO354" s="6" t="str">
        <f aca="false">IF($J354="NA","NA",IF(AND($J354&gt;1929,AN354&gt;0),"ERRO","OK"))</f>
        <v>OK</v>
      </c>
      <c r="AP354" s="6" t="n">
        <f aca="false">(10-(LEN(AQ354)))+1</f>
        <v>10</v>
      </c>
      <c r="AQ354" s="6" t="n">
        <v>0</v>
      </c>
      <c r="AR354" s="6" t="str">
        <f aca="false">IF($J354="NA","NA",IF(AND($J354&gt;1919,AQ354&gt;0),"ERRO","OK"))</f>
        <v>OK</v>
      </c>
      <c r="AS354" s="6" t="n">
        <f aca="false">(10-(LEN(AT354)))+1</f>
        <v>10</v>
      </c>
      <c r="AT354" s="6" t="n">
        <v>0</v>
      </c>
      <c r="AU354" s="6" t="str">
        <f aca="false">IF($J354="NA","NA",IF(AND($J354&gt;1909,AT354&gt;0),"ERRO","OK"))</f>
        <v>OK</v>
      </c>
      <c r="AV354" s="6" t="n">
        <f aca="false">(10-(LEN(AW354)))+1</f>
        <v>10</v>
      </c>
      <c r="AW354" s="6" t="n">
        <v>0</v>
      </c>
      <c r="AX354" s="6" t="str">
        <f aca="false">IF($J354="NA","NA",IF(AND($J354&gt;1899,AW354&gt;0),"ERRO","OK"))</f>
        <v>OK</v>
      </c>
    </row>
    <row r="355" customFormat="false" ht="15" hidden="false" customHeight="false" outlineLevel="0" collapsed="false">
      <c r="A355" s="7" t="n">
        <v>353</v>
      </c>
      <c r="B355" s="0" t="s">
        <v>372</v>
      </c>
      <c r="C355" s="8" t="n">
        <v>45332</v>
      </c>
      <c r="D355" s="6" t="n">
        <v>0</v>
      </c>
      <c r="E355" s="0" t="s">
        <v>16</v>
      </c>
      <c r="F355" s="0" t="s">
        <v>17</v>
      </c>
      <c r="G355" s="9" t="str">
        <f aca="false">IF(OR(N355="ERRO",Q355="ERRO",T355="ERRO",W355="ERRO",Z355="ERRO",AC355="ERRO",AF355="ERRO",AI355="ERRO",AL355="ERRO",AO355="ERRO",AR355="ERRO",AU355="ERRO",AX355="ERRO"),"ERRO","OK")</f>
        <v>ERRO</v>
      </c>
      <c r="H355" s="9" t="n">
        <f aca="false">COUNTIF(L355:AX355,"ERRO")</f>
        <v>1</v>
      </c>
      <c r="I355" s="9" t="s">
        <v>18</v>
      </c>
      <c r="J355" s="10" t="n">
        <v>1929</v>
      </c>
      <c r="K355" s="10" t="n">
        <v>2013</v>
      </c>
      <c r="L355" s="6" t="n">
        <f aca="false">(10-(LEN(M355)))+1</f>
        <v>8</v>
      </c>
      <c r="M355" s="6" t="n">
        <v>833</v>
      </c>
      <c r="N355" s="6" t="str">
        <f aca="false">IF($J355="NA","NA",IF(AND($J355&gt;2019,M355&gt;0),"ERRO","OK"))</f>
        <v>OK</v>
      </c>
      <c r="O355" s="6" t="n">
        <f aca="false">(10-(LEN(P355)))+1</f>
        <v>8</v>
      </c>
      <c r="P355" s="6" t="n">
        <v>995</v>
      </c>
      <c r="Q355" s="6" t="str">
        <f aca="false">IF($J355="NA","NA",IF(AND($J355&gt;2009,P355&gt;0),"ERRO","OK"))</f>
        <v>OK</v>
      </c>
      <c r="R355" s="6" t="n">
        <f aca="false">(10-(LEN(S355)))+1</f>
        <v>7</v>
      </c>
      <c r="S355" s="6" t="n">
        <v>2185</v>
      </c>
      <c r="T355" s="6" t="str">
        <f aca="false">IF($J355="NA","NA",IF(AND($J355&gt;1999,S355&gt;0),"ERRO","OK"))</f>
        <v>OK</v>
      </c>
      <c r="U355" s="6" t="n">
        <f aca="false">(10-(LEN(V355)))+1</f>
        <v>7</v>
      </c>
      <c r="V355" s="6" t="n">
        <v>4461</v>
      </c>
      <c r="W355" s="6" t="str">
        <f aca="false">IF($J355="NA","NA",IF(AND($J355&gt;1989,V355&gt;0),"ERRO","OK"))</f>
        <v>OK</v>
      </c>
      <c r="X355" s="6" t="n">
        <f aca="false">(10-(LEN(Y355)))+1</f>
        <v>8</v>
      </c>
      <c r="Y355" s="6" t="n">
        <v>696</v>
      </c>
      <c r="Z355" s="6" t="str">
        <f aca="false">IF($J355="NA","NA",IF(AND($J355&gt;1979,Y355&gt;0),"ERRO","OK"))</f>
        <v>OK</v>
      </c>
      <c r="AA355" s="6" t="n">
        <f aca="false">(10-(LEN(AB355)))+1</f>
        <v>7</v>
      </c>
      <c r="AB355" s="6" t="n">
        <v>3164</v>
      </c>
      <c r="AC355" s="6" t="str">
        <f aca="false">IF($J355="NA","NA",IF(AND($J355&gt;1969,AB355&gt;0),"ERRO","OK"))</f>
        <v>OK</v>
      </c>
      <c r="AD355" s="6" t="n">
        <f aca="false">(10-(LEN(AE355)))+1</f>
        <v>10</v>
      </c>
      <c r="AE355" s="6" t="n">
        <v>0</v>
      </c>
      <c r="AF355" s="6" t="str">
        <f aca="false">IF($J355="NA","NA",IF(AND($J355&gt;1959,AE355&gt;0),"ERRO","OK"))</f>
        <v>OK</v>
      </c>
      <c r="AG355" s="6" t="n">
        <f aca="false">(10-(LEN(AH355)))+1</f>
        <v>10</v>
      </c>
      <c r="AH355" s="6" t="n">
        <v>0</v>
      </c>
      <c r="AI355" s="6" t="str">
        <f aca="false">IF($J355="NA","NA",IF(AND($J355&gt;1949,AH355&gt;0),"ERRO","OK"))</f>
        <v>OK</v>
      </c>
      <c r="AJ355" s="6" t="n">
        <f aca="false">(10-(LEN(AK355)))+1</f>
        <v>8</v>
      </c>
      <c r="AK355" s="6" t="n">
        <v>418</v>
      </c>
      <c r="AL355" s="6" t="str">
        <f aca="false">IF($J355="NA","NA",IF(AND($J355&gt;1939,AK355&gt;0),"ERRO","OK"))</f>
        <v>OK</v>
      </c>
      <c r="AM355" s="6" t="n">
        <f aca="false">(10-(LEN(AN355)))+1</f>
        <v>10</v>
      </c>
      <c r="AN355" s="6" t="n">
        <v>0</v>
      </c>
      <c r="AO355" s="6" t="str">
        <f aca="false">IF($J355="NA","NA",IF(AND($J355&gt;1929,AN355&gt;0),"ERRO","OK"))</f>
        <v>OK</v>
      </c>
      <c r="AP355" s="6" t="n">
        <f aca="false">(10-(LEN(AQ355)))+1</f>
        <v>8</v>
      </c>
      <c r="AQ355" s="6" t="n">
        <v>100</v>
      </c>
      <c r="AR355" s="6" t="str">
        <f aca="false">IF($J355="NA","NA",IF(AND($J355&gt;1919,AQ355&gt;0),"ERRO","OK"))</f>
        <v>ERRO</v>
      </c>
      <c r="AS355" s="6" t="n">
        <f aca="false">(10-(LEN(AT355)))+1</f>
        <v>10</v>
      </c>
      <c r="AT355" s="6" t="n">
        <v>0</v>
      </c>
      <c r="AU355" s="6" t="str">
        <f aca="false">IF($J355="NA","NA",IF(AND($J355&gt;1909,AT355&gt;0),"ERRO","OK"))</f>
        <v>OK</v>
      </c>
      <c r="AV355" s="6" t="n">
        <f aca="false">(10-(LEN(AW355)))+1</f>
        <v>10</v>
      </c>
      <c r="AW355" s="6" t="n">
        <v>0</v>
      </c>
      <c r="AX355" s="6" t="str">
        <f aca="false">IF($J355="NA","NA",IF(AND($J355&gt;1899,AW355&gt;0),"ERRO","OK"))</f>
        <v>OK</v>
      </c>
    </row>
    <row r="356" customFormat="false" ht="15" hidden="false" customHeight="false" outlineLevel="0" collapsed="false">
      <c r="A356" s="7" t="n">
        <v>354</v>
      </c>
      <c r="B356" s="0" t="s">
        <v>373</v>
      </c>
      <c r="C356" s="8" t="n">
        <v>45332</v>
      </c>
      <c r="D356" s="6" t="n">
        <v>0</v>
      </c>
      <c r="E356" s="0" t="s">
        <v>16</v>
      </c>
      <c r="F356" s="0" t="s">
        <v>17</v>
      </c>
      <c r="G356" s="9" t="str">
        <f aca="false">IF(OR(N356="ERRO",Q356="ERRO",T356="ERRO",W356="ERRO",Z356="ERRO",AC356="ERRO",AF356="ERRO",AI356="ERRO",AL356="ERRO",AO356="ERRO",AR356="ERRO",AU356="ERRO",AX356="ERRO"),"ERRO","OK")</f>
        <v>OK</v>
      </c>
      <c r="H356" s="9" t="n">
        <f aca="false">COUNTIF(L356:AX356,"ERRO")</f>
        <v>0</v>
      </c>
      <c r="I356" s="9" t="s">
        <v>18</v>
      </c>
      <c r="J356" s="10" t="n">
        <v>1906</v>
      </c>
      <c r="K356" s="10" t="n">
        <v>2004</v>
      </c>
      <c r="L356" s="6" t="n">
        <f aca="false">(10-(LEN(M356)))+1</f>
        <v>10</v>
      </c>
      <c r="M356" s="6" t="n">
        <v>0</v>
      </c>
      <c r="N356" s="6" t="str">
        <f aca="false">IF($J356="NA","NA",IF(AND($J356&gt;2019,M356&gt;0),"ERRO","OK"))</f>
        <v>OK</v>
      </c>
      <c r="O356" s="6" t="n">
        <f aca="false">(10-(LEN(P356)))+1</f>
        <v>10</v>
      </c>
      <c r="P356" s="6" t="n">
        <v>0</v>
      </c>
      <c r="Q356" s="6" t="str">
        <f aca="false">IF($J356="NA","NA",IF(AND($J356&gt;2009,P356&gt;0),"ERRO","OK"))</f>
        <v>OK</v>
      </c>
      <c r="R356" s="6" t="n">
        <f aca="false">(10-(LEN(S356)))+1</f>
        <v>10</v>
      </c>
      <c r="S356" s="6" t="n">
        <v>0</v>
      </c>
      <c r="T356" s="6" t="str">
        <f aca="false">IF($J356="NA","NA",IF(AND($J356&gt;1999,S356&gt;0),"ERRO","OK"))</f>
        <v>OK</v>
      </c>
      <c r="U356" s="6" t="n">
        <f aca="false">(10-(LEN(V356)))+1</f>
        <v>10</v>
      </c>
      <c r="V356" s="6" t="n">
        <v>0</v>
      </c>
      <c r="W356" s="6" t="str">
        <f aca="false">IF($J356="NA","NA",IF(AND($J356&gt;1989,V356&gt;0),"ERRO","OK"))</f>
        <v>OK</v>
      </c>
      <c r="X356" s="6" t="n">
        <f aca="false">(10-(LEN(Y356)))+1</f>
        <v>10</v>
      </c>
      <c r="Y356" s="6" t="n">
        <v>0</v>
      </c>
      <c r="Z356" s="6" t="str">
        <f aca="false">IF($J356="NA","NA",IF(AND($J356&gt;1979,Y356&gt;0),"ERRO","OK"))</f>
        <v>OK</v>
      </c>
      <c r="AA356" s="6" t="n">
        <f aca="false">(10-(LEN(AB356)))+1</f>
        <v>10</v>
      </c>
      <c r="AB356" s="6" t="n">
        <v>0</v>
      </c>
      <c r="AC356" s="6" t="str">
        <f aca="false">IF($J356="NA","NA",IF(AND($J356&gt;1969,AB356&gt;0),"ERRO","OK"))</f>
        <v>OK</v>
      </c>
      <c r="AD356" s="6" t="n">
        <f aca="false">(10-(LEN(AE356)))+1</f>
        <v>10</v>
      </c>
      <c r="AE356" s="6" t="n">
        <v>0</v>
      </c>
      <c r="AF356" s="6" t="str">
        <f aca="false">IF($J356="NA","NA",IF(AND($J356&gt;1959,AE356&gt;0),"ERRO","OK"))</f>
        <v>OK</v>
      </c>
      <c r="AG356" s="6" t="n">
        <f aca="false">(10-(LEN(AH356)))+1</f>
        <v>10</v>
      </c>
      <c r="AH356" s="6" t="n">
        <v>0</v>
      </c>
      <c r="AI356" s="6" t="str">
        <f aca="false">IF($J356="NA","NA",IF(AND($J356&gt;1949,AH356&gt;0),"ERRO","OK"))</f>
        <v>OK</v>
      </c>
      <c r="AJ356" s="6" t="n">
        <f aca="false">(10-(LEN(AK356)))+1</f>
        <v>10</v>
      </c>
      <c r="AK356" s="6" t="n">
        <v>0</v>
      </c>
      <c r="AL356" s="6" t="str">
        <f aca="false">IF($J356="NA","NA",IF(AND($J356&gt;1939,AK356&gt;0),"ERRO","OK"))</f>
        <v>OK</v>
      </c>
      <c r="AM356" s="6" t="n">
        <f aca="false">(10-(LEN(AN356)))+1</f>
        <v>10</v>
      </c>
      <c r="AN356" s="6" t="n">
        <v>0</v>
      </c>
      <c r="AO356" s="6" t="str">
        <f aca="false">IF($J356="NA","NA",IF(AND($J356&gt;1929,AN356&gt;0),"ERRO","OK"))</f>
        <v>OK</v>
      </c>
      <c r="AP356" s="6" t="n">
        <f aca="false">(10-(LEN(AQ356)))+1</f>
        <v>10</v>
      </c>
      <c r="AQ356" s="6" t="n">
        <v>0</v>
      </c>
      <c r="AR356" s="6" t="str">
        <f aca="false">IF($J356="NA","NA",IF(AND($J356&gt;1919,AQ356&gt;0),"ERRO","OK"))</f>
        <v>OK</v>
      </c>
      <c r="AS356" s="6" t="n">
        <f aca="false">(10-(LEN(AT356)))+1</f>
        <v>10</v>
      </c>
      <c r="AT356" s="6" t="n">
        <v>0</v>
      </c>
      <c r="AU356" s="6" t="str">
        <f aca="false">IF($J356="NA","NA",IF(AND($J356&gt;1909,AT356&gt;0),"ERRO","OK"))</f>
        <v>OK</v>
      </c>
      <c r="AV356" s="6" t="n">
        <f aca="false">(10-(LEN(AW356)))+1</f>
        <v>10</v>
      </c>
      <c r="AW356" s="6" t="n">
        <v>0</v>
      </c>
      <c r="AX356" s="6" t="str">
        <f aca="false">IF($J356="NA","NA",IF(AND($J356&gt;1899,AW356&gt;0),"ERRO","OK"))</f>
        <v>OK</v>
      </c>
    </row>
    <row r="357" customFormat="false" ht="15" hidden="false" customHeight="false" outlineLevel="0" collapsed="false">
      <c r="A357" s="7" t="n">
        <v>355</v>
      </c>
      <c r="B357" s="0" t="s">
        <v>374</v>
      </c>
      <c r="C357" s="8" t="n">
        <v>45332</v>
      </c>
      <c r="D357" s="6" t="n">
        <v>0</v>
      </c>
      <c r="E357" s="0" t="s">
        <v>16</v>
      </c>
      <c r="F357" s="0" t="s">
        <v>17</v>
      </c>
      <c r="G357" s="9" t="str">
        <f aca="false">IF(OR(N357="ERRO",Q357="ERRO",T357="ERRO",W357="ERRO",Z357="ERRO",AC357="ERRO",AF357="ERRO",AI357="ERRO",AL357="ERRO",AO357="ERRO",AR357="ERRO",AU357="ERRO",AX357="ERRO"),"ERRO","OK")</f>
        <v>OK</v>
      </c>
      <c r="H357" s="9" t="n">
        <f aca="false">COUNTIF(L357:AX357,"ERRO")</f>
        <v>0</v>
      </c>
      <c r="I357" s="9" t="s">
        <v>18</v>
      </c>
      <c r="J357" s="10" t="n">
        <v>1943</v>
      </c>
      <c r="K357" s="10" t="n">
        <v>2008</v>
      </c>
      <c r="L357" s="6" t="n">
        <f aca="false">(10-(LEN(M357)))+1</f>
        <v>6</v>
      </c>
      <c r="M357" s="6" t="n">
        <v>21905</v>
      </c>
      <c r="N357" s="6" t="str">
        <f aca="false">IF($J357="NA","NA",IF(AND($J357&gt;2019,M357&gt;0),"ERRO","OK"))</f>
        <v>OK</v>
      </c>
      <c r="O357" s="6" t="n">
        <f aca="false">(10-(LEN(P357)))+1</f>
        <v>6</v>
      </c>
      <c r="P357" s="6" t="n">
        <v>24527</v>
      </c>
      <c r="Q357" s="6" t="str">
        <f aca="false">IF($J357="NA","NA",IF(AND($J357&gt;2009,P357&gt;0),"ERRO","OK"))</f>
        <v>OK</v>
      </c>
      <c r="R357" s="6" t="n">
        <f aca="false">(10-(LEN(S357)))+1</f>
        <v>6</v>
      </c>
      <c r="S357" s="6" t="n">
        <v>27100</v>
      </c>
      <c r="T357" s="6" t="str">
        <f aca="false">IF($J357="NA","NA",IF(AND($J357&gt;1999,S357&gt;0),"ERRO","OK"))</f>
        <v>OK</v>
      </c>
      <c r="U357" s="6" t="n">
        <f aca="false">(10-(LEN(V357)))+1</f>
        <v>6</v>
      </c>
      <c r="V357" s="6" t="n">
        <v>34034</v>
      </c>
      <c r="W357" s="6" t="str">
        <f aca="false">IF($J357="NA","NA",IF(AND($J357&gt;1989,V357&gt;0),"ERRO","OK"))</f>
        <v>OK</v>
      </c>
      <c r="X357" s="6" t="n">
        <f aca="false">(10-(LEN(Y357)))+1</f>
        <v>6</v>
      </c>
      <c r="Y357" s="6" t="n">
        <v>17498</v>
      </c>
      <c r="Z357" s="6" t="str">
        <f aca="false">IF($J357="NA","NA",IF(AND($J357&gt;1979,Y357&gt;0),"ERRO","OK"))</f>
        <v>OK</v>
      </c>
      <c r="AA357" s="6" t="n">
        <f aca="false">(10-(LEN(AB357)))+1</f>
        <v>6</v>
      </c>
      <c r="AB357" s="6" t="n">
        <v>13009</v>
      </c>
      <c r="AC357" s="6" t="str">
        <f aca="false">IF($J357="NA","NA",IF(AND($J357&gt;1969,AB357&gt;0),"ERRO","OK"))</f>
        <v>OK</v>
      </c>
      <c r="AD357" s="6" t="n">
        <f aca="false">(10-(LEN(AE357)))+1</f>
        <v>6</v>
      </c>
      <c r="AE357" s="6" t="n">
        <v>17134</v>
      </c>
      <c r="AF357" s="6" t="str">
        <f aca="false">IF($J357="NA","NA",IF(AND($J357&gt;1959,AE357&gt;0),"ERRO","OK"))</f>
        <v>OK</v>
      </c>
      <c r="AG357" s="6" t="n">
        <f aca="false">(10-(LEN(AH357)))+1</f>
        <v>8</v>
      </c>
      <c r="AH357" s="6" t="n">
        <v>110</v>
      </c>
      <c r="AI357" s="6" t="str">
        <f aca="false">IF($J357="NA","NA",IF(AND($J357&gt;1949,AH357&gt;0),"ERRO","OK"))</f>
        <v>OK</v>
      </c>
      <c r="AJ357" s="6" t="n">
        <f aca="false">(10-(LEN(AK357)))+1</f>
        <v>10</v>
      </c>
      <c r="AK357" s="6" t="n">
        <v>0</v>
      </c>
      <c r="AL357" s="6" t="str">
        <f aca="false">IF($J357="NA","NA",IF(AND($J357&gt;1939,AK357&gt;0),"ERRO","OK"))</f>
        <v>OK</v>
      </c>
      <c r="AM357" s="6" t="n">
        <f aca="false">(10-(LEN(AN357)))+1</f>
        <v>10</v>
      </c>
      <c r="AN357" s="6" t="n">
        <v>0</v>
      </c>
      <c r="AO357" s="6" t="str">
        <f aca="false">IF($J357="NA","NA",IF(AND($J357&gt;1929,AN357&gt;0),"ERRO","OK"))</f>
        <v>OK</v>
      </c>
      <c r="AP357" s="6" t="n">
        <f aca="false">(10-(LEN(AQ357)))+1</f>
        <v>10</v>
      </c>
      <c r="AQ357" s="6" t="n">
        <v>0</v>
      </c>
      <c r="AR357" s="6" t="str">
        <f aca="false">IF($J357="NA","NA",IF(AND($J357&gt;1919,AQ357&gt;0),"ERRO","OK"))</f>
        <v>OK</v>
      </c>
      <c r="AS357" s="6" t="n">
        <f aca="false">(10-(LEN(AT357)))+1</f>
        <v>10</v>
      </c>
      <c r="AT357" s="6" t="n">
        <v>0</v>
      </c>
      <c r="AU357" s="6" t="str">
        <f aca="false">IF($J357="NA","NA",IF(AND($J357&gt;1909,AT357&gt;0),"ERRO","OK"))</f>
        <v>OK</v>
      </c>
      <c r="AV357" s="6" t="n">
        <f aca="false">(10-(LEN(AW357)))+1</f>
        <v>10</v>
      </c>
      <c r="AW357" s="6" t="n">
        <v>0</v>
      </c>
      <c r="AX357" s="6" t="str">
        <f aca="false">IF($J357="NA","NA",IF(AND($J357&gt;1899,AW357&gt;0),"ERRO","OK"))</f>
        <v>OK</v>
      </c>
    </row>
    <row r="358" customFormat="false" ht="15" hidden="false" customHeight="false" outlineLevel="0" collapsed="false">
      <c r="A358" s="7" t="n">
        <v>356</v>
      </c>
      <c r="B358" s="0" t="s">
        <v>375</v>
      </c>
      <c r="C358" s="8" t="n">
        <v>45332</v>
      </c>
      <c r="D358" s="6" t="n">
        <v>0</v>
      </c>
      <c r="E358" s="0" t="s">
        <v>16</v>
      </c>
      <c r="F358" s="0" t="s">
        <v>17</v>
      </c>
      <c r="G358" s="9" t="str">
        <f aca="false">IF(OR(N358="ERRO",Q358="ERRO",T358="ERRO",W358="ERRO",Z358="ERRO",AC358="ERRO",AF358="ERRO",AI358="ERRO",AL358="ERRO",AO358="ERRO",AR358="ERRO",AU358="ERRO",AX358="ERRO"),"ERRO","OK")</f>
        <v>ERRO</v>
      </c>
      <c r="H358" s="9" t="n">
        <f aca="false">COUNTIF(L358:AX358,"ERRO")</f>
        <v>1</v>
      </c>
      <c r="I358" s="9" t="s">
        <v>18</v>
      </c>
      <c r="J358" s="10" t="n">
        <v>1928</v>
      </c>
      <c r="K358" s="10" t="n">
        <v>1987</v>
      </c>
      <c r="L358" s="6" t="n">
        <f aca="false">(10-(LEN(M358)))+1</f>
        <v>5</v>
      </c>
      <c r="M358" s="6" t="n">
        <v>261733</v>
      </c>
      <c r="N358" s="6" t="str">
        <f aca="false">IF($J358="NA","NA",IF(AND($J358&gt;2019,M358&gt;0),"ERRO","OK"))</f>
        <v>OK</v>
      </c>
      <c r="O358" s="6" t="n">
        <f aca="false">(10-(LEN(P358)))+1</f>
        <v>5</v>
      </c>
      <c r="P358" s="6" t="n">
        <v>507526</v>
      </c>
      <c r="Q358" s="6" t="str">
        <f aca="false">IF($J358="NA","NA",IF(AND($J358&gt;2009,P358&gt;0),"ERRO","OK"))</f>
        <v>OK</v>
      </c>
      <c r="R358" s="6" t="n">
        <f aca="false">(10-(LEN(S358)))+1</f>
        <v>5</v>
      </c>
      <c r="S358" s="6" t="n">
        <v>423939</v>
      </c>
      <c r="T358" s="6" t="str">
        <f aca="false">IF($J358="NA","NA",IF(AND($J358&gt;1999,S358&gt;0),"ERRO","OK"))</f>
        <v>OK</v>
      </c>
      <c r="U358" s="6" t="n">
        <f aca="false">(10-(LEN(V358)))+1</f>
        <v>5</v>
      </c>
      <c r="V358" s="6" t="n">
        <v>447825</v>
      </c>
      <c r="W358" s="6" t="str">
        <f aca="false">IF($J358="NA","NA",IF(AND($J358&gt;1989,V358&gt;0),"ERRO","OK"))</f>
        <v>OK</v>
      </c>
      <c r="X358" s="6" t="n">
        <f aca="false">(10-(LEN(Y358)))+1</f>
        <v>5</v>
      </c>
      <c r="Y358" s="6" t="n">
        <v>104771</v>
      </c>
      <c r="Z358" s="6" t="str">
        <f aca="false">IF($J358="NA","NA",IF(AND($J358&gt;1979,Y358&gt;0),"ERRO","OK"))</f>
        <v>OK</v>
      </c>
      <c r="AA358" s="6" t="n">
        <f aca="false">(10-(LEN(AB358)))+1</f>
        <v>5</v>
      </c>
      <c r="AB358" s="6" t="n">
        <v>106003</v>
      </c>
      <c r="AC358" s="6" t="str">
        <f aca="false">IF($J358="NA","NA",IF(AND($J358&gt;1969,AB358&gt;0),"ERRO","OK"))</f>
        <v>OK</v>
      </c>
      <c r="AD358" s="6" t="n">
        <f aca="false">(10-(LEN(AE358)))+1</f>
        <v>7</v>
      </c>
      <c r="AE358" s="6" t="n">
        <v>6279</v>
      </c>
      <c r="AF358" s="6" t="str">
        <f aca="false">IF($J358="NA","NA",IF(AND($J358&gt;1959,AE358&gt;0),"ERRO","OK"))</f>
        <v>OK</v>
      </c>
      <c r="AG358" s="6" t="n">
        <f aca="false">(10-(LEN(AH358)))+1</f>
        <v>7</v>
      </c>
      <c r="AH358" s="6" t="n">
        <v>2864</v>
      </c>
      <c r="AI358" s="6" t="str">
        <f aca="false">IF($J358="NA","NA",IF(AND($J358&gt;1949,AH358&gt;0),"ERRO","OK"))</f>
        <v>OK</v>
      </c>
      <c r="AJ358" s="6" t="n">
        <f aca="false">(10-(LEN(AK358)))+1</f>
        <v>6</v>
      </c>
      <c r="AK358" s="6" t="n">
        <v>62248</v>
      </c>
      <c r="AL358" s="6" t="str">
        <f aca="false">IF($J358="NA","NA",IF(AND($J358&gt;1939,AK358&gt;0),"ERRO","OK"))</f>
        <v>OK</v>
      </c>
      <c r="AM358" s="6" t="n">
        <f aca="false">(10-(LEN(AN358)))+1</f>
        <v>8</v>
      </c>
      <c r="AN358" s="6" t="n">
        <v>762</v>
      </c>
      <c r="AO358" s="6" t="str">
        <f aca="false">IF($J358="NA","NA",IF(AND($J358&gt;1929,AN358&gt;0),"ERRO","OK"))</f>
        <v>OK</v>
      </c>
      <c r="AP358" s="6" t="n">
        <f aca="false">(10-(LEN(AQ358)))+1</f>
        <v>7</v>
      </c>
      <c r="AQ358" s="6" t="n">
        <v>1802</v>
      </c>
      <c r="AR358" s="6" t="str">
        <f aca="false">IF($J358="NA","NA",IF(AND($J358&gt;1919,AQ358&gt;0),"ERRO","OK"))</f>
        <v>ERRO</v>
      </c>
      <c r="AS358" s="6" t="n">
        <f aca="false">(10-(LEN(AT358)))+1</f>
        <v>10</v>
      </c>
      <c r="AT358" s="6" t="n">
        <v>0</v>
      </c>
      <c r="AU358" s="6" t="str">
        <f aca="false">IF($J358="NA","NA",IF(AND($J358&gt;1909,AT358&gt;0),"ERRO","OK"))</f>
        <v>OK</v>
      </c>
      <c r="AV358" s="6" t="n">
        <f aca="false">(10-(LEN(AW358)))+1</f>
        <v>10</v>
      </c>
      <c r="AW358" s="6" t="n">
        <v>0</v>
      </c>
      <c r="AX358" s="6" t="str">
        <f aca="false">IF($J358="NA","NA",IF(AND($J358&gt;1899,AW358&gt;0),"ERRO","OK"))</f>
        <v>OK</v>
      </c>
    </row>
    <row r="359" customFormat="false" ht="15" hidden="false" customHeight="false" outlineLevel="0" collapsed="false">
      <c r="A359" s="7" t="n">
        <v>357</v>
      </c>
      <c r="B359" s="0" t="s">
        <v>376</v>
      </c>
      <c r="C359" s="8" t="n">
        <v>45332</v>
      </c>
      <c r="D359" s="6" t="n">
        <v>0</v>
      </c>
      <c r="E359" s="0" t="s">
        <v>16</v>
      </c>
      <c r="F359" s="0" t="s">
        <v>17</v>
      </c>
      <c r="G359" s="9" t="str">
        <f aca="false">IF(OR(N359="ERRO",Q359="ERRO",T359="ERRO",W359="ERRO",Z359="ERRO",AC359="ERRO",AF359="ERRO",AI359="ERRO",AL359="ERRO",AO359="ERRO",AR359="ERRO",AU359="ERRO",AX359="ERRO"),"ERRO","OK")</f>
        <v>OK</v>
      </c>
      <c r="H359" s="9" t="n">
        <f aca="false">COUNTIF(L359:AX359,"ERRO")</f>
        <v>0</v>
      </c>
      <c r="I359" s="9" t="s">
        <v>18</v>
      </c>
      <c r="J359" s="10" t="s">
        <v>22</v>
      </c>
      <c r="K359" s="10" t="s">
        <v>22</v>
      </c>
      <c r="L359" s="6" t="n">
        <f aca="false">(10-(LEN(M359)))+1</f>
        <v>8</v>
      </c>
      <c r="M359" s="6" t="n">
        <v>333</v>
      </c>
      <c r="N359" s="6" t="str">
        <f aca="false">IF($J359="NA","NA",IF(AND($J359&gt;2019,M359&gt;0),"ERRO","OK"))</f>
        <v>NA</v>
      </c>
      <c r="O359" s="6" t="n">
        <f aca="false">(10-(LEN(P359)))+1</f>
        <v>8</v>
      </c>
      <c r="P359" s="6" t="n">
        <v>274</v>
      </c>
      <c r="Q359" s="6" t="str">
        <f aca="false">IF($J359="NA","NA",IF(AND($J359&gt;2009,P359&gt;0),"ERRO","OK"))</f>
        <v>NA</v>
      </c>
      <c r="R359" s="6" t="n">
        <f aca="false">(10-(LEN(S359)))+1</f>
        <v>7</v>
      </c>
      <c r="S359" s="6" t="n">
        <v>1513</v>
      </c>
      <c r="T359" s="6" t="str">
        <f aca="false">IF($J359="NA","NA",IF(AND($J359&gt;1999,S359&gt;0),"ERRO","OK"))</f>
        <v>NA</v>
      </c>
      <c r="U359" s="6" t="n">
        <f aca="false">(10-(LEN(V359)))+1</f>
        <v>8</v>
      </c>
      <c r="V359" s="6" t="n">
        <v>230</v>
      </c>
      <c r="W359" s="6" t="str">
        <f aca="false">IF($J359="NA","NA",IF(AND($J359&gt;1989,V359&gt;0),"ERRO","OK"))</f>
        <v>NA</v>
      </c>
      <c r="X359" s="6" t="n">
        <f aca="false">(10-(LEN(Y359)))+1</f>
        <v>8</v>
      </c>
      <c r="Y359" s="6" t="n">
        <v>910</v>
      </c>
      <c r="Z359" s="6" t="str">
        <f aca="false">IF($J359="NA","NA",IF(AND($J359&gt;1979,Y359&gt;0),"ERRO","OK"))</f>
        <v>NA</v>
      </c>
      <c r="AA359" s="6" t="n">
        <f aca="false">(10-(LEN(AB359)))+1</f>
        <v>10</v>
      </c>
      <c r="AB359" s="6" t="n">
        <v>0</v>
      </c>
      <c r="AC359" s="6" t="str">
        <f aca="false">IF($J359="NA","NA",IF(AND($J359&gt;1969,AB359&gt;0),"ERRO","OK"))</f>
        <v>NA</v>
      </c>
      <c r="AD359" s="6" t="n">
        <f aca="false">(10-(LEN(AE359)))+1</f>
        <v>10</v>
      </c>
      <c r="AE359" s="6" t="n">
        <v>0</v>
      </c>
      <c r="AF359" s="6" t="str">
        <f aca="false">IF($J359="NA","NA",IF(AND($J359&gt;1959,AE359&gt;0),"ERRO","OK"))</f>
        <v>NA</v>
      </c>
      <c r="AG359" s="6" t="n">
        <f aca="false">(10-(LEN(AH359)))+1</f>
        <v>10</v>
      </c>
      <c r="AH359" s="6" t="n">
        <v>0</v>
      </c>
      <c r="AI359" s="6" t="str">
        <f aca="false">IF($J359="NA","NA",IF(AND($J359&gt;1949,AH359&gt;0),"ERRO","OK"))</f>
        <v>NA</v>
      </c>
      <c r="AJ359" s="6" t="n">
        <f aca="false">(10-(LEN(AK359)))+1</f>
        <v>10</v>
      </c>
      <c r="AK359" s="6" t="n">
        <v>0</v>
      </c>
      <c r="AL359" s="6" t="str">
        <f aca="false">IF($J359="NA","NA",IF(AND($J359&gt;1939,AK359&gt;0),"ERRO","OK"))</f>
        <v>NA</v>
      </c>
      <c r="AM359" s="6" t="n">
        <f aca="false">(10-(LEN(AN359)))+1</f>
        <v>10</v>
      </c>
      <c r="AN359" s="6" t="n">
        <v>0</v>
      </c>
      <c r="AO359" s="6" t="str">
        <f aca="false">IF($J359="NA","NA",IF(AND($J359&gt;1929,AN359&gt;0),"ERRO","OK"))</f>
        <v>NA</v>
      </c>
      <c r="AP359" s="6" t="n">
        <f aca="false">(10-(LEN(AQ359)))+1</f>
        <v>10</v>
      </c>
      <c r="AQ359" s="6" t="n">
        <v>0</v>
      </c>
      <c r="AR359" s="6" t="str">
        <f aca="false">IF($J359="NA","NA",IF(AND($J359&gt;1919,AQ359&gt;0),"ERRO","OK"))</f>
        <v>NA</v>
      </c>
      <c r="AS359" s="6" t="n">
        <f aca="false">(10-(LEN(AT359)))+1</f>
        <v>10</v>
      </c>
      <c r="AT359" s="6" t="n">
        <v>0</v>
      </c>
      <c r="AU359" s="6" t="str">
        <f aca="false">IF($J359="NA","NA",IF(AND($J359&gt;1909,AT359&gt;0),"ERRO","OK"))</f>
        <v>NA</v>
      </c>
      <c r="AV359" s="6" t="n">
        <f aca="false">(10-(LEN(AW359)))+1</f>
        <v>10</v>
      </c>
      <c r="AW359" s="6" t="n">
        <v>0</v>
      </c>
      <c r="AX359" s="6" t="str">
        <f aca="false">IF($J359="NA","NA",IF(AND($J359&gt;1899,AW359&gt;0),"ERRO","OK"))</f>
        <v>NA</v>
      </c>
    </row>
    <row r="360" customFormat="false" ht="15" hidden="false" customHeight="false" outlineLevel="0" collapsed="false">
      <c r="A360" s="7" t="n">
        <v>358</v>
      </c>
      <c r="B360" s="0" t="s">
        <v>377</v>
      </c>
      <c r="C360" s="8" t="n">
        <v>45332</v>
      </c>
      <c r="D360" s="6" t="n">
        <v>0</v>
      </c>
      <c r="E360" s="0" t="s">
        <v>16</v>
      </c>
      <c r="F360" s="0" t="s">
        <v>17</v>
      </c>
      <c r="G360" s="9" t="str">
        <f aca="false">IF(OR(N360="ERRO",Q360="ERRO",T360="ERRO",W360="ERRO",Z360="ERRO",AC360="ERRO",AF360="ERRO",AI360="ERRO",AL360="ERRO",AO360="ERRO",AR360="ERRO",AU360="ERRO",AX360="ERRO"),"ERRO","OK")</f>
        <v>OK</v>
      </c>
      <c r="H360" s="9" t="n">
        <f aca="false">COUNTIF(L360:AX360,"ERRO")</f>
        <v>0</v>
      </c>
      <c r="I360" s="9" t="s">
        <v>18</v>
      </c>
      <c r="J360" s="10" t="s">
        <v>22</v>
      </c>
      <c r="K360" s="10" t="s">
        <v>22</v>
      </c>
      <c r="L360" s="6" t="n">
        <f aca="false">(10-(LEN(M360)))+1</f>
        <v>10</v>
      </c>
      <c r="M360" s="6" t="n">
        <v>0</v>
      </c>
      <c r="N360" s="6" t="str">
        <f aca="false">IF($J360="NA","NA",IF(AND($J360&gt;2019,M360&gt;0),"ERRO","OK"))</f>
        <v>NA</v>
      </c>
      <c r="O360" s="6" t="n">
        <f aca="false">(10-(LEN(P360)))+1</f>
        <v>10</v>
      </c>
      <c r="P360" s="6" t="n">
        <v>0</v>
      </c>
      <c r="Q360" s="6" t="str">
        <f aca="false">IF($J360="NA","NA",IF(AND($J360&gt;2009,P360&gt;0),"ERRO","OK"))</f>
        <v>NA</v>
      </c>
      <c r="R360" s="6" t="n">
        <f aca="false">(10-(LEN(S360)))+1</f>
        <v>10</v>
      </c>
      <c r="S360" s="6" t="n">
        <v>0</v>
      </c>
      <c r="T360" s="6" t="str">
        <f aca="false">IF($J360="NA","NA",IF(AND($J360&gt;1999,S360&gt;0),"ERRO","OK"))</f>
        <v>NA</v>
      </c>
      <c r="U360" s="6" t="n">
        <f aca="false">(10-(LEN(V360)))+1</f>
        <v>10</v>
      </c>
      <c r="V360" s="6" t="n">
        <v>0</v>
      </c>
      <c r="W360" s="6" t="str">
        <f aca="false">IF($J360="NA","NA",IF(AND($J360&gt;1989,V360&gt;0),"ERRO","OK"))</f>
        <v>NA</v>
      </c>
      <c r="X360" s="6" t="n">
        <f aca="false">(10-(LEN(Y360)))+1</f>
        <v>10</v>
      </c>
      <c r="Y360" s="6" t="n">
        <v>0</v>
      </c>
      <c r="Z360" s="6" t="str">
        <f aca="false">IF($J360="NA","NA",IF(AND($J360&gt;1979,Y360&gt;0),"ERRO","OK"))</f>
        <v>NA</v>
      </c>
      <c r="AA360" s="6" t="n">
        <f aca="false">(10-(LEN(AB360)))+1</f>
        <v>10</v>
      </c>
      <c r="AB360" s="6" t="n">
        <v>0</v>
      </c>
      <c r="AC360" s="6" t="str">
        <f aca="false">IF($J360="NA","NA",IF(AND($J360&gt;1969,AB360&gt;0),"ERRO","OK"))</f>
        <v>NA</v>
      </c>
      <c r="AD360" s="6" t="n">
        <f aca="false">(10-(LEN(AE360)))+1</f>
        <v>10</v>
      </c>
      <c r="AE360" s="6" t="n">
        <v>0</v>
      </c>
      <c r="AF360" s="6" t="str">
        <f aca="false">IF($J360="NA","NA",IF(AND($J360&gt;1959,AE360&gt;0),"ERRO","OK"))</f>
        <v>NA</v>
      </c>
      <c r="AG360" s="6" t="n">
        <f aca="false">(10-(LEN(AH360)))+1</f>
        <v>10</v>
      </c>
      <c r="AH360" s="6" t="n">
        <v>0</v>
      </c>
      <c r="AI360" s="6" t="str">
        <f aca="false">IF($J360="NA","NA",IF(AND($J360&gt;1949,AH360&gt;0),"ERRO","OK"))</f>
        <v>NA</v>
      </c>
      <c r="AJ360" s="6" t="n">
        <f aca="false">(10-(LEN(AK360)))+1</f>
        <v>10</v>
      </c>
      <c r="AK360" s="6" t="n">
        <v>0</v>
      </c>
      <c r="AL360" s="6" t="str">
        <f aca="false">IF($J360="NA","NA",IF(AND($J360&gt;1939,AK360&gt;0),"ERRO","OK"))</f>
        <v>NA</v>
      </c>
      <c r="AM360" s="6" t="n">
        <f aca="false">(10-(LEN(AN360)))+1</f>
        <v>10</v>
      </c>
      <c r="AN360" s="6" t="n">
        <v>0</v>
      </c>
      <c r="AO360" s="6" t="str">
        <f aca="false">IF($J360="NA","NA",IF(AND($J360&gt;1929,AN360&gt;0),"ERRO","OK"))</f>
        <v>NA</v>
      </c>
      <c r="AP360" s="6" t="n">
        <f aca="false">(10-(LEN(AQ360)))+1</f>
        <v>10</v>
      </c>
      <c r="AQ360" s="6" t="n">
        <v>0</v>
      </c>
      <c r="AR360" s="6" t="str">
        <f aca="false">IF($J360="NA","NA",IF(AND($J360&gt;1919,AQ360&gt;0),"ERRO","OK"))</f>
        <v>NA</v>
      </c>
      <c r="AS360" s="6" t="n">
        <f aca="false">(10-(LEN(AT360)))+1</f>
        <v>10</v>
      </c>
      <c r="AT360" s="6" t="n">
        <v>0</v>
      </c>
      <c r="AU360" s="6" t="str">
        <f aca="false">IF($J360="NA","NA",IF(AND($J360&gt;1909,AT360&gt;0),"ERRO","OK"))</f>
        <v>NA</v>
      </c>
      <c r="AV360" s="6" t="n">
        <f aca="false">(10-(LEN(AW360)))+1</f>
        <v>10</v>
      </c>
      <c r="AW360" s="6" t="n">
        <v>0</v>
      </c>
      <c r="AX360" s="6" t="str">
        <f aca="false">IF($J360="NA","NA",IF(AND($J360&gt;1899,AW360&gt;0),"ERRO","OK"))</f>
        <v>NA</v>
      </c>
    </row>
    <row r="361" customFormat="false" ht="15" hidden="false" customHeight="false" outlineLevel="0" collapsed="false">
      <c r="A361" s="7" t="n">
        <v>359</v>
      </c>
      <c r="B361" s="0" t="s">
        <v>378</v>
      </c>
      <c r="C361" s="8" t="n">
        <v>45332</v>
      </c>
      <c r="D361" s="6" t="n">
        <v>0</v>
      </c>
      <c r="E361" s="0" t="s">
        <v>16</v>
      </c>
      <c r="F361" s="0" t="s">
        <v>17</v>
      </c>
      <c r="G361" s="9" t="str">
        <f aca="false">IF(OR(N361="ERRO",Q361="ERRO",T361="ERRO",W361="ERRO",Z361="ERRO",AC361="ERRO",AF361="ERRO",AI361="ERRO",AL361="ERRO",AO361="ERRO",AR361="ERRO",AU361="ERRO",AX361="ERRO"),"ERRO","OK")</f>
        <v>ERRO</v>
      </c>
      <c r="H361" s="9" t="n">
        <f aca="false">COUNTIF(L361:AX361,"ERRO")</f>
        <v>1</v>
      </c>
      <c r="I361" s="9" t="s">
        <v>18</v>
      </c>
      <c r="J361" s="10" t="n">
        <v>1927</v>
      </c>
      <c r="K361" s="10" t="n">
        <v>2020</v>
      </c>
      <c r="L361" s="6" t="n">
        <f aca="false">(10-(LEN(M361)))+1</f>
        <v>8</v>
      </c>
      <c r="M361" s="6" t="n">
        <v>500</v>
      </c>
      <c r="N361" s="6" t="str">
        <f aca="false">IF($J361="NA","NA",IF(AND($J361&gt;2019,M361&gt;0),"ERRO","OK"))</f>
        <v>OK</v>
      </c>
      <c r="O361" s="6" t="n">
        <f aca="false">(10-(LEN(P361)))+1</f>
        <v>7</v>
      </c>
      <c r="P361" s="6" t="n">
        <v>1338</v>
      </c>
      <c r="Q361" s="6" t="str">
        <f aca="false">IF($J361="NA","NA",IF(AND($J361&gt;2009,P361&gt;0),"ERRO","OK"))</f>
        <v>OK</v>
      </c>
      <c r="R361" s="6" t="n">
        <f aca="false">(10-(LEN(S361)))+1</f>
        <v>8</v>
      </c>
      <c r="S361" s="6" t="n">
        <v>462</v>
      </c>
      <c r="T361" s="6" t="str">
        <f aca="false">IF($J361="NA","NA",IF(AND($J361&gt;1999,S361&gt;0),"ERRO","OK"))</f>
        <v>OK</v>
      </c>
      <c r="U361" s="6" t="n">
        <f aca="false">(10-(LEN(V361)))+1</f>
        <v>8</v>
      </c>
      <c r="V361" s="6" t="n">
        <v>644</v>
      </c>
      <c r="W361" s="6" t="str">
        <f aca="false">IF($J361="NA","NA",IF(AND($J361&gt;1989,V361&gt;0),"ERRO","OK"))</f>
        <v>OK</v>
      </c>
      <c r="X361" s="6" t="n">
        <f aca="false">(10-(LEN(Y361)))+1</f>
        <v>7</v>
      </c>
      <c r="Y361" s="6" t="n">
        <v>1445</v>
      </c>
      <c r="Z361" s="6" t="str">
        <f aca="false">IF($J361="NA","NA",IF(AND($J361&gt;1979,Y361&gt;0),"ERRO","OK"))</f>
        <v>OK</v>
      </c>
      <c r="AA361" s="6" t="n">
        <f aca="false">(10-(LEN(AB361)))+1</f>
        <v>7</v>
      </c>
      <c r="AB361" s="6" t="n">
        <v>1113</v>
      </c>
      <c r="AC361" s="6" t="str">
        <f aca="false">IF($J361="NA","NA",IF(AND($J361&gt;1969,AB361&gt;0),"ERRO","OK"))</f>
        <v>OK</v>
      </c>
      <c r="AD361" s="6" t="n">
        <f aca="false">(10-(LEN(AE361)))+1</f>
        <v>8</v>
      </c>
      <c r="AE361" s="6" t="n">
        <v>718</v>
      </c>
      <c r="AF361" s="6" t="str">
        <f aca="false">IF($J361="NA","NA",IF(AND($J361&gt;1959,AE361&gt;0),"ERRO","OK"))</f>
        <v>OK</v>
      </c>
      <c r="AG361" s="6" t="n">
        <f aca="false">(10-(LEN(AH361)))+1</f>
        <v>8</v>
      </c>
      <c r="AH361" s="6" t="n">
        <v>220</v>
      </c>
      <c r="AI361" s="6" t="str">
        <f aca="false">IF($J361="NA","NA",IF(AND($J361&gt;1949,AH361&gt;0),"ERRO","OK"))</f>
        <v>OK</v>
      </c>
      <c r="AJ361" s="6" t="n">
        <f aca="false">(10-(LEN(AK361)))+1</f>
        <v>8</v>
      </c>
      <c r="AK361" s="6" t="n">
        <v>418</v>
      </c>
      <c r="AL361" s="6" t="str">
        <f aca="false">IF($J361="NA","NA",IF(AND($J361&gt;1939,AK361&gt;0),"ERRO","OK"))</f>
        <v>OK</v>
      </c>
      <c r="AM361" s="6" t="n">
        <f aca="false">(10-(LEN(AN361)))+1</f>
        <v>7</v>
      </c>
      <c r="AN361" s="6" t="n">
        <v>1980</v>
      </c>
      <c r="AO361" s="6" t="str">
        <f aca="false">IF($J361="NA","NA",IF(AND($J361&gt;1929,AN361&gt;0),"ERRO","OK"))</f>
        <v>OK</v>
      </c>
      <c r="AP361" s="6" t="n">
        <f aca="false">(10-(LEN(AQ361)))+1</f>
        <v>10</v>
      </c>
      <c r="AQ361" s="6" t="n">
        <v>0</v>
      </c>
      <c r="AR361" s="6" t="str">
        <f aca="false">IF($J361="NA","NA",IF(AND($J361&gt;1919,AQ361&gt;0),"ERRO","OK"))</f>
        <v>OK</v>
      </c>
      <c r="AS361" s="6" t="n">
        <f aca="false">(10-(LEN(AT361)))+1</f>
        <v>8</v>
      </c>
      <c r="AT361" s="6" t="n">
        <v>206</v>
      </c>
      <c r="AU361" s="6" t="str">
        <f aca="false">IF($J361="NA","NA",IF(AND($J361&gt;1909,AT361&gt;0),"ERRO","OK"))</f>
        <v>ERRO</v>
      </c>
      <c r="AV361" s="6" t="n">
        <f aca="false">(10-(LEN(AW361)))+1</f>
        <v>10</v>
      </c>
      <c r="AW361" s="6" t="n">
        <v>0</v>
      </c>
      <c r="AX361" s="6" t="str">
        <f aca="false">IF($J361="NA","NA",IF(AND($J361&gt;1899,AW361&gt;0),"ERRO","OK"))</f>
        <v>OK</v>
      </c>
    </row>
    <row r="362" customFormat="false" ht="15" hidden="false" customHeight="false" outlineLevel="0" collapsed="false">
      <c r="A362" s="7" t="n">
        <v>360</v>
      </c>
      <c r="B362" s="0" t="s">
        <v>379</v>
      </c>
      <c r="C362" s="8" t="n">
        <v>45332</v>
      </c>
      <c r="D362" s="6" t="n">
        <v>0</v>
      </c>
      <c r="E362" s="0" t="s">
        <v>16</v>
      </c>
      <c r="F362" s="0" t="s">
        <v>17</v>
      </c>
      <c r="G362" s="9" t="str">
        <f aca="false">IF(OR(N362="ERRO",Q362="ERRO",T362="ERRO",W362="ERRO",Z362="ERRO",AC362="ERRO",AF362="ERRO",AI362="ERRO",AL362="ERRO",AO362="ERRO",AR362="ERRO",AU362="ERRO",AX362="ERRO"),"ERRO","OK")</f>
        <v>OK</v>
      </c>
      <c r="H362" s="9" t="n">
        <f aca="false">COUNTIF(L362:AX362,"ERRO")</f>
        <v>0</v>
      </c>
      <c r="I362" s="9" t="s">
        <v>18</v>
      </c>
      <c r="J362" s="10" t="n">
        <v>1904</v>
      </c>
      <c r="K362" s="10" t="n">
        <v>1990</v>
      </c>
      <c r="L362" s="6" t="n">
        <f aca="false">(10-(LEN(M362)))+1</f>
        <v>9</v>
      </c>
      <c r="M362" s="6" t="n">
        <v>83</v>
      </c>
      <c r="N362" s="6" t="str">
        <f aca="false">IF($J362="NA","NA",IF(AND($J362&gt;2019,M362&gt;0),"ERRO","OK"))</f>
        <v>OK</v>
      </c>
      <c r="O362" s="6" t="n">
        <f aca="false">(10-(LEN(P362)))+1</f>
        <v>8</v>
      </c>
      <c r="P362" s="6" t="n">
        <v>652</v>
      </c>
      <c r="Q362" s="6" t="str">
        <f aca="false">IF($J362="NA","NA",IF(AND($J362&gt;2009,P362&gt;0),"ERRO","OK"))</f>
        <v>OK</v>
      </c>
      <c r="R362" s="6" t="n">
        <f aca="false">(10-(LEN(S362)))+1</f>
        <v>7</v>
      </c>
      <c r="S362" s="6" t="n">
        <v>2227</v>
      </c>
      <c r="T362" s="6" t="str">
        <f aca="false">IF($J362="NA","NA",IF(AND($J362&gt;1999,S362&gt;0),"ERRO","OK"))</f>
        <v>OK</v>
      </c>
      <c r="U362" s="6" t="n">
        <f aca="false">(10-(LEN(V362)))+1</f>
        <v>8</v>
      </c>
      <c r="V362" s="6" t="n">
        <v>506</v>
      </c>
      <c r="W362" s="6" t="str">
        <f aca="false">IF($J362="NA","NA",IF(AND($J362&gt;1989,V362&gt;0),"ERRO","OK"))</f>
        <v>OK</v>
      </c>
      <c r="X362" s="6" t="n">
        <f aca="false">(10-(LEN(Y362)))+1</f>
        <v>8</v>
      </c>
      <c r="Y362" s="6" t="n">
        <v>642</v>
      </c>
      <c r="Z362" s="6" t="str">
        <f aca="false">IF($J362="NA","NA",IF(AND($J362&gt;1979,Y362&gt;0),"ERRO","OK"))</f>
        <v>OK</v>
      </c>
      <c r="AA362" s="6" t="n">
        <f aca="false">(10-(LEN(AB362)))+1</f>
        <v>7</v>
      </c>
      <c r="AB362" s="6" t="n">
        <v>3106</v>
      </c>
      <c r="AC362" s="6" t="str">
        <f aca="false">IF($J362="NA","NA",IF(AND($J362&gt;1969,AB362&gt;0),"ERRO","OK"))</f>
        <v>OK</v>
      </c>
      <c r="AD362" s="6" t="n">
        <f aca="false">(10-(LEN(AE362)))+1</f>
        <v>10</v>
      </c>
      <c r="AE362" s="6" t="n">
        <v>0</v>
      </c>
      <c r="AF362" s="6" t="str">
        <f aca="false">IF($J362="NA","NA",IF(AND($J362&gt;1959,AE362&gt;0),"ERRO","OK"))</f>
        <v>OK</v>
      </c>
      <c r="AG362" s="6" t="n">
        <f aca="false">(10-(LEN(AH362)))+1</f>
        <v>10</v>
      </c>
      <c r="AH362" s="6" t="n">
        <v>0</v>
      </c>
      <c r="AI362" s="6" t="str">
        <f aca="false">IF($J362="NA","NA",IF(AND($J362&gt;1949,AH362&gt;0),"ERRO","OK"))</f>
        <v>OK</v>
      </c>
      <c r="AJ362" s="6" t="n">
        <f aca="false">(10-(LEN(AK362)))+1</f>
        <v>10</v>
      </c>
      <c r="AK362" s="6" t="n">
        <v>0</v>
      </c>
      <c r="AL362" s="6" t="str">
        <f aca="false">IF($J362="NA","NA",IF(AND($J362&gt;1939,AK362&gt;0),"ERRO","OK"))</f>
        <v>OK</v>
      </c>
      <c r="AM362" s="6" t="n">
        <f aca="false">(10-(LEN(AN362)))+1</f>
        <v>10</v>
      </c>
      <c r="AN362" s="6" t="n">
        <v>0</v>
      </c>
      <c r="AO362" s="6" t="str">
        <f aca="false">IF($J362="NA","NA",IF(AND($J362&gt;1929,AN362&gt;0),"ERRO","OK"))</f>
        <v>OK</v>
      </c>
      <c r="AP362" s="6" t="n">
        <f aca="false">(10-(LEN(AQ362)))+1</f>
        <v>8</v>
      </c>
      <c r="AQ362" s="6" t="n">
        <v>100</v>
      </c>
      <c r="AR362" s="6" t="str">
        <f aca="false">IF($J362="NA","NA",IF(AND($J362&gt;1919,AQ362&gt;0),"ERRO","OK"))</f>
        <v>OK</v>
      </c>
      <c r="AS362" s="6" t="n">
        <f aca="false">(10-(LEN(AT362)))+1</f>
        <v>8</v>
      </c>
      <c r="AT362" s="6" t="n">
        <v>206</v>
      </c>
      <c r="AU362" s="6" t="str">
        <f aca="false">IF($J362="NA","NA",IF(AND($J362&gt;1909,AT362&gt;0),"ERRO","OK"))</f>
        <v>OK</v>
      </c>
      <c r="AV362" s="6" t="n">
        <f aca="false">(10-(LEN(AW362)))+1</f>
        <v>10</v>
      </c>
      <c r="AW362" s="6" t="n">
        <v>0</v>
      </c>
      <c r="AX362" s="6" t="str">
        <f aca="false">IF($J362="NA","NA",IF(AND($J362&gt;1899,AW362&gt;0),"ERRO","OK"))</f>
        <v>OK</v>
      </c>
    </row>
    <row r="363" customFormat="false" ht="15" hidden="false" customHeight="false" outlineLevel="0" collapsed="false">
      <c r="A363" s="7" t="n">
        <v>361</v>
      </c>
      <c r="B363" s="0" t="s">
        <v>380</v>
      </c>
      <c r="C363" s="8" t="n">
        <v>45332</v>
      </c>
      <c r="D363" s="6" t="n">
        <v>0</v>
      </c>
      <c r="E363" s="0" t="s">
        <v>16</v>
      </c>
      <c r="F363" s="0" t="s">
        <v>17</v>
      </c>
      <c r="G363" s="9" t="str">
        <f aca="false">IF(OR(N363="ERRO",Q363="ERRO",T363="ERRO",W363="ERRO",Z363="ERRO",AC363="ERRO",AF363="ERRO",AI363="ERRO",AL363="ERRO",AO363="ERRO",AR363="ERRO",AU363="ERRO",AX363="ERRO"),"ERRO","OK")</f>
        <v>OK</v>
      </c>
      <c r="H363" s="9" t="n">
        <f aca="false">COUNTIF(L363:AX363,"ERRO")</f>
        <v>0</v>
      </c>
      <c r="I363" s="9" t="s">
        <v>18</v>
      </c>
      <c r="J363" s="10" t="n">
        <v>1911</v>
      </c>
      <c r="K363" s="10" t="n">
        <v>2003</v>
      </c>
      <c r="L363" s="6" t="n">
        <f aca="false">(10-(LEN(M363)))+1</f>
        <v>10</v>
      </c>
      <c r="M363" s="6" t="n">
        <v>0</v>
      </c>
      <c r="N363" s="6" t="str">
        <f aca="false">IF($J363="NA","NA",IF(AND($J363&gt;2019,M363&gt;0),"ERRO","OK"))</f>
        <v>OK</v>
      </c>
      <c r="O363" s="6" t="n">
        <f aca="false">(10-(LEN(P363)))+1</f>
        <v>10</v>
      </c>
      <c r="P363" s="6" t="n">
        <v>0</v>
      </c>
      <c r="Q363" s="6" t="str">
        <f aca="false">IF($J363="NA","NA",IF(AND($J363&gt;2009,P363&gt;0),"ERRO","OK"))</f>
        <v>OK</v>
      </c>
      <c r="R363" s="6" t="n">
        <f aca="false">(10-(LEN(S363)))+1</f>
        <v>10</v>
      </c>
      <c r="S363" s="6" t="n">
        <v>0</v>
      </c>
      <c r="T363" s="6" t="str">
        <f aca="false">IF($J363="NA","NA",IF(AND($J363&gt;1999,S363&gt;0),"ERRO","OK"))</f>
        <v>OK</v>
      </c>
      <c r="U363" s="6" t="n">
        <f aca="false">(10-(LEN(V363)))+1</f>
        <v>10</v>
      </c>
      <c r="V363" s="6" t="n">
        <v>0</v>
      </c>
      <c r="W363" s="6" t="str">
        <f aca="false">IF($J363="NA","NA",IF(AND($J363&gt;1989,V363&gt;0),"ERRO","OK"))</f>
        <v>OK</v>
      </c>
      <c r="X363" s="6" t="n">
        <f aca="false">(10-(LEN(Y363)))+1</f>
        <v>10</v>
      </c>
      <c r="Y363" s="6" t="n">
        <v>0</v>
      </c>
      <c r="Z363" s="6" t="str">
        <f aca="false">IF($J363="NA","NA",IF(AND($J363&gt;1979,Y363&gt;0),"ERRO","OK"))</f>
        <v>OK</v>
      </c>
      <c r="AA363" s="6" t="n">
        <f aca="false">(10-(LEN(AB363)))+1</f>
        <v>10</v>
      </c>
      <c r="AB363" s="6" t="n">
        <v>0</v>
      </c>
      <c r="AC363" s="6" t="str">
        <f aca="false">IF($J363="NA","NA",IF(AND($J363&gt;1969,AB363&gt;0),"ERRO","OK"))</f>
        <v>OK</v>
      </c>
      <c r="AD363" s="6" t="n">
        <f aca="false">(10-(LEN(AE363)))+1</f>
        <v>10</v>
      </c>
      <c r="AE363" s="6" t="n">
        <v>0</v>
      </c>
      <c r="AF363" s="6" t="str">
        <f aca="false">IF($J363="NA","NA",IF(AND($J363&gt;1959,AE363&gt;0),"ERRO","OK"))</f>
        <v>OK</v>
      </c>
      <c r="AG363" s="6" t="n">
        <f aca="false">(10-(LEN(AH363)))+1</f>
        <v>10</v>
      </c>
      <c r="AH363" s="6" t="n">
        <v>0</v>
      </c>
      <c r="AI363" s="6" t="str">
        <f aca="false">IF($J363="NA","NA",IF(AND($J363&gt;1949,AH363&gt;0),"ERRO","OK"))</f>
        <v>OK</v>
      </c>
      <c r="AJ363" s="6" t="n">
        <f aca="false">(10-(LEN(AK363)))+1</f>
        <v>10</v>
      </c>
      <c r="AK363" s="6" t="n">
        <v>0</v>
      </c>
      <c r="AL363" s="6" t="str">
        <f aca="false">IF($J363="NA","NA",IF(AND($J363&gt;1939,AK363&gt;0),"ERRO","OK"))</f>
        <v>OK</v>
      </c>
      <c r="AM363" s="6" t="n">
        <f aca="false">(10-(LEN(AN363)))+1</f>
        <v>10</v>
      </c>
      <c r="AN363" s="6" t="n">
        <v>0</v>
      </c>
      <c r="AO363" s="6" t="str">
        <f aca="false">IF($J363="NA","NA",IF(AND($J363&gt;1929,AN363&gt;0),"ERRO","OK"))</f>
        <v>OK</v>
      </c>
      <c r="AP363" s="6" t="n">
        <f aca="false">(10-(LEN(AQ363)))+1</f>
        <v>10</v>
      </c>
      <c r="AQ363" s="6" t="n">
        <v>0</v>
      </c>
      <c r="AR363" s="6" t="str">
        <f aca="false">IF($J363="NA","NA",IF(AND($J363&gt;1919,AQ363&gt;0),"ERRO","OK"))</f>
        <v>OK</v>
      </c>
      <c r="AS363" s="6" t="n">
        <f aca="false">(10-(LEN(AT363)))+1</f>
        <v>10</v>
      </c>
      <c r="AT363" s="6" t="n">
        <v>0</v>
      </c>
      <c r="AU363" s="6" t="str">
        <f aca="false">IF($J363="NA","NA",IF(AND($J363&gt;1909,AT363&gt;0),"ERRO","OK"))</f>
        <v>OK</v>
      </c>
      <c r="AV363" s="6" t="n">
        <f aca="false">(10-(LEN(AW363)))+1</f>
        <v>10</v>
      </c>
      <c r="AW363" s="6" t="n">
        <v>0</v>
      </c>
      <c r="AX363" s="6" t="str">
        <f aca="false">IF($J363="NA","NA",IF(AND($J363&gt;1899,AW363&gt;0),"ERRO","OK"))</f>
        <v>OK</v>
      </c>
    </row>
    <row r="364" customFormat="false" ht="15" hidden="false" customHeight="false" outlineLevel="0" collapsed="false">
      <c r="A364" s="7" t="n">
        <v>362</v>
      </c>
      <c r="B364" s="0" t="s">
        <v>381</v>
      </c>
      <c r="C364" s="8" t="n">
        <v>45332</v>
      </c>
      <c r="D364" s="6" t="n">
        <v>0</v>
      </c>
      <c r="E364" s="0" t="s">
        <v>16</v>
      </c>
      <c r="F364" s="0" t="s">
        <v>17</v>
      </c>
      <c r="G364" s="9" t="str">
        <f aca="false">IF(OR(N364="ERRO",Q364="ERRO",T364="ERRO",W364="ERRO",Z364="ERRO",AC364="ERRO",AF364="ERRO",AI364="ERRO",AL364="ERRO",AO364="ERRO",AR364="ERRO",AU364="ERRO",AX364="ERRO"),"ERRO","OK")</f>
        <v>OK</v>
      </c>
      <c r="H364" s="9" t="n">
        <f aca="false">COUNTIF(L364:AX364,"ERRO")</f>
        <v>0</v>
      </c>
      <c r="I364" s="9" t="s">
        <v>18</v>
      </c>
      <c r="J364" s="10" t="s">
        <v>22</v>
      </c>
      <c r="K364" s="10" t="s">
        <v>22</v>
      </c>
      <c r="L364" s="6" t="n">
        <f aca="false">(10-(LEN(M364)))+1</f>
        <v>10</v>
      </c>
      <c r="M364" s="6" t="n">
        <v>0</v>
      </c>
      <c r="N364" s="6" t="str">
        <f aca="false">IF($J364="NA","NA",IF(AND($J364&gt;2019,M364&gt;0),"ERRO","OK"))</f>
        <v>NA</v>
      </c>
      <c r="O364" s="6" t="n">
        <f aca="false">(10-(LEN(P364)))+1</f>
        <v>10</v>
      </c>
      <c r="P364" s="6" t="n">
        <v>0</v>
      </c>
      <c r="Q364" s="6" t="str">
        <f aca="false">IF($J364="NA","NA",IF(AND($J364&gt;2009,P364&gt;0),"ERRO","OK"))</f>
        <v>NA</v>
      </c>
      <c r="R364" s="6" t="n">
        <f aca="false">(10-(LEN(S364)))+1</f>
        <v>10</v>
      </c>
      <c r="S364" s="6" t="n">
        <v>0</v>
      </c>
      <c r="T364" s="6" t="str">
        <f aca="false">IF($J364="NA","NA",IF(AND($J364&gt;1999,S364&gt;0),"ERRO","OK"))</f>
        <v>NA</v>
      </c>
      <c r="U364" s="6" t="n">
        <f aca="false">(10-(LEN(V364)))+1</f>
        <v>10</v>
      </c>
      <c r="V364" s="6" t="n">
        <v>0</v>
      </c>
      <c r="W364" s="6" t="str">
        <f aca="false">IF($J364="NA","NA",IF(AND($J364&gt;1989,V364&gt;0),"ERRO","OK"))</f>
        <v>NA</v>
      </c>
      <c r="X364" s="6" t="n">
        <f aca="false">(10-(LEN(Y364)))+1</f>
        <v>10</v>
      </c>
      <c r="Y364" s="6" t="n">
        <v>0</v>
      </c>
      <c r="Z364" s="6" t="str">
        <f aca="false">IF($J364="NA","NA",IF(AND($J364&gt;1979,Y364&gt;0),"ERRO","OK"))</f>
        <v>NA</v>
      </c>
      <c r="AA364" s="6" t="n">
        <f aca="false">(10-(LEN(AB364)))+1</f>
        <v>10</v>
      </c>
      <c r="AB364" s="6" t="n">
        <v>0</v>
      </c>
      <c r="AC364" s="6" t="str">
        <f aca="false">IF($J364="NA","NA",IF(AND($J364&gt;1969,AB364&gt;0),"ERRO","OK"))</f>
        <v>NA</v>
      </c>
      <c r="AD364" s="6" t="n">
        <f aca="false">(10-(LEN(AE364)))+1</f>
        <v>10</v>
      </c>
      <c r="AE364" s="6" t="n">
        <v>0</v>
      </c>
      <c r="AF364" s="6" t="str">
        <f aca="false">IF($J364="NA","NA",IF(AND($J364&gt;1959,AE364&gt;0),"ERRO","OK"))</f>
        <v>NA</v>
      </c>
      <c r="AG364" s="6" t="n">
        <f aca="false">(10-(LEN(AH364)))+1</f>
        <v>10</v>
      </c>
      <c r="AH364" s="6" t="n">
        <v>0</v>
      </c>
      <c r="AI364" s="6" t="str">
        <f aca="false">IF($J364="NA","NA",IF(AND($J364&gt;1949,AH364&gt;0),"ERRO","OK"))</f>
        <v>NA</v>
      </c>
      <c r="AJ364" s="6" t="n">
        <f aca="false">(10-(LEN(AK364)))+1</f>
        <v>10</v>
      </c>
      <c r="AK364" s="6" t="n">
        <v>0</v>
      </c>
      <c r="AL364" s="6" t="str">
        <f aca="false">IF($J364="NA","NA",IF(AND($J364&gt;1939,AK364&gt;0),"ERRO","OK"))</f>
        <v>NA</v>
      </c>
      <c r="AM364" s="6" t="n">
        <f aca="false">(10-(LEN(AN364)))+1</f>
        <v>10</v>
      </c>
      <c r="AN364" s="6" t="n">
        <v>0</v>
      </c>
      <c r="AO364" s="6" t="str">
        <f aca="false">IF($J364="NA","NA",IF(AND($J364&gt;1929,AN364&gt;0),"ERRO","OK"))</f>
        <v>NA</v>
      </c>
      <c r="AP364" s="6" t="n">
        <f aca="false">(10-(LEN(AQ364)))+1</f>
        <v>10</v>
      </c>
      <c r="AQ364" s="6" t="n">
        <v>0</v>
      </c>
      <c r="AR364" s="6" t="str">
        <f aca="false">IF($J364="NA","NA",IF(AND($J364&gt;1919,AQ364&gt;0),"ERRO","OK"))</f>
        <v>NA</v>
      </c>
      <c r="AS364" s="6" t="n">
        <f aca="false">(10-(LEN(AT364)))+1</f>
        <v>10</v>
      </c>
      <c r="AT364" s="6" t="n">
        <v>0</v>
      </c>
      <c r="AU364" s="6" t="str">
        <f aca="false">IF($J364="NA","NA",IF(AND($J364&gt;1909,AT364&gt;0),"ERRO","OK"))</f>
        <v>NA</v>
      </c>
      <c r="AV364" s="6" t="n">
        <f aca="false">(10-(LEN(AW364)))+1</f>
        <v>10</v>
      </c>
      <c r="AW364" s="6" t="n">
        <v>0</v>
      </c>
      <c r="AX364" s="6" t="str">
        <f aca="false">IF($J364="NA","NA",IF(AND($J364&gt;1899,AW364&gt;0),"ERRO","OK"))</f>
        <v>NA</v>
      </c>
    </row>
    <row r="365" customFormat="false" ht="15" hidden="false" customHeight="false" outlineLevel="0" collapsed="false">
      <c r="A365" s="7" t="n">
        <v>363</v>
      </c>
      <c r="B365" s="0" t="s">
        <v>382</v>
      </c>
      <c r="C365" s="8" t="n">
        <v>45332</v>
      </c>
      <c r="D365" s="6" t="n">
        <v>0</v>
      </c>
      <c r="E365" s="0" t="s">
        <v>16</v>
      </c>
      <c r="F365" s="0" t="s">
        <v>17</v>
      </c>
      <c r="G365" s="9" t="str">
        <f aca="false">IF(OR(N365="ERRO",Q365="ERRO",T365="ERRO",W365="ERRO",Z365="ERRO",AC365="ERRO",AF365="ERRO",AI365="ERRO",AL365="ERRO",AO365="ERRO",AR365="ERRO",AU365="ERRO",AX365="ERRO"),"ERRO","OK")</f>
        <v>OK</v>
      </c>
      <c r="H365" s="9" t="n">
        <f aca="false">COUNTIF(L365:AX365,"ERRO")</f>
        <v>0</v>
      </c>
      <c r="I365" s="9" t="s">
        <v>18</v>
      </c>
      <c r="J365" s="10" t="n">
        <v>1912</v>
      </c>
      <c r="K365" s="10" t="n">
        <v>1989</v>
      </c>
      <c r="L365" s="6" t="n">
        <f aca="false">(10-(LEN(M365)))+1</f>
        <v>10</v>
      </c>
      <c r="M365" s="6" t="n">
        <v>0</v>
      </c>
      <c r="N365" s="6" t="str">
        <f aca="false">IF($J365="NA","NA",IF(AND($J365&gt;2019,M365&gt;0),"ERRO","OK"))</f>
        <v>OK</v>
      </c>
      <c r="O365" s="6" t="n">
        <f aca="false">(10-(LEN(P365)))+1</f>
        <v>10</v>
      </c>
      <c r="P365" s="6" t="n">
        <v>0</v>
      </c>
      <c r="Q365" s="6" t="str">
        <f aca="false">IF($J365="NA","NA",IF(AND($J365&gt;2009,P365&gt;0),"ERRO","OK"))</f>
        <v>OK</v>
      </c>
      <c r="R365" s="6" t="n">
        <f aca="false">(10-(LEN(S365)))+1</f>
        <v>9</v>
      </c>
      <c r="S365" s="6" t="n">
        <v>42</v>
      </c>
      <c r="T365" s="6" t="str">
        <f aca="false">IF($J365="NA","NA",IF(AND($J365&gt;1999,S365&gt;0),"ERRO","OK"))</f>
        <v>OK</v>
      </c>
      <c r="U365" s="6" t="n">
        <f aca="false">(10-(LEN(V365)))+1</f>
        <v>10</v>
      </c>
      <c r="V365" s="6" t="n">
        <v>0</v>
      </c>
      <c r="W365" s="6" t="str">
        <f aca="false">IF($J365="NA","NA",IF(AND($J365&gt;1989,V365&gt;0),"ERRO","OK"))</f>
        <v>OK</v>
      </c>
      <c r="X365" s="6" t="n">
        <f aca="false">(10-(LEN(Y365)))+1</f>
        <v>10</v>
      </c>
      <c r="Y365" s="6" t="n">
        <v>0</v>
      </c>
      <c r="Z365" s="6" t="str">
        <f aca="false">IF($J365="NA","NA",IF(AND($J365&gt;1979,Y365&gt;0),"ERRO","OK"))</f>
        <v>OK</v>
      </c>
      <c r="AA365" s="6" t="n">
        <f aca="false">(10-(LEN(AB365)))+1</f>
        <v>10</v>
      </c>
      <c r="AB365" s="6" t="n">
        <v>0</v>
      </c>
      <c r="AC365" s="6" t="str">
        <f aca="false">IF($J365="NA","NA",IF(AND($J365&gt;1969,AB365&gt;0),"ERRO","OK"))</f>
        <v>OK</v>
      </c>
      <c r="AD365" s="6" t="n">
        <f aca="false">(10-(LEN(AE365)))+1</f>
        <v>10</v>
      </c>
      <c r="AE365" s="6" t="n">
        <v>0</v>
      </c>
      <c r="AF365" s="6" t="str">
        <f aca="false">IF($J365="NA","NA",IF(AND($J365&gt;1959,AE365&gt;0),"ERRO","OK"))</f>
        <v>OK</v>
      </c>
      <c r="AG365" s="6" t="n">
        <f aca="false">(10-(LEN(AH365)))+1</f>
        <v>10</v>
      </c>
      <c r="AH365" s="6" t="n">
        <v>0</v>
      </c>
      <c r="AI365" s="6" t="str">
        <f aca="false">IF($J365="NA","NA",IF(AND($J365&gt;1949,AH365&gt;0),"ERRO","OK"))</f>
        <v>OK</v>
      </c>
      <c r="AJ365" s="6" t="n">
        <f aca="false">(10-(LEN(AK365)))+1</f>
        <v>10</v>
      </c>
      <c r="AK365" s="6" t="n">
        <v>0</v>
      </c>
      <c r="AL365" s="6" t="str">
        <f aca="false">IF($J365="NA","NA",IF(AND($J365&gt;1939,AK365&gt;0),"ERRO","OK"))</f>
        <v>OK</v>
      </c>
      <c r="AM365" s="6" t="n">
        <f aca="false">(10-(LEN(AN365)))+1</f>
        <v>10</v>
      </c>
      <c r="AN365" s="6" t="n">
        <v>0</v>
      </c>
      <c r="AO365" s="6" t="str">
        <f aca="false">IF($J365="NA","NA",IF(AND($J365&gt;1929,AN365&gt;0),"ERRO","OK"))</f>
        <v>OK</v>
      </c>
      <c r="AP365" s="6" t="n">
        <f aca="false">(10-(LEN(AQ365)))+1</f>
        <v>10</v>
      </c>
      <c r="AQ365" s="6" t="n">
        <v>0</v>
      </c>
      <c r="AR365" s="6" t="str">
        <f aca="false">IF($J365="NA","NA",IF(AND($J365&gt;1919,AQ365&gt;0),"ERRO","OK"))</f>
        <v>OK</v>
      </c>
      <c r="AS365" s="6" t="n">
        <f aca="false">(10-(LEN(AT365)))+1</f>
        <v>10</v>
      </c>
      <c r="AT365" s="6" t="n">
        <v>0</v>
      </c>
      <c r="AU365" s="6" t="str">
        <f aca="false">IF($J365="NA","NA",IF(AND($J365&gt;1909,AT365&gt;0),"ERRO","OK"))</f>
        <v>OK</v>
      </c>
      <c r="AV365" s="6" t="n">
        <f aca="false">(10-(LEN(AW365)))+1</f>
        <v>10</v>
      </c>
      <c r="AW365" s="6" t="n">
        <v>0</v>
      </c>
      <c r="AX365" s="6" t="str">
        <f aca="false">IF($J365="NA","NA",IF(AND($J365&gt;1899,AW365&gt;0),"ERRO","OK"))</f>
        <v>OK</v>
      </c>
    </row>
    <row r="366" customFormat="false" ht="15" hidden="false" customHeight="false" outlineLevel="0" collapsed="false">
      <c r="A366" s="7" t="n">
        <v>364</v>
      </c>
      <c r="B366" s="0" t="s">
        <v>383</v>
      </c>
      <c r="C366" s="8" t="n">
        <v>45333</v>
      </c>
      <c r="D366" s="6" t="n">
        <v>0</v>
      </c>
      <c r="E366" s="0" t="s">
        <v>16</v>
      </c>
      <c r="F366" s="0" t="s">
        <v>17</v>
      </c>
      <c r="G366" s="9" t="str">
        <f aca="false">IF(OR(N366="ERRO",Q366="ERRO",T366="ERRO",W366="ERRO",Z366="ERRO",AC366="ERRO",AF366="ERRO",AI366="ERRO",AL366="ERRO",AO366="ERRO",AR366="ERRO",AU366="ERRO",AX366="ERRO"),"ERRO","OK")</f>
        <v>OK</v>
      </c>
      <c r="H366" s="9" t="n">
        <f aca="false">COUNTIF(L366:AX366,"ERRO")</f>
        <v>0</v>
      </c>
      <c r="I366" s="9" t="s">
        <v>18</v>
      </c>
      <c r="J366" s="10" t="n">
        <v>1918</v>
      </c>
      <c r="K366" s="10" t="n">
        <v>2004</v>
      </c>
      <c r="L366" s="6" t="n">
        <f aca="false">(10-(LEN(M366)))+1</f>
        <v>8</v>
      </c>
      <c r="M366" s="6" t="n">
        <v>916</v>
      </c>
      <c r="N366" s="6" t="str">
        <f aca="false">IF($J366="NA","NA",IF(AND($J366&gt;2019,M366&gt;0),"ERRO","OK"))</f>
        <v>OK</v>
      </c>
      <c r="O366" s="6" t="n">
        <f aca="false">(10-(LEN(P366)))+1</f>
        <v>7</v>
      </c>
      <c r="P366" s="6" t="n">
        <v>2024</v>
      </c>
      <c r="Q366" s="6" t="str">
        <f aca="false">IF($J366="NA","NA",IF(AND($J366&gt;2009,P366&gt;0),"ERRO","OK"))</f>
        <v>OK</v>
      </c>
      <c r="R366" s="6" t="n">
        <f aca="false">(10-(LEN(S366)))+1</f>
        <v>7</v>
      </c>
      <c r="S366" s="6" t="n">
        <v>3907</v>
      </c>
      <c r="T366" s="6" t="str">
        <f aca="false">IF($J366="NA","NA",IF(AND($J366&gt;1999,S366&gt;0),"ERRO","OK"))</f>
        <v>OK</v>
      </c>
      <c r="U366" s="6" t="n">
        <f aca="false">(10-(LEN(V366)))+1</f>
        <v>7</v>
      </c>
      <c r="V366" s="6" t="n">
        <v>2392</v>
      </c>
      <c r="W366" s="6" t="str">
        <f aca="false">IF($J366="NA","NA",IF(AND($J366&gt;1989,V366&gt;0),"ERRO","OK"))</f>
        <v>OK</v>
      </c>
      <c r="X366" s="6" t="n">
        <f aca="false">(10-(LEN(Y366)))+1</f>
        <v>7</v>
      </c>
      <c r="Y366" s="6" t="n">
        <v>6100</v>
      </c>
      <c r="Z366" s="6" t="str">
        <f aca="false">IF($J366="NA","NA",IF(AND($J366&gt;1979,Y366&gt;0),"ERRO","OK"))</f>
        <v>OK</v>
      </c>
      <c r="AA366" s="6" t="n">
        <f aca="false">(10-(LEN(AB366)))+1</f>
        <v>7</v>
      </c>
      <c r="AB366" s="6" t="n">
        <v>3106</v>
      </c>
      <c r="AC366" s="6" t="str">
        <f aca="false">IF($J366="NA","NA",IF(AND($J366&gt;1969,AB366&gt;0),"ERRO","OK"))</f>
        <v>OK</v>
      </c>
      <c r="AD366" s="6" t="n">
        <f aca="false">(10-(LEN(AE366)))+1</f>
        <v>7</v>
      </c>
      <c r="AE366" s="6" t="n">
        <v>2601</v>
      </c>
      <c r="AF366" s="6" t="str">
        <f aca="false">IF($J366="NA","NA",IF(AND($J366&gt;1959,AE366&gt;0),"ERRO","OK"))</f>
        <v>OK</v>
      </c>
      <c r="AG366" s="6" t="n">
        <f aca="false">(10-(LEN(AH366)))+1</f>
        <v>7</v>
      </c>
      <c r="AH366" s="6" t="n">
        <v>1652</v>
      </c>
      <c r="AI366" s="6" t="str">
        <f aca="false">IF($J366="NA","NA",IF(AND($J366&gt;1949,AH366&gt;0),"ERRO","OK"))</f>
        <v>OK</v>
      </c>
      <c r="AJ366" s="6" t="n">
        <f aca="false">(10-(LEN(AK366)))+1</f>
        <v>7</v>
      </c>
      <c r="AK366" s="6" t="n">
        <v>3899</v>
      </c>
      <c r="AL366" s="6" t="str">
        <f aca="false">IF($J366="NA","NA",IF(AND($J366&gt;1939,AK366&gt;0),"ERRO","OK"))</f>
        <v>OK</v>
      </c>
      <c r="AM366" s="6" t="n">
        <f aca="false">(10-(LEN(AN366)))+1</f>
        <v>8</v>
      </c>
      <c r="AN366" s="6" t="n">
        <v>305</v>
      </c>
      <c r="AO366" s="6" t="str">
        <f aca="false">IF($J366="NA","NA",IF(AND($J366&gt;1929,AN366&gt;0),"ERRO","OK"))</f>
        <v>OK</v>
      </c>
      <c r="AP366" s="6" t="n">
        <f aca="false">(10-(LEN(AQ366)))+1</f>
        <v>10</v>
      </c>
      <c r="AQ366" s="6" t="n">
        <v>0</v>
      </c>
      <c r="AR366" s="6" t="str">
        <f aca="false">IF($J366="NA","NA",IF(AND($J366&gt;1919,AQ366&gt;0),"ERRO","OK"))</f>
        <v>OK</v>
      </c>
      <c r="AS366" s="6" t="n">
        <f aca="false">(10-(LEN(AT366)))+1</f>
        <v>10</v>
      </c>
      <c r="AT366" s="6" t="n">
        <v>0</v>
      </c>
      <c r="AU366" s="6" t="str">
        <f aca="false">IF($J366="NA","NA",IF(AND($J366&gt;1909,AT366&gt;0),"ERRO","OK"))</f>
        <v>OK</v>
      </c>
      <c r="AV366" s="6" t="n">
        <f aca="false">(10-(LEN(AW366)))+1</f>
        <v>10</v>
      </c>
      <c r="AW366" s="6" t="n">
        <v>0</v>
      </c>
      <c r="AX366" s="6" t="str">
        <f aca="false">IF($J366="NA","NA",IF(AND($J366&gt;1899,AW366&gt;0),"ERRO","OK"))</f>
        <v>OK</v>
      </c>
    </row>
    <row r="367" customFormat="false" ht="15" hidden="false" customHeight="false" outlineLevel="0" collapsed="false">
      <c r="A367" s="7" t="n">
        <v>365</v>
      </c>
      <c r="B367" s="0" t="s">
        <v>384</v>
      </c>
      <c r="C367" s="8" t="n">
        <v>45333</v>
      </c>
      <c r="D367" s="6" t="n">
        <v>0</v>
      </c>
      <c r="E367" s="0" t="s">
        <v>16</v>
      </c>
      <c r="F367" s="0" t="s">
        <v>17</v>
      </c>
      <c r="G367" s="9" t="str">
        <f aca="false">IF(OR(N367="ERRO",Q367="ERRO",T367="ERRO",W367="ERRO",Z367="ERRO",AC367="ERRO",AF367="ERRO",AI367="ERRO",AL367="ERRO",AO367="ERRO",AR367="ERRO",AU367="ERRO",AX367="ERRO"),"ERRO","OK")</f>
        <v>OK</v>
      </c>
      <c r="H367" s="9" t="n">
        <f aca="false">COUNTIF(L367:AX367,"ERRO")</f>
        <v>0</v>
      </c>
      <c r="I367" s="9" t="s">
        <v>18</v>
      </c>
      <c r="J367" s="10" t="n">
        <v>1924</v>
      </c>
      <c r="K367" s="10" t="n">
        <v>1924</v>
      </c>
      <c r="L367" s="6" t="n">
        <f aca="false">(10-(LEN(M367)))+1</f>
        <v>8</v>
      </c>
      <c r="M367" s="6" t="n">
        <v>750</v>
      </c>
      <c r="N367" s="6" t="str">
        <f aca="false">IF($J367="NA","NA",IF(AND($J367&gt;2019,M367&gt;0),"ERRO","OK"))</f>
        <v>OK</v>
      </c>
      <c r="O367" s="6" t="n">
        <f aca="false">(10-(LEN(P367)))+1</f>
        <v>8</v>
      </c>
      <c r="P367" s="6" t="n">
        <v>137</v>
      </c>
      <c r="Q367" s="6" t="str">
        <f aca="false">IF($J367="NA","NA",IF(AND($J367&gt;2009,P367&gt;0),"ERRO","OK"))</f>
        <v>OK</v>
      </c>
      <c r="R367" s="6" t="n">
        <f aca="false">(10-(LEN(S367)))+1</f>
        <v>8</v>
      </c>
      <c r="S367" s="6" t="n">
        <v>546</v>
      </c>
      <c r="T367" s="6" t="str">
        <f aca="false">IF($J367="NA","NA",IF(AND($J367&gt;1999,S367&gt;0),"ERRO","OK"))</f>
        <v>OK</v>
      </c>
      <c r="U367" s="6" t="n">
        <f aca="false">(10-(LEN(V367)))+1</f>
        <v>8</v>
      </c>
      <c r="V367" s="6" t="n">
        <v>598</v>
      </c>
      <c r="W367" s="6" t="str">
        <f aca="false">IF($J367="NA","NA",IF(AND($J367&gt;1989,V367&gt;0),"ERRO","OK"))</f>
        <v>OK</v>
      </c>
      <c r="X367" s="6" t="n">
        <f aca="false">(10-(LEN(Y367)))+1</f>
        <v>8</v>
      </c>
      <c r="Y367" s="6" t="n">
        <v>482</v>
      </c>
      <c r="Z367" s="6" t="str">
        <f aca="false">IF($J367="NA","NA",IF(AND($J367&gt;1979,Y367&gt;0),"ERRO","OK"))</f>
        <v>OK</v>
      </c>
      <c r="AA367" s="6" t="n">
        <f aca="false">(10-(LEN(AB367)))+1</f>
        <v>8</v>
      </c>
      <c r="AB367" s="6" t="n">
        <v>293</v>
      </c>
      <c r="AC367" s="6" t="str">
        <f aca="false">IF($J367="NA","NA",IF(AND($J367&gt;1969,AB367&gt;0),"ERRO","OK"))</f>
        <v>OK</v>
      </c>
      <c r="AD367" s="6" t="n">
        <f aca="false">(10-(LEN(AE367)))+1</f>
        <v>8</v>
      </c>
      <c r="AE367" s="6" t="n">
        <v>179</v>
      </c>
      <c r="AF367" s="6" t="str">
        <f aca="false">IF($J367="NA","NA",IF(AND($J367&gt;1959,AE367&gt;0),"ERRO","OK"))</f>
        <v>OK</v>
      </c>
      <c r="AG367" s="6" t="n">
        <f aca="false">(10-(LEN(AH367)))+1</f>
        <v>10</v>
      </c>
      <c r="AH367" s="6" t="n">
        <v>0</v>
      </c>
      <c r="AI367" s="6" t="str">
        <f aca="false">IF($J367="NA","NA",IF(AND($J367&gt;1949,AH367&gt;0),"ERRO","OK"))</f>
        <v>OK</v>
      </c>
      <c r="AJ367" s="6" t="n">
        <f aca="false">(10-(LEN(AK367)))+1</f>
        <v>8</v>
      </c>
      <c r="AK367" s="6" t="n">
        <v>139</v>
      </c>
      <c r="AL367" s="6" t="str">
        <f aca="false">IF($J367="NA","NA",IF(AND($J367&gt;1939,AK367&gt;0),"ERRO","OK"))</f>
        <v>OK</v>
      </c>
      <c r="AM367" s="6" t="n">
        <f aca="false">(10-(LEN(AN367)))+1</f>
        <v>10</v>
      </c>
      <c r="AN367" s="6" t="n">
        <v>0</v>
      </c>
      <c r="AO367" s="6" t="str">
        <f aca="false">IF($J367="NA","NA",IF(AND($J367&gt;1929,AN367&gt;0),"ERRO","OK"))</f>
        <v>OK</v>
      </c>
      <c r="AP367" s="6" t="n">
        <f aca="false">(10-(LEN(AQ367)))+1</f>
        <v>10</v>
      </c>
      <c r="AQ367" s="6" t="n">
        <v>0</v>
      </c>
      <c r="AR367" s="6" t="str">
        <f aca="false">IF($J367="NA","NA",IF(AND($J367&gt;1919,AQ367&gt;0),"ERRO","OK"))</f>
        <v>OK</v>
      </c>
      <c r="AS367" s="6" t="n">
        <f aca="false">(10-(LEN(AT367)))+1</f>
        <v>10</v>
      </c>
      <c r="AT367" s="6" t="n">
        <v>0</v>
      </c>
      <c r="AU367" s="6" t="str">
        <f aca="false">IF($J367="NA","NA",IF(AND($J367&gt;1909,AT367&gt;0),"ERRO","OK"))</f>
        <v>OK</v>
      </c>
      <c r="AV367" s="6" t="n">
        <f aca="false">(10-(LEN(AW367)))+1</f>
        <v>10</v>
      </c>
      <c r="AW367" s="6" t="n">
        <v>0</v>
      </c>
      <c r="AX367" s="6" t="str">
        <f aca="false">IF($J367="NA","NA",IF(AND($J367&gt;1899,AW367&gt;0),"ERRO","OK"))</f>
        <v>OK</v>
      </c>
    </row>
    <row r="368" customFormat="false" ht="15" hidden="false" customHeight="false" outlineLevel="0" collapsed="false">
      <c r="A368" s="7" t="n">
        <v>366</v>
      </c>
      <c r="B368" s="0" t="s">
        <v>385</v>
      </c>
      <c r="C368" s="8" t="n">
        <v>45333</v>
      </c>
      <c r="D368" s="6" t="n">
        <v>0</v>
      </c>
      <c r="E368" s="0" t="s">
        <v>16</v>
      </c>
      <c r="F368" s="0" t="s">
        <v>17</v>
      </c>
      <c r="G368" s="9" t="str">
        <f aca="false">IF(OR(N368="ERRO",Q368="ERRO",T368="ERRO",W368="ERRO",Z368="ERRO",AC368="ERRO",AF368="ERRO",AI368="ERRO",AL368="ERRO",AO368="ERRO",AR368="ERRO",AU368="ERRO",AX368="ERRO"),"ERRO","OK")</f>
        <v>OK</v>
      </c>
      <c r="H368" s="9" t="n">
        <f aca="false">COUNTIF(L368:AX368,"ERRO")</f>
        <v>0</v>
      </c>
      <c r="I368" s="9" t="s">
        <v>18</v>
      </c>
      <c r="J368" s="10" t="n">
        <v>1907</v>
      </c>
      <c r="K368" s="10" t="s">
        <v>22</v>
      </c>
      <c r="L368" s="6" t="n">
        <f aca="false">(10-(LEN(M368)))+1</f>
        <v>10</v>
      </c>
      <c r="M368" s="6" t="n">
        <v>0</v>
      </c>
      <c r="N368" s="6" t="str">
        <f aca="false">IF($J368="NA","NA",IF(AND($J368&gt;2019,M368&gt;0),"ERRO","OK"))</f>
        <v>OK</v>
      </c>
      <c r="O368" s="6" t="n">
        <f aca="false">(10-(LEN(P368)))+1</f>
        <v>10</v>
      </c>
      <c r="P368" s="6" t="n">
        <v>0</v>
      </c>
      <c r="Q368" s="6" t="str">
        <f aca="false">IF($J368="NA","NA",IF(AND($J368&gt;2009,P368&gt;0),"ERRO","OK"))</f>
        <v>OK</v>
      </c>
      <c r="R368" s="6" t="n">
        <f aca="false">(10-(LEN(S368)))+1</f>
        <v>10</v>
      </c>
      <c r="S368" s="6" t="n">
        <v>0</v>
      </c>
      <c r="T368" s="6" t="str">
        <f aca="false">IF($J368="NA","NA",IF(AND($J368&gt;1999,S368&gt;0),"ERRO","OK"))</f>
        <v>OK</v>
      </c>
      <c r="U368" s="6" t="n">
        <f aca="false">(10-(LEN(V368)))+1</f>
        <v>10</v>
      </c>
      <c r="V368" s="6" t="n">
        <v>0</v>
      </c>
      <c r="W368" s="6" t="str">
        <f aca="false">IF($J368="NA","NA",IF(AND($J368&gt;1989,V368&gt;0),"ERRO","OK"))</f>
        <v>OK</v>
      </c>
      <c r="X368" s="6" t="n">
        <f aca="false">(10-(LEN(Y368)))+1</f>
        <v>10</v>
      </c>
      <c r="Y368" s="6" t="n">
        <v>0</v>
      </c>
      <c r="Z368" s="6" t="str">
        <f aca="false">IF($J368="NA","NA",IF(AND($J368&gt;1979,Y368&gt;0),"ERRO","OK"))</f>
        <v>OK</v>
      </c>
      <c r="AA368" s="6" t="n">
        <f aca="false">(10-(LEN(AB368)))+1</f>
        <v>10</v>
      </c>
      <c r="AB368" s="6" t="n">
        <v>0</v>
      </c>
      <c r="AC368" s="6" t="str">
        <f aca="false">IF($J368="NA","NA",IF(AND($J368&gt;1969,AB368&gt;0),"ERRO","OK"))</f>
        <v>OK</v>
      </c>
      <c r="AD368" s="6" t="n">
        <f aca="false">(10-(LEN(AE368)))+1</f>
        <v>10</v>
      </c>
      <c r="AE368" s="6" t="n">
        <v>0</v>
      </c>
      <c r="AF368" s="6" t="str">
        <f aca="false">IF($J368="NA","NA",IF(AND($J368&gt;1959,AE368&gt;0),"ERRO","OK"))</f>
        <v>OK</v>
      </c>
      <c r="AG368" s="6" t="n">
        <f aca="false">(10-(LEN(AH368)))+1</f>
        <v>10</v>
      </c>
      <c r="AH368" s="6" t="n">
        <v>0</v>
      </c>
      <c r="AI368" s="6" t="str">
        <f aca="false">IF($J368="NA","NA",IF(AND($J368&gt;1949,AH368&gt;0),"ERRO","OK"))</f>
        <v>OK</v>
      </c>
      <c r="AJ368" s="6" t="n">
        <f aca="false">(10-(LEN(AK368)))+1</f>
        <v>10</v>
      </c>
      <c r="AK368" s="6" t="n">
        <v>0</v>
      </c>
      <c r="AL368" s="6" t="str">
        <f aca="false">IF($J368="NA","NA",IF(AND($J368&gt;1939,AK368&gt;0),"ERRO","OK"))</f>
        <v>OK</v>
      </c>
      <c r="AM368" s="6" t="n">
        <f aca="false">(10-(LEN(AN368)))+1</f>
        <v>10</v>
      </c>
      <c r="AN368" s="6" t="n">
        <v>0</v>
      </c>
      <c r="AO368" s="6" t="str">
        <f aca="false">IF($J368="NA","NA",IF(AND($J368&gt;1929,AN368&gt;0),"ERRO","OK"))</f>
        <v>OK</v>
      </c>
      <c r="AP368" s="6" t="n">
        <f aca="false">(10-(LEN(AQ368)))+1</f>
        <v>10</v>
      </c>
      <c r="AQ368" s="6" t="n">
        <v>0</v>
      </c>
      <c r="AR368" s="6" t="str">
        <f aca="false">IF($J368="NA","NA",IF(AND($J368&gt;1919,AQ368&gt;0),"ERRO","OK"))</f>
        <v>OK</v>
      </c>
      <c r="AS368" s="6" t="n">
        <f aca="false">(10-(LEN(AT368)))+1</f>
        <v>10</v>
      </c>
      <c r="AT368" s="6" t="n">
        <v>0</v>
      </c>
      <c r="AU368" s="6" t="str">
        <f aca="false">IF($J368="NA","NA",IF(AND($J368&gt;1909,AT368&gt;0),"ERRO","OK"))</f>
        <v>OK</v>
      </c>
      <c r="AV368" s="6" t="n">
        <f aca="false">(10-(LEN(AW368)))+1</f>
        <v>10</v>
      </c>
      <c r="AW368" s="6" t="n">
        <v>0</v>
      </c>
      <c r="AX368" s="6" t="str">
        <f aca="false">IF($J368="NA","NA",IF(AND($J368&gt;1899,AW368&gt;0),"ERRO","OK"))</f>
        <v>OK</v>
      </c>
    </row>
    <row r="369" customFormat="false" ht="15" hidden="false" customHeight="false" outlineLevel="0" collapsed="false">
      <c r="A369" s="7" t="n">
        <v>367</v>
      </c>
      <c r="B369" s="0" t="s">
        <v>386</v>
      </c>
      <c r="C369" s="8" t="n">
        <v>45333</v>
      </c>
      <c r="D369" s="6" t="n">
        <v>0</v>
      </c>
      <c r="E369" s="0" t="s">
        <v>16</v>
      </c>
      <c r="F369" s="0" t="s">
        <v>17</v>
      </c>
      <c r="G369" s="9" t="str">
        <f aca="false">IF(OR(N369="ERRO",Q369="ERRO",T369="ERRO",W369="ERRO",Z369="ERRO",AC369="ERRO",AF369="ERRO",AI369="ERRO",AL369="ERRO",AO369="ERRO",AR369="ERRO",AU369="ERRO",AX369="ERRO"),"ERRO","OK")</f>
        <v>ERRO</v>
      </c>
      <c r="H369" s="9" t="n">
        <f aca="false">COUNTIF(L369:AX369,"ERRO")</f>
        <v>1</v>
      </c>
      <c r="I369" s="9" t="s">
        <v>18</v>
      </c>
      <c r="J369" s="10" t="n">
        <v>1904</v>
      </c>
      <c r="K369" s="10" t="n">
        <v>1997</v>
      </c>
      <c r="L369" s="6" t="n">
        <f aca="false">(10-(LEN(M369)))+1</f>
        <v>7</v>
      </c>
      <c r="M369" s="6" t="n">
        <v>3332</v>
      </c>
      <c r="N369" s="6" t="str">
        <f aca="false">IF($J369="NA","NA",IF(AND($J369&gt;2019,M369&gt;0),"ERRO","OK"))</f>
        <v>OK</v>
      </c>
      <c r="O369" s="6" t="n">
        <f aca="false">(10-(LEN(P369)))+1</f>
        <v>7</v>
      </c>
      <c r="P369" s="6" t="n">
        <v>3705</v>
      </c>
      <c r="Q369" s="6" t="str">
        <f aca="false">IF($J369="NA","NA",IF(AND($J369&gt;2009,P369&gt;0),"ERRO","OK"))</f>
        <v>OK</v>
      </c>
      <c r="R369" s="6" t="n">
        <f aca="false">(10-(LEN(S369)))+1</f>
        <v>7</v>
      </c>
      <c r="S369" s="6" t="n">
        <v>6512</v>
      </c>
      <c r="T369" s="6" t="str">
        <f aca="false">IF($J369="NA","NA",IF(AND($J369&gt;1999,S369&gt;0),"ERRO","OK"))</f>
        <v>OK</v>
      </c>
      <c r="U369" s="6" t="n">
        <f aca="false">(10-(LEN(V369)))+1</f>
        <v>7</v>
      </c>
      <c r="V369" s="6" t="n">
        <v>8325</v>
      </c>
      <c r="W369" s="6" t="str">
        <f aca="false">IF($J369="NA","NA",IF(AND($J369&gt;1989,V369&gt;0),"ERRO","OK"))</f>
        <v>OK</v>
      </c>
      <c r="X369" s="6" t="n">
        <f aca="false">(10-(LEN(Y369)))+1</f>
        <v>6</v>
      </c>
      <c r="Y369" s="6" t="n">
        <v>13003</v>
      </c>
      <c r="Z369" s="6" t="str">
        <f aca="false">IF($J369="NA","NA",IF(AND($J369&gt;1979,Y369&gt;0),"ERRO","OK"))</f>
        <v>OK</v>
      </c>
      <c r="AA369" s="6" t="n">
        <f aca="false">(10-(LEN(AB369)))+1</f>
        <v>6</v>
      </c>
      <c r="AB369" s="6" t="n">
        <v>12247</v>
      </c>
      <c r="AC369" s="6" t="str">
        <f aca="false">IF($J369="NA","NA",IF(AND($J369&gt;1969,AB369&gt;0),"ERRO","OK"))</f>
        <v>OK</v>
      </c>
      <c r="AD369" s="6" t="n">
        <f aca="false">(10-(LEN(AE369)))+1</f>
        <v>6</v>
      </c>
      <c r="AE369" s="6" t="n">
        <v>11392</v>
      </c>
      <c r="AF369" s="6" t="str">
        <f aca="false">IF($J369="NA","NA",IF(AND($J369&gt;1959,AE369&gt;0),"ERRO","OK"))</f>
        <v>OK</v>
      </c>
      <c r="AG369" s="6" t="n">
        <f aca="false">(10-(LEN(AH369)))+1</f>
        <v>6</v>
      </c>
      <c r="AH369" s="6" t="n">
        <v>20816</v>
      </c>
      <c r="AI369" s="6" t="str">
        <f aca="false">IF($J369="NA","NA",IF(AND($J369&gt;1949,AH369&gt;0),"ERRO","OK"))</f>
        <v>OK</v>
      </c>
      <c r="AJ369" s="6" t="n">
        <f aca="false">(10-(LEN(AK369)))+1</f>
        <v>6</v>
      </c>
      <c r="AK369" s="6" t="n">
        <v>28826</v>
      </c>
      <c r="AL369" s="6" t="str">
        <f aca="false">IF($J369="NA","NA",IF(AND($J369&gt;1939,AK369&gt;0),"ERRO","OK"))</f>
        <v>OK</v>
      </c>
      <c r="AM369" s="6" t="n">
        <f aca="false">(10-(LEN(AN369)))+1</f>
        <v>7</v>
      </c>
      <c r="AN369" s="6" t="n">
        <v>3504</v>
      </c>
      <c r="AO369" s="6" t="str">
        <f aca="false">IF($J369="NA","NA",IF(AND($J369&gt;1929,AN369&gt;0),"ERRO","OK"))</f>
        <v>OK</v>
      </c>
      <c r="AP369" s="6" t="n">
        <f aca="false">(10-(LEN(AQ369)))+1</f>
        <v>7</v>
      </c>
      <c r="AQ369" s="6" t="n">
        <v>1402</v>
      </c>
      <c r="AR369" s="6" t="str">
        <f aca="false">IF($J369="NA","NA",IF(AND($J369&gt;1919,AQ369&gt;0),"ERRO","OK"))</f>
        <v>OK</v>
      </c>
      <c r="AS369" s="6" t="n">
        <f aca="false">(10-(LEN(AT369)))+1</f>
        <v>8</v>
      </c>
      <c r="AT369" s="6" t="n">
        <v>928</v>
      </c>
      <c r="AU369" s="6" t="str">
        <f aca="false">IF($J369="NA","NA",IF(AND($J369&gt;1909,AT369&gt;0),"ERRO","OK"))</f>
        <v>OK</v>
      </c>
      <c r="AV369" s="6" t="n">
        <f aca="false">(10-(LEN(AW369)))+1</f>
        <v>7</v>
      </c>
      <c r="AW369" s="6" t="n">
        <v>1935</v>
      </c>
      <c r="AX369" s="6" t="str">
        <f aca="false">IF($J369="NA","NA",IF(AND($J369&gt;1899,AW369&gt;0),"ERRO","OK"))</f>
        <v>ERRO</v>
      </c>
    </row>
    <row r="370" customFormat="false" ht="15" hidden="false" customHeight="false" outlineLevel="0" collapsed="false">
      <c r="A370" s="7" t="n">
        <v>368</v>
      </c>
      <c r="B370" s="0" t="s">
        <v>387</v>
      </c>
      <c r="C370" s="8" t="n">
        <v>45333</v>
      </c>
      <c r="D370" s="6" t="n">
        <v>0</v>
      </c>
      <c r="E370" s="0" t="s">
        <v>16</v>
      </c>
      <c r="F370" s="0" t="s">
        <v>17</v>
      </c>
      <c r="G370" s="9" t="str">
        <f aca="false">IF(OR(N370="ERRO",Q370="ERRO",T370="ERRO",W370="ERRO",Z370="ERRO",AC370="ERRO",AF370="ERRO",AI370="ERRO",AL370="ERRO",AO370="ERRO",AR370="ERRO",AU370="ERRO",AX370="ERRO"),"ERRO","OK")</f>
        <v>OK</v>
      </c>
      <c r="H370" s="9" t="n">
        <f aca="false">COUNTIF(L370:AX370,"ERRO")</f>
        <v>0</v>
      </c>
      <c r="I370" s="9" t="s">
        <v>18</v>
      </c>
      <c r="J370" s="10" t="n">
        <v>1857</v>
      </c>
      <c r="K370" s="10" t="n">
        <v>1926</v>
      </c>
      <c r="L370" s="6" t="n">
        <f aca="false">(10-(LEN(M370)))+1</f>
        <v>8</v>
      </c>
      <c r="M370" s="6" t="n">
        <v>916</v>
      </c>
      <c r="N370" s="6" t="str">
        <f aca="false">IF($J370="NA","NA",IF(AND($J370&gt;2019,M370&gt;0),"ERRO","OK"))</f>
        <v>OK</v>
      </c>
      <c r="O370" s="6" t="n">
        <f aca="false">(10-(LEN(P370)))+1</f>
        <v>8</v>
      </c>
      <c r="P370" s="6" t="n">
        <v>823</v>
      </c>
      <c r="Q370" s="6" t="str">
        <f aca="false">IF($J370="NA","NA",IF(AND($J370&gt;2009,P370&gt;0),"ERRO","OK"))</f>
        <v>OK</v>
      </c>
      <c r="R370" s="6" t="n">
        <f aca="false">(10-(LEN(S370)))+1</f>
        <v>7</v>
      </c>
      <c r="S370" s="6" t="n">
        <v>1345</v>
      </c>
      <c r="T370" s="6" t="str">
        <f aca="false">IF($J370="NA","NA",IF(AND($J370&gt;1999,S370&gt;0),"ERRO","OK"))</f>
        <v>OK</v>
      </c>
      <c r="U370" s="6" t="n">
        <f aca="false">(10-(LEN(V370)))+1</f>
        <v>8</v>
      </c>
      <c r="V370" s="6" t="n">
        <v>552</v>
      </c>
      <c r="W370" s="6" t="str">
        <f aca="false">IF($J370="NA","NA",IF(AND($J370&gt;1989,V370&gt;0),"ERRO","OK"))</f>
        <v>OK</v>
      </c>
      <c r="X370" s="6" t="n">
        <f aca="false">(10-(LEN(Y370)))+1</f>
        <v>8</v>
      </c>
      <c r="Y370" s="6" t="n">
        <v>268</v>
      </c>
      <c r="Z370" s="6" t="str">
        <f aca="false">IF($J370="NA","NA",IF(AND($J370&gt;1979,Y370&gt;0),"ERRO","OK"))</f>
        <v>OK</v>
      </c>
      <c r="AA370" s="6" t="n">
        <f aca="false">(10-(LEN(AB370)))+1</f>
        <v>7</v>
      </c>
      <c r="AB370" s="6" t="n">
        <v>1348</v>
      </c>
      <c r="AC370" s="6" t="str">
        <f aca="false">IF($J370="NA","NA",IF(AND($J370&gt;1969,AB370&gt;0),"ERRO","OK"))</f>
        <v>OK</v>
      </c>
      <c r="AD370" s="6" t="n">
        <f aca="false">(10-(LEN(AE370)))+1</f>
        <v>10</v>
      </c>
      <c r="AE370" s="6" t="n">
        <v>0</v>
      </c>
      <c r="AF370" s="6" t="str">
        <f aca="false">IF($J370="NA","NA",IF(AND($J370&gt;1959,AE370&gt;0),"ERRO","OK"))</f>
        <v>OK</v>
      </c>
      <c r="AG370" s="6" t="n">
        <f aca="false">(10-(LEN(AH370)))+1</f>
        <v>8</v>
      </c>
      <c r="AH370" s="6" t="n">
        <v>110</v>
      </c>
      <c r="AI370" s="6" t="str">
        <f aca="false">IF($J370="NA","NA",IF(AND($J370&gt;1949,AH370&gt;0),"ERRO","OK"))</f>
        <v>OK</v>
      </c>
      <c r="AJ370" s="6" t="n">
        <f aca="false">(10-(LEN(AK370)))+1</f>
        <v>10</v>
      </c>
      <c r="AK370" s="6" t="n">
        <v>0</v>
      </c>
      <c r="AL370" s="6" t="str">
        <f aca="false">IF($J370="NA","NA",IF(AND($J370&gt;1939,AK370&gt;0),"ERRO","OK"))</f>
        <v>OK</v>
      </c>
      <c r="AM370" s="6" t="n">
        <f aca="false">(10-(LEN(AN370)))+1</f>
        <v>8</v>
      </c>
      <c r="AN370" s="6" t="n">
        <v>152</v>
      </c>
      <c r="AO370" s="6" t="str">
        <f aca="false">IF($J370="NA","NA",IF(AND($J370&gt;1929,AN370&gt;0),"ERRO","OK"))</f>
        <v>OK</v>
      </c>
      <c r="AP370" s="6" t="n">
        <f aca="false">(10-(LEN(AQ370)))+1</f>
        <v>8</v>
      </c>
      <c r="AQ370" s="6" t="n">
        <v>300</v>
      </c>
      <c r="AR370" s="6" t="str">
        <f aca="false">IF($J370="NA","NA",IF(AND($J370&gt;1919,AQ370&gt;0),"ERRO","OK"))</f>
        <v>OK</v>
      </c>
      <c r="AS370" s="6" t="n">
        <f aca="false">(10-(LEN(AT370)))+1</f>
        <v>10</v>
      </c>
      <c r="AT370" s="6" t="n">
        <v>0</v>
      </c>
      <c r="AU370" s="6" t="str">
        <f aca="false">IF($J370="NA","NA",IF(AND($J370&gt;1909,AT370&gt;0),"ERRO","OK"))</f>
        <v>OK</v>
      </c>
      <c r="AV370" s="6" t="n">
        <f aca="false">(10-(LEN(AW370)))+1</f>
        <v>8</v>
      </c>
      <c r="AW370" s="6" t="n">
        <v>645</v>
      </c>
      <c r="AX370" s="6" t="str">
        <f aca="false">IF($J370="NA","NA",IF(AND($J370&gt;1899,AW370&gt;0),"ERRO","OK"))</f>
        <v>OK</v>
      </c>
    </row>
    <row r="371" customFormat="false" ht="15" hidden="false" customHeight="false" outlineLevel="0" collapsed="false">
      <c r="A371" s="7" t="n">
        <v>369</v>
      </c>
      <c r="B371" s="0" t="s">
        <v>388</v>
      </c>
      <c r="C371" s="8" t="n">
        <v>45333</v>
      </c>
      <c r="D371" s="6" t="n">
        <v>0</v>
      </c>
      <c r="E371" s="0" t="s">
        <v>16</v>
      </c>
      <c r="F371" s="0" t="s">
        <v>17</v>
      </c>
      <c r="G371" s="9" t="str">
        <f aca="false">IF(OR(N371="ERRO",Q371="ERRO",T371="ERRO",W371="ERRO",Z371="ERRO",AC371="ERRO",AF371="ERRO",AI371="ERRO",AL371="ERRO",AO371="ERRO",AR371="ERRO",AU371="ERRO",AX371="ERRO"),"ERRO","OK")</f>
        <v>OK</v>
      </c>
      <c r="H371" s="9" t="n">
        <f aca="false">COUNTIF(L371:AX371,"ERRO")</f>
        <v>0</v>
      </c>
      <c r="I371" s="9" t="s">
        <v>18</v>
      </c>
      <c r="J371" s="10" t="n">
        <v>1867</v>
      </c>
      <c r="K371" s="10" t="n">
        <v>1945</v>
      </c>
      <c r="L371" s="6" t="n">
        <f aca="false">(10-(LEN(M371)))+1</f>
        <v>8</v>
      </c>
      <c r="M371" s="6" t="n">
        <v>833</v>
      </c>
      <c r="N371" s="6" t="str">
        <f aca="false">IF($J371="NA","NA",IF(AND($J371&gt;2019,M371&gt;0),"ERRO","OK"))</f>
        <v>OK</v>
      </c>
      <c r="O371" s="6" t="n">
        <f aca="false">(10-(LEN(P371)))+1</f>
        <v>8</v>
      </c>
      <c r="P371" s="6" t="n">
        <v>652</v>
      </c>
      <c r="Q371" s="6" t="str">
        <f aca="false">IF($J371="NA","NA",IF(AND($J371&gt;2009,P371&gt;0),"ERRO","OK"))</f>
        <v>OK</v>
      </c>
      <c r="R371" s="6" t="n">
        <f aca="false">(10-(LEN(S371)))+1</f>
        <v>7</v>
      </c>
      <c r="S371" s="6" t="n">
        <v>1176</v>
      </c>
      <c r="T371" s="6" t="str">
        <f aca="false">IF($J371="NA","NA",IF(AND($J371&gt;1999,S371&gt;0),"ERRO","OK"))</f>
        <v>OK</v>
      </c>
      <c r="U371" s="6" t="n">
        <f aca="false">(10-(LEN(V371)))+1</f>
        <v>8</v>
      </c>
      <c r="V371" s="6" t="n">
        <v>138</v>
      </c>
      <c r="W371" s="6" t="str">
        <f aca="false">IF($J371="NA","NA",IF(AND($J371&gt;1989,V371&gt;0),"ERRO","OK"))</f>
        <v>OK</v>
      </c>
      <c r="X371" s="6" t="n">
        <f aca="false">(10-(LEN(Y371)))+1</f>
        <v>8</v>
      </c>
      <c r="Y371" s="6" t="n">
        <v>321</v>
      </c>
      <c r="Z371" s="6" t="str">
        <f aca="false">IF($J371="NA","NA",IF(AND($J371&gt;1979,Y371&gt;0),"ERRO","OK"))</f>
        <v>OK</v>
      </c>
      <c r="AA371" s="6" t="n">
        <f aca="false">(10-(LEN(AB371)))+1</f>
        <v>8</v>
      </c>
      <c r="AB371" s="6" t="n">
        <v>996</v>
      </c>
      <c r="AC371" s="6" t="str">
        <f aca="false">IF($J371="NA","NA",IF(AND($J371&gt;1969,AB371&gt;0),"ERRO","OK"))</f>
        <v>OK</v>
      </c>
      <c r="AD371" s="6" t="n">
        <f aca="false">(10-(LEN(AE371)))+1</f>
        <v>8</v>
      </c>
      <c r="AE371" s="6" t="n">
        <v>269</v>
      </c>
      <c r="AF371" s="6" t="str">
        <f aca="false">IF($J371="NA","NA",IF(AND($J371&gt;1959,AE371&gt;0),"ERRO","OK"))</f>
        <v>OK</v>
      </c>
      <c r="AG371" s="6" t="n">
        <f aca="false">(10-(LEN(AH371)))+1</f>
        <v>8</v>
      </c>
      <c r="AH371" s="6" t="n">
        <v>771</v>
      </c>
      <c r="AI371" s="6" t="str">
        <f aca="false">IF($J371="NA","NA",IF(AND($J371&gt;1949,AH371&gt;0),"ERRO","OK"))</f>
        <v>OK</v>
      </c>
      <c r="AJ371" s="6" t="n">
        <f aca="false">(10-(LEN(AK371)))+1</f>
        <v>8</v>
      </c>
      <c r="AK371" s="6" t="n">
        <v>975</v>
      </c>
      <c r="AL371" s="6" t="str">
        <f aca="false">IF($J371="NA","NA",IF(AND($J371&gt;1939,AK371&gt;0),"ERRO","OK"))</f>
        <v>OK</v>
      </c>
      <c r="AM371" s="6" t="n">
        <f aca="false">(10-(LEN(AN371)))+1</f>
        <v>8</v>
      </c>
      <c r="AN371" s="6" t="n">
        <v>305</v>
      </c>
      <c r="AO371" s="6" t="str">
        <f aca="false">IF($J371="NA","NA",IF(AND($J371&gt;1929,AN371&gt;0),"ERRO","OK"))</f>
        <v>OK</v>
      </c>
      <c r="AP371" s="6" t="n">
        <f aca="false">(10-(LEN(AQ371)))+1</f>
        <v>7</v>
      </c>
      <c r="AQ371" s="6" t="n">
        <v>3104</v>
      </c>
      <c r="AR371" s="6" t="str">
        <f aca="false">IF($J371="NA","NA",IF(AND($J371&gt;1919,AQ371&gt;0),"ERRO","OK"))</f>
        <v>OK</v>
      </c>
      <c r="AS371" s="6" t="n">
        <f aca="false">(10-(LEN(AT371)))+1</f>
        <v>7</v>
      </c>
      <c r="AT371" s="6" t="n">
        <v>2784</v>
      </c>
      <c r="AU371" s="6" t="str">
        <f aca="false">IF($J371="NA","NA",IF(AND($J371&gt;1909,AT371&gt;0),"ERRO","OK"))</f>
        <v>OK</v>
      </c>
      <c r="AV371" s="6" t="n">
        <f aca="false">(10-(LEN(AW371)))+1</f>
        <v>10</v>
      </c>
      <c r="AW371" s="6" t="n">
        <v>0</v>
      </c>
      <c r="AX371" s="6" t="str">
        <f aca="false">IF($J371="NA","NA",IF(AND($J371&gt;1899,AW371&gt;0),"ERRO","OK"))</f>
        <v>OK</v>
      </c>
    </row>
    <row r="372" customFormat="false" ht="15" hidden="false" customHeight="false" outlineLevel="0" collapsed="false">
      <c r="A372" s="7" t="n">
        <v>370</v>
      </c>
      <c r="B372" s="0" t="s">
        <v>389</v>
      </c>
      <c r="C372" s="8" t="n">
        <v>45333</v>
      </c>
      <c r="D372" s="6" t="n">
        <v>0</v>
      </c>
      <c r="E372" s="0" t="s">
        <v>16</v>
      </c>
      <c r="F372" s="0" t="s">
        <v>17</v>
      </c>
      <c r="G372" s="9" t="str">
        <f aca="false">IF(OR(N372="ERRO",Q372="ERRO",T372="ERRO",W372="ERRO",Z372="ERRO",AC372="ERRO",AF372="ERRO",AI372="ERRO",AL372="ERRO",AO372="ERRO",AR372="ERRO",AU372="ERRO",AX372="ERRO"),"ERRO","OK")</f>
        <v>OK</v>
      </c>
      <c r="H372" s="9" t="n">
        <f aca="false">COUNTIF(L372:AX372,"ERRO")</f>
        <v>0</v>
      </c>
      <c r="I372" s="9" t="s">
        <v>18</v>
      </c>
      <c r="J372" s="10" t="n">
        <v>1889</v>
      </c>
      <c r="K372" s="10" t="n">
        <v>1963</v>
      </c>
      <c r="L372" s="6" t="n">
        <f aca="false">(10-(LEN(M372)))+1</f>
        <v>6</v>
      </c>
      <c r="M372" s="6" t="n">
        <v>67214</v>
      </c>
      <c r="N372" s="6" t="str">
        <f aca="false">IF($J372="NA","NA",IF(AND($J372&gt;2019,M372&gt;0),"ERRO","OK"))</f>
        <v>OK</v>
      </c>
      <c r="O372" s="6" t="n">
        <f aca="false">(10-(LEN(P372)))+1</f>
        <v>6</v>
      </c>
      <c r="P372" s="6" t="n">
        <v>84971</v>
      </c>
      <c r="Q372" s="6" t="str">
        <f aca="false">IF($J372="NA","NA",IF(AND($J372&gt;2009,P372&gt;0),"ERRO","OK"))</f>
        <v>OK</v>
      </c>
      <c r="R372" s="6" t="n">
        <f aca="false">(10-(LEN(S372)))+1</f>
        <v>5</v>
      </c>
      <c r="S372" s="6" t="n">
        <v>108191</v>
      </c>
      <c r="T372" s="6" t="str">
        <f aca="false">IF($J372="NA","NA",IF(AND($J372&gt;1999,S372&gt;0),"ERRO","OK"))</f>
        <v>OK</v>
      </c>
      <c r="U372" s="6" t="n">
        <f aca="false">(10-(LEN(V372)))+1</f>
        <v>5</v>
      </c>
      <c r="V372" s="6" t="n">
        <v>116176</v>
      </c>
      <c r="W372" s="6" t="str">
        <f aca="false">IF($J372="NA","NA",IF(AND($J372&gt;1989,V372&gt;0),"ERRO","OK"))</f>
        <v>OK</v>
      </c>
      <c r="X372" s="6" t="n">
        <f aca="false">(10-(LEN(Y372)))+1</f>
        <v>6</v>
      </c>
      <c r="Y372" s="6" t="n">
        <v>90003</v>
      </c>
      <c r="Z372" s="6" t="str">
        <f aca="false">IF($J372="NA","NA",IF(AND($J372&gt;1979,Y372&gt;0),"ERRO","OK"))</f>
        <v>OK</v>
      </c>
      <c r="AA372" s="6" t="n">
        <f aca="false">(10-(LEN(AB372)))+1</f>
        <v>5</v>
      </c>
      <c r="AB372" s="6" t="n">
        <v>103308</v>
      </c>
      <c r="AC372" s="6" t="str">
        <f aca="false">IF($J372="NA","NA",IF(AND($J372&gt;1969,AB372&gt;0),"ERRO","OK"))</f>
        <v>OK</v>
      </c>
      <c r="AD372" s="6" t="n">
        <f aca="false">(10-(LEN(AE372)))+1</f>
        <v>6</v>
      </c>
      <c r="AE372" s="6" t="n">
        <v>91229</v>
      </c>
      <c r="AF372" s="6" t="str">
        <f aca="false">IF($J372="NA","NA",IF(AND($J372&gt;1959,AE372&gt;0),"ERRO","OK"))</f>
        <v>OK</v>
      </c>
      <c r="AG372" s="6" t="n">
        <f aca="false">(10-(LEN(AH372)))+1</f>
        <v>6</v>
      </c>
      <c r="AH372" s="6" t="n">
        <v>83705</v>
      </c>
      <c r="AI372" s="6" t="str">
        <f aca="false">IF($J372="NA","NA",IF(AND($J372&gt;1949,AH372&gt;0),"ERRO","OK"))</f>
        <v>OK</v>
      </c>
      <c r="AJ372" s="6" t="n">
        <f aca="false">(10-(LEN(AK372)))+1</f>
        <v>6</v>
      </c>
      <c r="AK372" s="6" t="n">
        <v>35093</v>
      </c>
      <c r="AL372" s="6" t="str">
        <f aca="false">IF($J372="NA","NA",IF(AND($J372&gt;1939,AK372&gt;0),"ERRO","OK"))</f>
        <v>OK</v>
      </c>
      <c r="AM372" s="6" t="n">
        <f aca="false">(10-(LEN(AN372)))+1</f>
        <v>6</v>
      </c>
      <c r="AN372" s="6" t="n">
        <v>33817</v>
      </c>
      <c r="AO372" s="6" t="str">
        <f aca="false">IF($J372="NA","NA",IF(AND($J372&gt;1929,AN372&gt;0),"ERRO","OK"))</f>
        <v>OK</v>
      </c>
      <c r="AP372" s="6" t="n">
        <f aca="false">(10-(LEN(AQ372)))+1</f>
        <v>7</v>
      </c>
      <c r="AQ372" s="6" t="n">
        <v>3605</v>
      </c>
      <c r="AR372" s="6" t="str">
        <f aca="false">IF($J372="NA","NA",IF(AND($J372&gt;1919,AQ372&gt;0),"ERRO","OK"))</f>
        <v>OK</v>
      </c>
      <c r="AS372" s="6" t="n">
        <f aca="false">(10-(LEN(AT372)))+1</f>
        <v>10</v>
      </c>
      <c r="AT372" s="6" t="n">
        <v>0</v>
      </c>
      <c r="AU372" s="6" t="str">
        <f aca="false">IF($J372="NA","NA",IF(AND($J372&gt;1909,AT372&gt;0),"ERRO","OK"))</f>
        <v>OK</v>
      </c>
      <c r="AV372" s="6" t="n">
        <f aca="false">(10-(LEN(AW372)))+1</f>
        <v>10</v>
      </c>
      <c r="AW372" s="6" t="n">
        <v>0</v>
      </c>
      <c r="AX372" s="6" t="str">
        <f aca="false">IF($J372="NA","NA",IF(AND($J372&gt;1899,AW372&gt;0),"ERRO","OK"))</f>
        <v>OK</v>
      </c>
    </row>
    <row r="373" customFormat="false" ht="15" hidden="false" customHeight="false" outlineLevel="0" collapsed="false">
      <c r="A373" s="7" t="n">
        <v>371</v>
      </c>
      <c r="B373" s="0" t="s">
        <v>390</v>
      </c>
      <c r="C373" s="8" t="n">
        <v>45333</v>
      </c>
      <c r="D373" s="6" t="n">
        <v>0</v>
      </c>
      <c r="E373" s="0" t="s">
        <v>16</v>
      </c>
      <c r="F373" s="0" t="s">
        <v>17</v>
      </c>
      <c r="G373" s="9" t="str">
        <f aca="false">IF(OR(N373="ERRO",Q373="ERRO",T373="ERRO",W373="ERRO",Z373="ERRO",AC373="ERRO",AF373="ERRO",AI373="ERRO",AL373="ERRO",AO373="ERRO",AR373="ERRO",AU373="ERRO",AX373="ERRO"),"ERRO","OK")</f>
        <v>OK</v>
      </c>
      <c r="H373" s="9" t="n">
        <f aca="false">COUNTIF(L373:AX373,"ERRO")</f>
        <v>0</v>
      </c>
      <c r="I373" s="9" t="s">
        <v>18</v>
      </c>
      <c r="J373" s="10" t="n">
        <v>1876</v>
      </c>
      <c r="K373" s="10" t="n">
        <v>1944</v>
      </c>
      <c r="L373" s="6" t="n">
        <f aca="false">(10-(LEN(M373)))+1</f>
        <v>6</v>
      </c>
      <c r="M373" s="6" t="n">
        <v>14784</v>
      </c>
      <c r="N373" s="6" t="str">
        <f aca="false">IF($J373="NA","NA",IF(AND($J373&gt;2019,M373&gt;0),"ERRO","OK"))</f>
        <v>OK</v>
      </c>
      <c r="O373" s="6" t="n">
        <f aca="false">(10-(LEN(P373)))+1</f>
        <v>6</v>
      </c>
      <c r="P373" s="6" t="n">
        <v>18147</v>
      </c>
      <c r="Q373" s="6" t="str">
        <f aca="false">IF($J373="NA","NA",IF(AND($J373&gt;2009,P373&gt;0),"ERRO","OK"))</f>
        <v>OK</v>
      </c>
      <c r="R373" s="6" t="n">
        <f aca="false">(10-(LEN(S373)))+1</f>
        <v>6</v>
      </c>
      <c r="S373" s="6" t="n">
        <v>34663</v>
      </c>
      <c r="T373" s="6" t="str">
        <f aca="false">IF($J373="NA","NA",IF(AND($J373&gt;1999,S373&gt;0),"ERRO","OK"))</f>
        <v>OK</v>
      </c>
      <c r="U373" s="6" t="n">
        <f aca="false">(10-(LEN(V373)))+1</f>
        <v>6</v>
      </c>
      <c r="V373" s="6" t="n">
        <v>25388</v>
      </c>
      <c r="W373" s="6" t="str">
        <f aca="false">IF($J373="NA","NA",IF(AND($J373&gt;1989,V373&gt;0),"ERRO","OK"))</f>
        <v>OK</v>
      </c>
      <c r="X373" s="6" t="n">
        <f aca="false">(10-(LEN(Y373)))+1</f>
        <v>6</v>
      </c>
      <c r="Y373" s="6" t="n">
        <v>30875</v>
      </c>
      <c r="Z373" s="6" t="str">
        <f aca="false">IF($J373="NA","NA",IF(AND($J373&gt;1979,Y373&gt;0),"ERRO","OK"))</f>
        <v>OK</v>
      </c>
      <c r="AA373" s="6" t="n">
        <f aca="false">(10-(LEN(AB373)))+1</f>
        <v>6</v>
      </c>
      <c r="AB373" s="6" t="n">
        <v>37151</v>
      </c>
      <c r="AC373" s="6" t="str">
        <f aca="false">IF($J373="NA","NA",IF(AND($J373&gt;1969,AB373&gt;0),"ERRO","OK"))</f>
        <v>OK</v>
      </c>
      <c r="AD373" s="6" t="n">
        <f aca="false">(10-(LEN(AE373)))+1</f>
        <v>6</v>
      </c>
      <c r="AE373" s="6" t="n">
        <v>48081</v>
      </c>
      <c r="AF373" s="6" t="str">
        <f aca="false">IF($J373="NA","NA",IF(AND($J373&gt;1959,AE373&gt;0),"ERRO","OK"))</f>
        <v>OK</v>
      </c>
      <c r="AG373" s="6" t="n">
        <f aca="false">(10-(LEN(AH373)))+1</f>
        <v>6</v>
      </c>
      <c r="AH373" s="6" t="n">
        <v>27204</v>
      </c>
      <c r="AI373" s="6" t="str">
        <f aca="false">IF($J373="NA","NA",IF(AND($J373&gt;1949,AH373&gt;0),"ERRO","OK"))</f>
        <v>OK</v>
      </c>
      <c r="AJ373" s="6" t="n">
        <f aca="false">(10-(LEN(AK373)))+1</f>
        <v>6</v>
      </c>
      <c r="AK373" s="6" t="n">
        <v>13647</v>
      </c>
      <c r="AL373" s="6" t="str">
        <f aca="false">IF($J373="NA","NA",IF(AND($J373&gt;1939,AK373&gt;0),"ERRO","OK"))</f>
        <v>OK</v>
      </c>
      <c r="AM373" s="6" t="n">
        <f aca="false">(10-(LEN(AN373)))+1</f>
        <v>6</v>
      </c>
      <c r="AN373" s="6" t="n">
        <v>10968</v>
      </c>
      <c r="AO373" s="6" t="str">
        <f aca="false">IF($J373="NA","NA",IF(AND($J373&gt;1929,AN373&gt;0),"ERRO","OK"))</f>
        <v>OK</v>
      </c>
      <c r="AP373" s="6" t="n">
        <f aca="false">(10-(LEN(AQ373)))+1</f>
        <v>7</v>
      </c>
      <c r="AQ373" s="6" t="n">
        <v>2704</v>
      </c>
      <c r="AR373" s="6" t="str">
        <f aca="false">IF($J373="NA","NA",IF(AND($J373&gt;1919,AQ373&gt;0),"ERRO","OK"))</f>
        <v>OK</v>
      </c>
      <c r="AS373" s="6" t="n">
        <f aca="false">(10-(LEN(AT373)))+1</f>
        <v>7</v>
      </c>
      <c r="AT373" s="6" t="n">
        <v>1031</v>
      </c>
      <c r="AU373" s="6" t="str">
        <f aca="false">IF($J373="NA","NA",IF(AND($J373&gt;1909,AT373&gt;0),"ERRO","OK"))</f>
        <v>OK</v>
      </c>
      <c r="AV373" s="6" t="n">
        <f aca="false">(10-(LEN(AW373)))+1</f>
        <v>7</v>
      </c>
      <c r="AW373" s="6" t="n">
        <v>1290</v>
      </c>
      <c r="AX373" s="6" t="str">
        <f aca="false">IF($J373="NA","NA",IF(AND($J373&gt;1899,AW373&gt;0),"ERRO","OK"))</f>
        <v>OK</v>
      </c>
    </row>
    <row r="374" customFormat="false" ht="15" hidden="false" customHeight="false" outlineLevel="0" collapsed="false">
      <c r="A374" s="7" t="n">
        <v>372</v>
      </c>
      <c r="B374" s="0" t="s">
        <v>391</v>
      </c>
      <c r="C374" s="8" t="n">
        <v>45333</v>
      </c>
      <c r="D374" s="6" t="n">
        <v>0</v>
      </c>
      <c r="E374" s="0" t="s">
        <v>16</v>
      </c>
      <c r="F374" s="0" t="s">
        <v>17</v>
      </c>
      <c r="G374" s="9" t="str">
        <f aca="false">IF(OR(N374="ERRO",Q374="ERRO",T374="ERRO",W374="ERRO",Z374="ERRO",AC374="ERRO",AF374="ERRO",AI374="ERRO",AL374="ERRO",AO374="ERRO",AR374="ERRO",AU374="ERRO",AX374="ERRO"),"ERRO","OK")</f>
        <v>OK</v>
      </c>
      <c r="H374" s="9" t="n">
        <f aca="false">COUNTIF(L374:AX374,"ERRO")</f>
        <v>0</v>
      </c>
      <c r="I374" s="9" t="s">
        <v>18</v>
      </c>
      <c r="J374" s="10" t="n">
        <v>1859</v>
      </c>
      <c r="K374" s="10" t="n">
        <v>1920</v>
      </c>
      <c r="L374" s="6" t="n">
        <f aca="false">(10-(LEN(M374)))+1</f>
        <v>8</v>
      </c>
      <c r="M374" s="6" t="n">
        <v>876</v>
      </c>
      <c r="N374" s="6" t="str">
        <f aca="false">IF($J374="NA","NA",IF(AND($J374&gt;2019,M374&gt;0),"ERRO","OK"))</f>
        <v>OK</v>
      </c>
      <c r="O374" s="6" t="n">
        <f aca="false">(10-(LEN(P374)))+1</f>
        <v>7</v>
      </c>
      <c r="P374" s="6" t="n">
        <v>1981</v>
      </c>
      <c r="Q374" s="6" t="str">
        <f aca="false">IF($J374="NA","NA",IF(AND($J374&gt;2009,P374&gt;0),"ERRO","OK"))</f>
        <v>OK</v>
      </c>
      <c r="R374" s="6" t="n">
        <f aca="false">(10-(LEN(S374)))+1</f>
        <v>7</v>
      </c>
      <c r="S374" s="6" t="n">
        <v>3088</v>
      </c>
      <c r="T374" s="6" t="str">
        <f aca="false">IF($J374="NA","NA",IF(AND($J374&gt;1999,S374&gt;0),"ERRO","OK"))</f>
        <v>OK</v>
      </c>
      <c r="U374" s="6" t="n">
        <f aca="false">(10-(LEN(V374)))+1</f>
        <v>7</v>
      </c>
      <c r="V374" s="6" t="n">
        <v>2563</v>
      </c>
      <c r="W374" s="6" t="str">
        <f aca="false">IF($J374="NA","NA",IF(AND($J374&gt;1989,V374&gt;0),"ERRO","OK"))</f>
        <v>OK</v>
      </c>
      <c r="X374" s="6" t="n">
        <f aca="false">(10-(LEN(Y374)))+1</f>
        <v>7</v>
      </c>
      <c r="Y374" s="6" t="n">
        <v>2250</v>
      </c>
      <c r="Z374" s="6" t="str">
        <f aca="false">IF($J374="NA","NA",IF(AND($J374&gt;1979,Y374&gt;0),"ERRO","OK"))</f>
        <v>OK</v>
      </c>
      <c r="AA374" s="6" t="n">
        <f aca="false">(10-(LEN(AB374)))+1</f>
        <v>7</v>
      </c>
      <c r="AB374" s="6" t="n">
        <v>2893</v>
      </c>
      <c r="AC374" s="6" t="str">
        <f aca="false">IF($J374="NA","NA",IF(AND($J374&gt;1969,AB374&gt;0),"ERRO","OK"))</f>
        <v>OK</v>
      </c>
      <c r="AD374" s="6" t="n">
        <f aca="false">(10-(LEN(AE374)))+1</f>
        <v>7</v>
      </c>
      <c r="AE374" s="6" t="n">
        <v>1980</v>
      </c>
      <c r="AF374" s="6" t="str">
        <f aca="false">IF($J374="NA","NA",IF(AND($J374&gt;1959,AE374&gt;0),"ERRO","OK"))</f>
        <v>OK</v>
      </c>
      <c r="AG374" s="6" t="n">
        <f aca="false">(10-(LEN(AH374)))+1</f>
        <v>7</v>
      </c>
      <c r="AH374" s="6" t="n">
        <v>1158</v>
      </c>
      <c r="AI374" s="6" t="str">
        <f aca="false">IF($J374="NA","NA",IF(AND($J374&gt;1949,AH374&gt;0),"ERRO","OK"))</f>
        <v>OK</v>
      </c>
      <c r="AJ374" s="6" t="n">
        <f aca="false">(10-(LEN(AK374)))+1</f>
        <v>7</v>
      </c>
      <c r="AK374" s="6" t="n">
        <v>3224</v>
      </c>
      <c r="AL374" s="6" t="str">
        <f aca="false">IF($J374="NA","NA",IF(AND($J374&gt;1939,AK374&gt;0),"ERRO","OK"))</f>
        <v>OK</v>
      </c>
      <c r="AM374" s="6" t="n">
        <f aca="false">(10-(LEN(AN374)))+1</f>
        <v>7</v>
      </c>
      <c r="AN374" s="6" t="n">
        <v>4653</v>
      </c>
      <c r="AO374" s="6" t="str">
        <f aca="false">IF($J374="NA","NA",IF(AND($J374&gt;1929,AN374&gt;0),"ERRO","OK"))</f>
        <v>OK</v>
      </c>
      <c r="AP374" s="6" t="n">
        <f aca="false">(10-(LEN(AQ374)))+1</f>
        <v>7</v>
      </c>
      <c r="AQ374" s="6" t="n">
        <v>3688</v>
      </c>
      <c r="AR374" s="6" t="str">
        <f aca="false">IF($J374="NA","NA",IF(AND($J374&gt;1919,AQ374&gt;0),"ERRO","OK"))</f>
        <v>OK</v>
      </c>
      <c r="AS374" s="6" t="n">
        <f aca="false">(10-(LEN(AT374)))+1</f>
        <v>7</v>
      </c>
      <c r="AT374" s="6" t="n">
        <v>3041</v>
      </c>
      <c r="AU374" s="6" t="str">
        <f aca="false">IF($J374="NA","NA",IF(AND($J374&gt;1909,AT374&gt;0),"ERRO","OK"))</f>
        <v>OK</v>
      </c>
      <c r="AV374" s="6" t="n">
        <f aca="false">(10-(LEN(AW374)))+1</f>
        <v>10</v>
      </c>
      <c r="AW374" s="6" t="n">
        <v>0</v>
      </c>
      <c r="AX374" s="6" t="str">
        <f aca="false">IF($J374="NA","NA",IF(AND($J374&gt;1899,AW374&gt;0),"ERRO","OK"))</f>
        <v>OK</v>
      </c>
    </row>
    <row r="375" customFormat="false" ht="15" hidden="false" customHeight="false" outlineLevel="0" collapsed="false">
      <c r="A375" s="7" t="n">
        <v>373</v>
      </c>
      <c r="B375" s="0" t="s">
        <v>392</v>
      </c>
      <c r="C375" s="8" t="n">
        <v>45333</v>
      </c>
      <c r="D375" s="6" t="n">
        <v>0</v>
      </c>
      <c r="E375" s="0" t="s">
        <v>16</v>
      </c>
      <c r="F375" s="0" t="s">
        <v>17</v>
      </c>
      <c r="G375" s="9" t="str">
        <f aca="false">IF(OR(N375="ERRO",Q375="ERRO",T375="ERRO",W375="ERRO",Z375="ERRO",AC375="ERRO",AF375="ERRO",AI375="ERRO",AL375="ERRO",AO375="ERRO",AR375="ERRO",AU375="ERRO",AX375="ERRO"),"ERRO","OK")</f>
        <v>OK</v>
      </c>
      <c r="H375" s="9" t="n">
        <f aca="false">COUNTIF(L375:AX375,"ERRO")</f>
        <v>0</v>
      </c>
      <c r="I375" s="9" t="s">
        <v>18</v>
      </c>
      <c r="J375" s="10" t="n">
        <v>1874</v>
      </c>
      <c r="K375" s="10" t="n">
        <v>1964</v>
      </c>
      <c r="L375" s="6" t="n">
        <f aca="false">(10-(LEN(M375)))+1</f>
        <v>8</v>
      </c>
      <c r="M375" s="6" t="n">
        <v>292</v>
      </c>
      <c r="N375" s="6" t="str">
        <f aca="false">IF($J375="NA","NA",IF(AND($J375&gt;2019,M375&gt;0),"ERRO","OK"))</f>
        <v>OK</v>
      </c>
      <c r="O375" s="6" t="n">
        <f aca="false">(10-(LEN(P375)))+1</f>
        <v>9</v>
      </c>
      <c r="P375" s="6" t="n">
        <v>69</v>
      </c>
      <c r="Q375" s="6" t="str">
        <f aca="false">IF($J375="NA","NA",IF(AND($J375&gt;2009,P375&gt;0),"ERRO","OK"))</f>
        <v>OK</v>
      </c>
      <c r="R375" s="6" t="n">
        <f aca="false">(10-(LEN(S375)))+1</f>
        <v>8</v>
      </c>
      <c r="S375" s="6" t="n">
        <v>378</v>
      </c>
      <c r="T375" s="6" t="str">
        <f aca="false">IF($J375="NA","NA",IF(AND($J375&gt;1999,S375&gt;0),"ERRO","OK"))</f>
        <v>OK</v>
      </c>
      <c r="U375" s="6" t="n">
        <f aca="false">(10-(LEN(V375)))+1</f>
        <v>9</v>
      </c>
      <c r="V375" s="6" t="n">
        <v>92</v>
      </c>
      <c r="W375" s="6" t="str">
        <f aca="false">IF($J375="NA","NA",IF(AND($J375&gt;1989,V375&gt;0),"ERRO","OK"))</f>
        <v>OK</v>
      </c>
      <c r="X375" s="6" t="n">
        <f aca="false">(10-(LEN(Y375)))+1</f>
        <v>10</v>
      </c>
      <c r="Y375" s="6" t="n">
        <v>0</v>
      </c>
      <c r="Z375" s="6" t="str">
        <f aca="false">IF($J375="NA","NA",IF(AND($J375&gt;1979,Y375&gt;0),"ERRO","OK"))</f>
        <v>OK</v>
      </c>
      <c r="AA375" s="6" t="n">
        <f aca="false">(10-(LEN(AB375)))+1</f>
        <v>8</v>
      </c>
      <c r="AB375" s="6" t="n">
        <v>234</v>
      </c>
      <c r="AC375" s="6" t="str">
        <f aca="false">IF($J375="NA","NA",IF(AND($J375&gt;1969,AB375&gt;0),"ERRO","OK"))</f>
        <v>OK</v>
      </c>
      <c r="AD375" s="6" t="n">
        <f aca="false">(10-(LEN(AE375)))+1</f>
        <v>10</v>
      </c>
      <c r="AE375" s="6" t="n">
        <v>0</v>
      </c>
      <c r="AF375" s="6" t="str">
        <f aca="false">IF($J375="NA","NA",IF(AND($J375&gt;1959,AE375&gt;0),"ERRO","OK"))</f>
        <v>OK</v>
      </c>
      <c r="AG375" s="6" t="n">
        <f aca="false">(10-(LEN(AH375)))+1</f>
        <v>10</v>
      </c>
      <c r="AH375" s="6" t="n">
        <v>0</v>
      </c>
      <c r="AI375" s="6" t="str">
        <f aca="false">IF($J375="NA","NA",IF(AND($J375&gt;1949,AH375&gt;0),"ERRO","OK"))</f>
        <v>OK</v>
      </c>
      <c r="AJ375" s="6" t="n">
        <f aca="false">(10-(LEN(AK375)))+1</f>
        <v>10</v>
      </c>
      <c r="AK375" s="6" t="n">
        <v>0</v>
      </c>
      <c r="AL375" s="6" t="str">
        <f aca="false">IF($J375="NA","NA",IF(AND($J375&gt;1939,AK375&gt;0),"ERRO","OK"))</f>
        <v>OK</v>
      </c>
      <c r="AM375" s="6" t="n">
        <f aca="false">(10-(LEN(AN375)))+1</f>
        <v>8</v>
      </c>
      <c r="AN375" s="6" t="n">
        <v>457</v>
      </c>
      <c r="AO375" s="6" t="str">
        <f aca="false">IF($J375="NA","NA",IF(AND($J375&gt;1929,AN375&gt;0),"ERRO","OK"))</f>
        <v>OK</v>
      </c>
      <c r="AP375" s="6" t="n">
        <f aca="false">(10-(LEN(AQ375)))+1</f>
        <v>8</v>
      </c>
      <c r="AQ375" s="6" t="n">
        <v>100</v>
      </c>
      <c r="AR375" s="6" t="str">
        <f aca="false">IF($J375="NA","NA",IF(AND($J375&gt;1919,AQ375&gt;0),"ERRO","OK"))</f>
        <v>OK</v>
      </c>
      <c r="AS375" s="6" t="n">
        <f aca="false">(10-(LEN(AT375)))+1</f>
        <v>10</v>
      </c>
      <c r="AT375" s="6" t="n">
        <v>0</v>
      </c>
      <c r="AU375" s="6" t="str">
        <f aca="false">IF($J375="NA","NA",IF(AND($J375&gt;1909,AT375&gt;0),"ERRO","OK"))</f>
        <v>OK</v>
      </c>
      <c r="AV375" s="6" t="n">
        <f aca="false">(10-(LEN(AW375)))+1</f>
        <v>10</v>
      </c>
      <c r="AW375" s="6" t="n">
        <v>0</v>
      </c>
      <c r="AX375" s="6" t="str">
        <f aca="false">IF($J375="NA","NA",IF(AND($J375&gt;1899,AW375&gt;0),"ERRO","OK"))</f>
        <v>OK</v>
      </c>
    </row>
    <row r="376" customFormat="false" ht="15" hidden="false" customHeight="false" outlineLevel="0" collapsed="false">
      <c r="A376" s="7" t="n">
        <v>374</v>
      </c>
      <c r="B376" s="0" t="s">
        <v>393</v>
      </c>
      <c r="C376" s="8" t="n">
        <v>45333</v>
      </c>
      <c r="D376" s="6" t="n">
        <v>0</v>
      </c>
      <c r="E376" s="0" t="s">
        <v>16</v>
      </c>
      <c r="F376" s="0" t="s">
        <v>17</v>
      </c>
      <c r="G376" s="9" t="str">
        <f aca="false">IF(OR(N376="ERRO",Q376="ERRO",T376="ERRO",W376="ERRO",Z376="ERRO",AC376="ERRO",AF376="ERRO",AI376="ERRO",AL376="ERRO",AO376="ERRO",AR376="ERRO",AU376="ERRO",AX376="ERRO"),"ERRO","OK")</f>
        <v>OK</v>
      </c>
      <c r="H376" s="9" t="n">
        <f aca="false">COUNTIF(L376:AX376,"ERRO")</f>
        <v>0</v>
      </c>
      <c r="I376" s="9" t="s">
        <v>18</v>
      </c>
      <c r="J376" s="10" t="n">
        <v>1888</v>
      </c>
      <c r="K376" s="10" t="n">
        <v>1964</v>
      </c>
      <c r="L376" s="6" t="n">
        <f aca="false">(10-(LEN(M376)))+1</f>
        <v>7</v>
      </c>
      <c r="M376" s="6" t="n">
        <v>1796</v>
      </c>
      <c r="N376" s="6" t="str">
        <f aca="false">IF($J376="NA","NA",IF(AND($J376&gt;2019,M376&gt;0),"ERRO","OK"))</f>
        <v>OK</v>
      </c>
      <c r="O376" s="6" t="n">
        <f aca="false">(10-(LEN(P376)))+1</f>
        <v>8</v>
      </c>
      <c r="P376" s="6" t="n">
        <v>432</v>
      </c>
      <c r="Q376" s="6" t="str">
        <f aca="false">IF($J376="NA","NA",IF(AND($J376&gt;2009,P376&gt;0),"ERRO","OK"))</f>
        <v>OK</v>
      </c>
      <c r="R376" s="6" t="n">
        <f aca="false">(10-(LEN(S376)))+1</f>
        <v>7</v>
      </c>
      <c r="S376" s="6" t="n">
        <v>1323</v>
      </c>
      <c r="T376" s="6" t="str">
        <f aca="false">IF($J376="NA","NA",IF(AND($J376&gt;1999,S376&gt;0),"ERRO","OK"))</f>
        <v>OK</v>
      </c>
      <c r="U376" s="6" t="n">
        <f aca="false">(10-(LEN(V376)))+1</f>
        <v>8</v>
      </c>
      <c r="V376" s="6" t="n">
        <v>484</v>
      </c>
      <c r="W376" s="6" t="str">
        <f aca="false">IF($J376="NA","NA",IF(AND($J376&gt;1989,V376&gt;0),"ERRO","OK"))</f>
        <v>OK</v>
      </c>
      <c r="X376" s="6" t="n">
        <f aca="false">(10-(LEN(Y376)))+1</f>
        <v>8</v>
      </c>
      <c r="Y376" s="6" t="n">
        <v>450</v>
      </c>
      <c r="Z376" s="6" t="str">
        <f aca="false">IF($J376="NA","NA",IF(AND($J376&gt;1979,Y376&gt;0),"ERRO","OK"))</f>
        <v>OK</v>
      </c>
      <c r="AA376" s="6" t="n">
        <f aca="false">(10-(LEN(AB376)))+1</f>
        <v>8</v>
      </c>
      <c r="AB376" s="6" t="n">
        <v>554</v>
      </c>
      <c r="AC376" s="6" t="str">
        <f aca="false">IF($J376="NA","NA",IF(AND($J376&gt;1969,AB376&gt;0),"ERRO","OK"))</f>
        <v>OK</v>
      </c>
      <c r="AD376" s="6" t="n">
        <f aca="false">(10-(LEN(AE376)))+1</f>
        <v>7</v>
      </c>
      <c r="AE376" s="6" t="n">
        <v>1508</v>
      </c>
      <c r="AF376" s="6" t="str">
        <f aca="false">IF($J376="NA","NA",IF(AND($J376&gt;1959,AE376&gt;0),"ERRO","OK"))</f>
        <v>OK</v>
      </c>
      <c r="AG376" s="6" t="n">
        <f aca="false">(10-(LEN(AH376)))+1</f>
        <v>8</v>
      </c>
      <c r="AH376" s="6" t="n">
        <v>232</v>
      </c>
      <c r="AI376" s="6" t="str">
        <f aca="false">IF($J376="NA","NA",IF(AND($J376&gt;1949,AH376&gt;0),"ERRO","OK"))</f>
        <v>OK</v>
      </c>
      <c r="AJ376" s="6" t="n">
        <f aca="false">(10-(LEN(AK376)))+1</f>
        <v>7</v>
      </c>
      <c r="AK376" s="6" t="n">
        <v>1319</v>
      </c>
      <c r="AL376" s="6" t="str">
        <f aca="false">IF($J376="NA","NA",IF(AND($J376&gt;1939,AK376&gt;0),"ERRO","OK"))</f>
        <v>OK</v>
      </c>
      <c r="AM376" s="6" t="n">
        <f aca="false">(10-(LEN(AN376)))+1</f>
        <v>8</v>
      </c>
      <c r="AN376" s="6" t="n">
        <v>160</v>
      </c>
      <c r="AO376" s="6" t="str">
        <f aca="false">IF($J376="NA","NA",IF(AND($J376&gt;1929,AN376&gt;0),"ERRO","OK"))</f>
        <v>OK</v>
      </c>
      <c r="AP376" s="6" t="n">
        <f aca="false">(10-(LEN(AQ376)))+1</f>
        <v>10</v>
      </c>
      <c r="AQ376" s="6" t="n">
        <v>0</v>
      </c>
      <c r="AR376" s="6" t="str">
        <f aca="false">IF($J376="NA","NA",IF(AND($J376&gt;1919,AQ376&gt;0),"ERRO","OK"))</f>
        <v>OK</v>
      </c>
      <c r="AS376" s="6" t="n">
        <f aca="false">(10-(LEN(AT376)))+1</f>
        <v>10</v>
      </c>
      <c r="AT376" s="6" t="n">
        <v>0</v>
      </c>
      <c r="AU376" s="6" t="str">
        <f aca="false">IF($J376="NA","NA",IF(AND($J376&gt;1909,AT376&gt;0),"ERRO","OK"))</f>
        <v>OK</v>
      </c>
      <c r="AV376" s="6" t="n">
        <f aca="false">(10-(LEN(AW376)))+1</f>
        <v>10</v>
      </c>
      <c r="AW376" s="6" t="n">
        <v>0</v>
      </c>
      <c r="AX376" s="6" t="str">
        <f aca="false">IF($J376="NA","NA",IF(AND($J376&gt;1899,AW376&gt;0),"ERRO","OK"))</f>
        <v>OK</v>
      </c>
    </row>
    <row r="377" customFormat="false" ht="15" hidden="false" customHeight="false" outlineLevel="0" collapsed="false">
      <c r="A377" s="7" t="n">
        <v>375</v>
      </c>
      <c r="B377" s="0" t="s">
        <v>394</v>
      </c>
      <c r="C377" s="8" t="n">
        <v>45333</v>
      </c>
      <c r="D377" s="6" t="n">
        <v>0</v>
      </c>
      <c r="E377" s="0" t="s">
        <v>16</v>
      </c>
      <c r="F377" s="0" t="s">
        <v>17</v>
      </c>
      <c r="G377" s="9" t="str">
        <f aca="false">IF(OR(N377="ERRO",Q377="ERRO",T377="ERRO",W377="ERRO",Z377="ERRO",AC377="ERRO",AF377="ERRO",AI377="ERRO",AL377="ERRO",AO377="ERRO",AR377="ERRO",AU377="ERRO",AX377="ERRO"),"ERRO","OK")</f>
        <v>OK</v>
      </c>
      <c r="H377" s="9" t="n">
        <f aca="false">COUNTIF(L377:AX377,"ERRO")</f>
        <v>0</v>
      </c>
      <c r="I377" s="9" t="s">
        <v>18</v>
      </c>
      <c r="J377" s="10" t="n">
        <v>1880</v>
      </c>
      <c r="K377" s="10" t="n">
        <v>1946</v>
      </c>
      <c r="L377" s="6" t="n">
        <f aca="false">(10-(LEN(M377)))+1</f>
        <v>7</v>
      </c>
      <c r="M377" s="6" t="n">
        <v>3998</v>
      </c>
      <c r="N377" s="6" t="str">
        <f aca="false">IF($J377="NA","NA",IF(AND($J377&gt;2019,M377&gt;0),"ERRO","OK"))</f>
        <v>OK</v>
      </c>
      <c r="O377" s="6" t="n">
        <f aca="false">(10-(LEN(P377)))+1</f>
        <v>6</v>
      </c>
      <c r="P377" s="6" t="n">
        <v>14168</v>
      </c>
      <c r="Q377" s="6" t="str">
        <f aca="false">IF($J377="NA","NA",IF(AND($J377&gt;2009,P377&gt;0),"ERRO","OK"))</f>
        <v>OK</v>
      </c>
      <c r="R377" s="6" t="n">
        <f aca="false">(10-(LEN(S377)))+1</f>
        <v>6</v>
      </c>
      <c r="S377" s="6" t="n">
        <v>22983</v>
      </c>
      <c r="T377" s="6" t="str">
        <f aca="false">IF($J377="NA","NA",IF(AND($J377&gt;1999,S377&gt;0),"ERRO","OK"))</f>
        <v>OK</v>
      </c>
      <c r="U377" s="6" t="n">
        <f aca="false">(10-(LEN(V377)))+1</f>
        <v>6</v>
      </c>
      <c r="V377" s="6" t="n">
        <v>31918</v>
      </c>
      <c r="W377" s="6" t="str">
        <f aca="false">IF($J377="NA","NA",IF(AND($J377&gt;1989,V377&gt;0),"ERRO","OK"))</f>
        <v>OK</v>
      </c>
      <c r="X377" s="6" t="n">
        <f aca="false">(10-(LEN(Y377)))+1</f>
        <v>6</v>
      </c>
      <c r="Y377" s="6" t="n">
        <v>16695</v>
      </c>
      <c r="Z377" s="6" t="str">
        <f aca="false">IF($J377="NA","NA",IF(AND($J377&gt;1979,Y377&gt;0),"ERRO","OK"))</f>
        <v>OK</v>
      </c>
      <c r="AA377" s="6" t="n">
        <f aca="false">(10-(LEN(AB377)))+1</f>
        <v>7</v>
      </c>
      <c r="AB377" s="6" t="n">
        <v>7266</v>
      </c>
      <c r="AC377" s="6" t="str">
        <f aca="false">IF($J377="NA","NA",IF(AND($J377&gt;1969,AB377&gt;0),"ERRO","OK"))</f>
        <v>OK</v>
      </c>
      <c r="AD377" s="6" t="n">
        <f aca="false">(10-(LEN(AE377)))+1</f>
        <v>7</v>
      </c>
      <c r="AE377" s="6" t="n">
        <v>5920</v>
      </c>
      <c r="AF377" s="6" t="str">
        <f aca="false">IF($J377="NA","NA",IF(AND($J377&gt;1959,AE377&gt;0),"ERRO","OK"))</f>
        <v>OK</v>
      </c>
      <c r="AG377" s="6" t="n">
        <f aca="false">(10-(LEN(AH377)))+1</f>
        <v>7</v>
      </c>
      <c r="AH377" s="6" t="n">
        <v>5066</v>
      </c>
      <c r="AI377" s="6" t="str">
        <f aca="false">IF($J377="NA","NA",IF(AND($J377&gt;1949,AH377&gt;0),"ERRO","OK"))</f>
        <v>OK</v>
      </c>
      <c r="AJ377" s="6" t="n">
        <f aca="false">(10-(LEN(AK377)))+1</f>
        <v>6</v>
      </c>
      <c r="AK377" s="6" t="n">
        <v>14483</v>
      </c>
      <c r="AL377" s="6" t="str">
        <f aca="false">IF($J377="NA","NA",IF(AND($J377&gt;1939,AK377&gt;0),"ERRO","OK"))</f>
        <v>OK</v>
      </c>
      <c r="AM377" s="6" t="n">
        <f aca="false">(10-(LEN(AN377)))+1</f>
        <v>7</v>
      </c>
      <c r="AN377" s="6" t="n">
        <v>1371</v>
      </c>
      <c r="AO377" s="6" t="str">
        <f aca="false">IF($J377="NA","NA",IF(AND($J377&gt;1929,AN377&gt;0),"ERRO","OK"))</f>
        <v>OK</v>
      </c>
      <c r="AP377" s="6" t="n">
        <f aca="false">(10-(LEN(AQ377)))+1</f>
        <v>7</v>
      </c>
      <c r="AQ377" s="6" t="n">
        <v>1802</v>
      </c>
      <c r="AR377" s="6" t="str">
        <f aca="false">IF($J377="NA","NA",IF(AND($J377&gt;1919,AQ377&gt;0),"ERRO","OK"))</f>
        <v>OK</v>
      </c>
      <c r="AS377" s="6" t="n">
        <f aca="false">(10-(LEN(AT377)))+1</f>
        <v>8</v>
      </c>
      <c r="AT377" s="6" t="n">
        <v>825</v>
      </c>
      <c r="AU377" s="6" t="str">
        <f aca="false">IF($J377="NA","NA",IF(AND($J377&gt;1909,AT377&gt;0),"ERRO","OK"))</f>
        <v>OK</v>
      </c>
      <c r="AV377" s="6" t="n">
        <f aca="false">(10-(LEN(AW377)))+1</f>
        <v>8</v>
      </c>
      <c r="AW377" s="6" t="n">
        <v>129</v>
      </c>
      <c r="AX377" s="6" t="str">
        <f aca="false">IF($J377="NA","NA",IF(AND($J377&gt;1899,AW377&gt;0),"ERRO","OK"))</f>
        <v>OK</v>
      </c>
    </row>
    <row r="378" customFormat="false" ht="15" hidden="false" customHeight="false" outlineLevel="0" collapsed="false">
      <c r="A378" s="7" t="n">
        <v>376</v>
      </c>
      <c r="B378" s="0" t="s">
        <v>395</v>
      </c>
      <c r="C378" s="8" t="n">
        <v>45333</v>
      </c>
      <c r="D378" s="6" t="n">
        <v>0</v>
      </c>
      <c r="E378" s="0" t="s">
        <v>16</v>
      </c>
      <c r="F378" s="0" t="s">
        <v>17</v>
      </c>
      <c r="G378" s="9" t="str">
        <f aca="false">IF(OR(N378="ERRO",Q378="ERRO",T378="ERRO",W378="ERRO",Z378="ERRO",AC378="ERRO",AF378="ERRO",AI378="ERRO",AL378="ERRO",AO378="ERRO",AR378="ERRO",AU378="ERRO",AX378="ERRO"),"ERRO","OK")</f>
        <v>OK</v>
      </c>
      <c r="H378" s="9" t="n">
        <f aca="false">COUNTIF(L378:AX378,"ERRO")</f>
        <v>0</v>
      </c>
      <c r="I378" s="9" t="s">
        <v>18</v>
      </c>
      <c r="J378" s="10" t="n">
        <v>1904</v>
      </c>
      <c r="K378" s="10" t="n">
        <v>1980</v>
      </c>
      <c r="L378" s="6" t="n">
        <f aca="false">(10-(LEN(M378)))+1</f>
        <v>8</v>
      </c>
      <c r="M378" s="6" t="n">
        <v>438</v>
      </c>
      <c r="N378" s="6" t="str">
        <f aca="false">IF($J378="NA","NA",IF(AND($J378&gt;2019,M378&gt;0),"ERRO","OK"))</f>
        <v>OK</v>
      </c>
      <c r="O378" s="6" t="n">
        <f aca="false">(10-(LEN(P378)))+1</f>
        <v>9</v>
      </c>
      <c r="P378" s="6" t="n">
        <v>72</v>
      </c>
      <c r="Q378" s="6" t="str">
        <f aca="false">IF($J378="NA","NA",IF(AND($J378&gt;2009,P378&gt;0),"ERRO","OK"))</f>
        <v>OK</v>
      </c>
      <c r="R378" s="6" t="n">
        <f aca="false">(10-(LEN(S378)))+1</f>
        <v>10</v>
      </c>
      <c r="S378" s="6" t="n">
        <v>0</v>
      </c>
      <c r="T378" s="6" t="str">
        <f aca="false">IF($J378="NA","NA",IF(AND($J378&gt;1999,S378&gt;0),"ERRO","OK"))</f>
        <v>OK</v>
      </c>
      <c r="U378" s="6" t="n">
        <f aca="false">(10-(LEN(V378)))+1</f>
        <v>10</v>
      </c>
      <c r="V378" s="6" t="n">
        <v>0</v>
      </c>
      <c r="W378" s="6" t="str">
        <f aca="false">IF($J378="NA","NA",IF(AND($J378&gt;1989,V378&gt;0),"ERRO","OK"))</f>
        <v>OK</v>
      </c>
      <c r="X378" s="6" t="n">
        <f aca="false">(10-(LEN(Y378)))+1</f>
        <v>8</v>
      </c>
      <c r="Y378" s="6" t="n">
        <v>113</v>
      </c>
      <c r="Z378" s="6" t="str">
        <f aca="false">IF($J378="NA","NA",IF(AND($J378&gt;1979,Y378&gt;0),"ERRO","OK"))</f>
        <v>OK</v>
      </c>
      <c r="AA378" s="6" t="n">
        <f aca="false">(10-(LEN(AB378)))+1</f>
        <v>8</v>
      </c>
      <c r="AB378" s="6" t="n">
        <v>123</v>
      </c>
      <c r="AC378" s="6" t="str">
        <f aca="false">IF($J378="NA","NA",IF(AND($J378&gt;1969,AB378&gt;0),"ERRO","OK"))</f>
        <v>OK</v>
      </c>
      <c r="AD378" s="6" t="n">
        <f aca="false">(10-(LEN(AE378)))+1</f>
        <v>10</v>
      </c>
      <c r="AE378" s="6" t="n">
        <v>0</v>
      </c>
      <c r="AF378" s="6" t="str">
        <f aca="false">IF($J378="NA","NA",IF(AND($J378&gt;1959,AE378&gt;0),"ERRO","OK"))</f>
        <v>OK</v>
      </c>
      <c r="AG378" s="6" t="n">
        <f aca="false">(10-(LEN(AH378)))+1</f>
        <v>10</v>
      </c>
      <c r="AH378" s="6" t="n">
        <v>0</v>
      </c>
      <c r="AI378" s="6" t="str">
        <f aca="false">IF($J378="NA","NA",IF(AND($J378&gt;1949,AH378&gt;0),"ERRO","OK"))</f>
        <v>OK</v>
      </c>
      <c r="AJ378" s="6" t="n">
        <f aca="false">(10-(LEN(AK378)))+1</f>
        <v>10</v>
      </c>
      <c r="AK378" s="6" t="n">
        <v>0</v>
      </c>
      <c r="AL378" s="6" t="str">
        <f aca="false">IF($J378="NA","NA",IF(AND($J378&gt;1939,AK378&gt;0),"ERRO","OK"))</f>
        <v>OK</v>
      </c>
      <c r="AM378" s="6" t="n">
        <f aca="false">(10-(LEN(AN378)))+1</f>
        <v>10</v>
      </c>
      <c r="AN378" s="6" t="n">
        <v>0</v>
      </c>
      <c r="AO378" s="6" t="str">
        <f aca="false">IF($J378="NA","NA",IF(AND($J378&gt;1929,AN378&gt;0),"ERRO","OK"))</f>
        <v>OK</v>
      </c>
      <c r="AP378" s="6" t="n">
        <f aca="false">(10-(LEN(AQ378)))+1</f>
        <v>10</v>
      </c>
      <c r="AQ378" s="6" t="n">
        <v>0</v>
      </c>
      <c r="AR378" s="6" t="str">
        <f aca="false">IF($J378="NA","NA",IF(AND($J378&gt;1919,AQ378&gt;0),"ERRO","OK"))</f>
        <v>OK</v>
      </c>
      <c r="AS378" s="6" t="n">
        <f aca="false">(10-(LEN(AT378)))+1</f>
        <v>10</v>
      </c>
      <c r="AT378" s="6" t="n">
        <v>0</v>
      </c>
      <c r="AU378" s="6" t="str">
        <f aca="false">IF($J378="NA","NA",IF(AND($J378&gt;1909,AT378&gt;0),"ERRO","OK"))</f>
        <v>OK</v>
      </c>
      <c r="AV378" s="6" t="n">
        <f aca="false">(10-(LEN(AW378)))+1</f>
        <v>10</v>
      </c>
      <c r="AW378" s="6" t="n">
        <v>0</v>
      </c>
      <c r="AX378" s="6" t="str">
        <f aca="false">IF($J378="NA","NA",IF(AND($J378&gt;1899,AW378&gt;0),"ERRO","OK"))</f>
        <v>OK</v>
      </c>
    </row>
    <row r="379" customFormat="false" ht="15" hidden="false" customHeight="false" outlineLevel="0" collapsed="false">
      <c r="A379" s="7" t="n">
        <v>377</v>
      </c>
      <c r="B379" s="0" t="s">
        <v>396</v>
      </c>
      <c r="C379" s="8" t="n">
        <v>45333</v>
      </c>
      <c r="D379" s="6" t="n">
        <v>0</v>
      </c>
      <c r="E379" s="0" t="s">
        <v>16</v>
      </c>
      <c r="F379" s="0" t="s">
        <v>17</v>
      </c>
      <c r="G379" s="9" t="str">
        <f aca="false">IF(OR(N379="ERRO",Q379="ERRO",T379="ERRO",W379="ERRO",Z379="ERRO",AC379="ERRO",AF379="ERRO",AI379="ERRO",AL379="ERRO",AO379="ERRO",AR379="ERRO",AU379="ERRO",AX379="ERRO"),"ERRO","OK")</f>
        <v>OK</v>
      </c>
      <c r="H379" s="9" t="n">
        <f aca="false">COUNTIF(L379:AX379,"ERRO")</f>
        <v>0</v>
      </c>
      <c r="I379" s="9" t="s">
        <v>18</v>
      </c>
      <c r="J379" s="10" t="n">
        <v>1912</v>
      </c>
      <c r="K379" s="10" t="n">
        <v>1999</v>
      </c>
      <c r="L379" s="6" t="n">
        <f aca="false">(10-(LEN(M379)))+1</f>
        <v>7</v>
      </c>
      <c r="M379" s="6" t="n">
        <v>2582</v>
      </c>
      <c r="N379" s="6" t="str">
        <f aca="false">IF($J379="NA","NA",IF(AND($J379&gt;2019,M379&gt;0),"ERRO","OK"))</f>
        <v>OK</v>
      </c>
      <c r="O379" s="6" t="n">
        <f aca="false">(10-(LEN(P379)))+1</f>
        <v>7</v>
      </c>
      <c r="P379" s="6" t="n">
        <v>4322</v>
      </c>
      <c r="Q379" s="6" t="str">
        <f aca="false">IF($J379="NA","NA",IF(AND($J379&gt;2009,P379&gt;0),"ERRO","OK"))</f>
        <v>OK</v>
      </c>
      <c r="R379" s="6" t="n">
        <f aca="false">(10-(LEN(S379)))+1</f>
        <v>7</v>
      </c>
      <c r="S379" s="6" t="n">
        <v>8865</v>
      </c>
      <c r="T379" s="6" t="str">
        <f aca="false">IF($J379="NA","NA",IF(AND($J379&gt;1999,S379&gt;0),"ERRO","OK"))</f>
        <v>OK</v>
      </c>
      <c r="U379" s="6" t="n">
        <f aca="false">(10-(LEN(V379)))+1</f>
        <v>6</v>
      </c>
      <c r="V379" s="6" t="n">
        <v>11406</v>
      </c>
      <c r="W379" s="6" t="str">
        <f aca="false">IF($J379="NA","NA",IF(AND($J379&gt;1989,V379&gt;0),"ERRO","OK"))</f>
        <v>OK</v>
      </c>
      <c r="X379" s="6" t="n">
        <f aca="false">(10-(LEN(Y379)))+1</f>
        <v>7</v>
      </c>
      <c r="Y379" s="6" t="n">
        <v>7538</v>
      </c>
      <c r="Z379" s="6" t="str">
        <f aca="false">IF($J379="NA","NA",IF(AND($J379&gt;1979,Y379&gt;0),"ERRO","OK"))</f>
        <v>OK</v>
      </c>
      <c r="AA379" s="6" t="n">
        <f aca="false">(10-(LEN(AB379)))+1</f>
        <v>7</v>
      </c>
      <c r="AB379" s="6" t="n">
        <v>9258</v>
      </c>
      <c r="AC379" s="6" t="str">
        <f aca="false">IF($J379="NA","NA",IF(AND($J379&gt;1969,AB379&gt;0),"ERRO","OK"))</f>
        <v>OK</v>
      </c>
      <c r="AD379" s="6" t="n">
        <f aca="false">(10-(LEN(AE379)))+1</f>
        <v>7</v>
      </c>
      <c r="AE379" s="6" t="n">
        <v>4485</v>
      </c>
      <c r="AF379" s="6" t="str">
        <f aca="false">IF($J379="NA","NA",IF(AND($J379&gt;1959,AE379&gt;0),"ERRO","OK"))</f>
        <v>OK</v>
      </c>
      <c r="AG379" s="6" t="n">
        <f aca="false">(10-(LEN(AH379)))+1</f>
        <v>8</v>
      </c>
      <c r="AH379" s="6" t="n">
        <v>661</v>
      </c>
      <c r="AI379" s="6" t="str">
        <f aca="false">IF($J379="NA","NA",IF(AND($J379&gt;1949,AH379&gt;0),"ERRO","OK"))</f>
        <v>OK</v>
      </c>
      <c r="AJ379" s="6" t="n">
        <f aca="false">(10-(LEN(AK379)))+1</f>
        <v>7</v>
      </c>
      <c r="AK379" s="6" t="n">
        <v>4874</v>
      </c>
      <c r="AL379" s="6" t="str">
        <f aca="false">IF($J379="NA","NA",IF(AND($J379&gt;1939,AK379&gt;0),"ERRO","OK"))</f>
        <v>OK</v>
      </c>
      <c r="AM379" s="6" t="n">
        <f aca="false">(10-(LEN(AN379)))+1</f>
        <v>10</v>
      </c>
      <c r="AN379" s="6" t="n">
        <v>0</v>
      </c>
      <c r="AO379" s="6" t="str">
        <f aca="false">IF($J379="NA","NA",IF(AND($J379&gt;1929,AN379&gt;0),"ERRO","OK"))</f>
        <v>OK</v>
      </c>
      <c r="AP379" s="6" t="n">
        <f aca="false">(10-(LEN(AQ379)))+1</f>
        <v>10</v>
      </c>
      <c r="AQ379" s="6" t="n">
        <v>0</v>
      </c>
      <c r="AR379" s="6" t="str">
        <f aca="false">IF($J379="NA","NA",IF(AND($J379&gt;1919,AQ379&gt;0),"ERRO","OK"))</f>
        <v>OK</v>
      </c>
      <c r="AS379" s="6" t="n">
        <f aca="false">(10-(LEN(AT379)))+1</f>
        <v>10</v>
      </c>
      <c r="AT379" s="6" t="n">
        <v>0</v>
      </c>
      <c r="AU379" s="6" t="str">
        <f aca="false">IF($J379="NA","NA",IF(AND($J379&gt;1909,AT379&gt;0),"ERRO","OK"))</f>
        <v>OK</v>
      </c>
      <c r="AV379" s="6" t="n">
        <f aca="false">(10-(LEN(AW379)))+1</f>
        <v>10</v>
      </c>
      <c r="AW379" s="6" t="n">
        <v>0</v>
      </c>
      <c r="AX379" s="6" t="str">
        <f aca="false">IF($J379="NA","NA",IF(AND($J379&gt;1899,AW379&gt;0),"ERRO","OK"))</f>
        <v>OK</v>
      </c>
    </row>
    <row r="380" customFormat="false" ht="15" hidden="false" customHeight="false" outlineLevel="0" collapsed="false">
      <c r="A380" s="7" t="n">
        <v>378</v>
      </c>
      <c r="B380" s="0" t="s">
        <v>397</v>
      </c>
      <c r="C380" s="8" t="n">
        <v>45333</v>
      </c>
      <c r="D380" s="6" t="n">
        <v>0</v>
      </c>
      <c r="E380" s="0" t="s">
        <v>16</v>
      </c>
      <c r="F380" s="0" t="s">
        <v>17</v>
      </c>
      <c r="G380" s="9" t="str">
        <f aca="false">IF(OR(N380="ERRO",Q380="ERRO",T380="ERRO",W380="ERRO",Z380="ERRO",AC380="ERRO",AF380="ERRO",AI380="ERRO",AL380="ERRO",AO380="ERRO",AR380="ERRO",AU380="ERRO",AX380="ERRO"),"ERRO","OK")</f>
        <v>OK</v>
      </c>
      <c r="H380" s="9" t="n">
        <f aca="false">COUNTIF(L380:AX380,"ERRO")</f>
        <v>0</v>
      </c>
      <c r="I380" s="9" t="s">
        <v>18</v>
      </c>
      <c r="J380" s="10" t="n">
        <v>1928</v>
      </c>
      <c r="K380" s="10" t="n">
        <v>2005</v>
      </c>
      <c r="L380" s="6" t="n">
        <f aca="false">(10-(LEN(M380)))+1</f>
        <v>9</v>
      </c>
      <c r="M380" s="6" t="n">
        <v>44</v>
      </c>
      <c r="N380" s="6" t="str">
        <f aca="false">IF($J380="NA","NA",IF(AND($J380&gt;2019,M380&gt;0),"ERRO","OK"))</f>
        <v>OK</v>
      </c>
      <c r="O380" s="6" t="n">
        <f aca="false">(10-(LEN(P380)))+1</f>
        <v>8</v>
      </c>
      <c r="P380" s="6" t="n">
        <v>180</v>
      </c>
      <c r="Q380" s="6" t="str">
        <f aca="false">IF($J380="NA","NA",IF(AND($J380&gt;2009,P380&gt;0),"ERRO","OK"))</f>
        <v>OK</v>
      </c>
      <c r="R380" s="6" t="n">
        <f aca="false">(10-(LEN(S380)))+1</f>
        <v>9</v>
      </c>
      <c r="S380" s="6" t="n">
        <v>44</v>
      </c>
      <c r="T380" s="6" t="str">
        <f aca="false">IF($J380="NA","NA",IF(AND($J380&gt;1999,S380&gt;0),"ERRO","OK"))</f>
        <v>OK</v>
      </c>
      <c r="U380" s="6" t="n">
        <f aca="false">(10-(LEN(V380)))+1</f>
        <v>10</v>
      </c>
      <c r="V380" s="6" t="n">
        <v>0</v>
      </c>
      <c r="W380" s="6" t="str">
        <f aca="false">IF($J380="NA","NA",IF(AND($J380&gt;1989,V380&gt;0),"ERRO","OK"))</f>
        <v>OK</v>
      </c>
      <c r="X380" s="6" t="n">
        <f aca="false">(10-(LEN(Y380)))+1</f>
        <v>9</v>
      </c>
      <c r="Y380" s="6" t="n">
        <v>56</v>
      </c>
      <c r="Z380" s="6" t="str">
        <f aca="false">IF($J380="NA","NA",IF(AND($J380&gt;1979,Y380&gt;0),"ERRO","OK"))</f>
        <v>OK</v>
      </c>
      <c r="AA380" s="6" t="n">
        <f aca="false">(10-(LEN(AB380)))+1</f>
        <v>10</v>
      </c>
      <c r="AB380" s="6" t="n">
        <v>0</v>
      </c>
      <c r="AC380" s="6" t="str">
        <f aca="false">IF($J380="NA","NA",IF(AND($J380&gt;1969,AB380&gt;0),"ERRO","OK"))</f>
        <v>OK</v>
      </c>
      <c r="AD380" s="6" t="n">
        <f aca="false">(10-(LEN(AE380)))+1</f>
        <v>10</v>
      </c>
      <c r="AE380" s="6" t="n">
        <v>0</v>
      </c>
      <c r="AF380" s="6" t="str">
        <f aca="false">IF($J380="NA","NA",IF(AND($J380&gt;1959,AE380&gt;0),"ERRO","OK"))</f>
        <v>OK</v>
      </c>
      <c r="AG380" s="6" t="n">
        <f aca="false">(10-(LEN(AH380)))+1</f>
        <v>10</v>
      </c>
      <c r="AH380" s="6" t="n">
        <v>0</v>
      </c>
      <c r="AI380" s="6" t="str">
        <f aca="false">IF($J380="NA","NA",IF(AND($J380&gt;1949,AH380&gt;0),"ERRO","OK"))</f>
        <v>OK</v>
      </c>
      <c r="AJ380" s="6" t="n">
        <f aca="false">(10-(LEN(AK380)))+1</f>
        <v>10</v>
      </c>
      <c r="AK380" s="6" t="n">
        <v>0</v>
      </c>
      <c r="AL380" s="6" t="str">
        <f aca="false">IF($J380="NA","NA",IF(AND($J380&gt;1939,AK380&gt;0),"ERRO","OK"))</f>
        <v>OK</v>
      </c>
      <c r="AM380" s="6" t="n">
        <f aca="false">(10-(LEN(AN380)))+1</f>
        <v>10</v>
      </c>
      <c r="AN380" s="6" t="n">
        <v>0</v>
      </c>
      <c r="AO380" s="6" t="str">
        <f aca="false">IF($J380="NA","NA",IF(AND($J380&gt;1929,AN380&gt;0),"ERRO","OK"))</f>
        <v>OK</v>
      </c>
      <c r="AP380" s="6" t="n">
        <f aca="false">(10-(LEN(AQ380)))+1</f>
        <v>10</v>
      </c>
      <c r="AQ380" s="6" t="n">
        <v>0</v>
      </c>
      <c r="AR380" s="6" t="str">
        <f aca="false">IF($J380="NA","NA",IF(AND($J380&gt;1919,AQ380&gt;0),"ERRO","OK"))</f>
        <v>OK</v>
      </c>
      <c r="AS380" s="6" t="n">
        <f aca="false">(10-(LEN(AT380)))+1</f>
        <v>10</v>
      </c>
      <c r="AT380" s="6" t="n">
        <v>0</v>
      </c>
      <c r="AU380" s="6" t="str">
        <f aca="false">IF($J380="NA","NA",IF(AND($J380&gt;1909,AT380&gt;0),"ERRO","OK"))</f>
        <v>OK</v>
      </c>
      <c r="AV380" s="6" t="n">
        <f aca="false">(10-(LEN(AW380)))+1</f>
        <v>10</v>
      </c>
      <c r="AW380" s="6" t="n">
        <v>0</v>
      </c>
      <c r="AX380" s="6" t="str">
        <f aca="false">IF($J380="NA","NA",IF(AND($J380&gt;1899,AW380&gt;0),"ERRO","OK"))</f>
        <v>OK</v>
      </c>
    </row>
    <row r="381" customFormat="false" ht="15" hidden="false" customHeight="false" outlineLevel="0" collapsed="false">
      <c r="A381" s="7" t="n">
        <v>379</v>
      </c>
      <c r="B381" s="0" t="s">
        <v>398</v>
      </c>
      <c r="C381" s="8" t="n">
        <v>45333</v>
      </c>
      <c r="D381" s="6" t="n">
        <v>0</v>
      </c>
      <c r="E381" s="0" t="s">
        <v>16</v>
      </c>
      <c r="F381" s="0" t="s">
        <v>17</v>
      </c>
      <c r="G381" s="9" t="str">
        <f aca="false">IF(OR(N381="ERRO",Q381="ERRO",T381="ERRO",W381="ERRO",Z381="ERRO",AC381="ERRO",AF381="ERRO",AI381="ERRO",AL381="ERRO",AO381="ERRO",AR381="ERRO",AU381="ERRO",AX381="ERRO"),"ERRO","OK")</f>
        <v>OK</v>
      </c>
      <c r="H381" s="9" t="n">
        <f aca="false">COUNTIF(L381:AX381,"ERRO")</f>
        <v>0</v>
      </c>
      <c r="I381" s="9" t="s">
        <v>18</v>
      </c>
      <c r="J381" s="10" t="n">
        <v>1936</v>
      </c>
      <c r="K381" s="10" t="s">
        <v>22</v>
      </c>
      <c r="L381" s="6" t="n">
        <f aca="false">(10-(LEN(M381)))+1</f>
        <v>8</v>
      </c>
      <c r="M381" s="6" t="n">
        <v>958</v>
      </c>
      <c r="N381" s="6" t="str">
        <f aca="false">IF($J381="NA","NA",IF(AND($J381&gt;2019,M381&gt;0),"ERRO","OK"))</f>
        <v>OK</v>
      </c>
      <c r="O381" s="6" t="n">
        <f aca="false">(10-(LEN(P381)))+1</f>
        <v>7</v>
      </c>
      <c r="P381" s="6" t="n">
        <v>2710</v>
      </c>
      <c r="Q381" s="6" t="str">
        <f aca="false">IF($J381="NA","NA",IF(AND($J381&gt;2009,P381&gt;0),"ERRO","OK"))</f>
        <v>OK</v>
      </c>
      <c r="R381" s="6" t="n">
        <f aca="false">(10-(LEN(S381)))+1</f>
        <v>7</v>
      </c>
      <c r="S381" s="6" t="n">
        <v>3571</v>
      </c>
      <c r="T381" s="6" t="str">
        <f aca="false">IF($J381="NA","NA",IF(AND($J381&gt;1999,S381&gt;0),"ERRO","OK"))</f>
        <v>OK</v>
      </c>
      <c r="U381" s="6" t="n">
        <f aca="false">(10-(LEN(V381)))+1</f>
        <v>7</v>
      </c>
      <c r="V381" s="6" t="n">
        <v>2622</v>
      </c>
      <c r="W381" s="6" t="str">
        <f aca="false">IF($J381="NA","NA",IF(AND($J381&gt;1989,V381&gt;0),"ERRO","OK"))</f>
        <v>OK</v>
      </c>
      <c r="X381" s="6" t="n">
        <f aca="false">(10-(LEN(Y381)))+1</f>
        <v>7</v>
      </c>
      <c r="Y381" s="6" t="n">
        <v>1926</v>
      </c>
      <c r="Z381" s="6" t="str">
        <f aca="false">IF($J381="NA","NA",IF(AND($J381&gt;1979,Y381&gt;0),"ERRO","OK"))</f>
        <v>OK</v>
      </c>
      <c r="AA381" s="6" t="n">
        <f aca="false">(10-(LEN(AB381)))+1</f>
        <v>7</v>
      </c>
      <c r="AB381" s="6" t="n">
        <v>4864</v>
      </c>
      <c r="AC381" s="6" t="str">
        <f aca="false">IF($J381="NA","NA",IF(AND($J381&gt;1969,AB381&gt;0),"ERRO","OK"))</f>
        <v>OK</v>
      </c>
      <c r="AD381" s="6" t="n">
        <f aca="false">(10-(LEN(AE381)))+1</f>
        <v>8</v>
      </c>
      <c r="AE381" s="6" t="n">
        <v>628</v>
      </c>
      <c r="AF381" s="6" t="str">
        <f aca="false">IF($J381="NA","NA",IF(AND($J381&gt;1959,AE381&gt;0),"ERRO","OK"))</f>
        <v>OK</v>
      </c>
      <c r="AG381" s="6" t="n">
        <f aca="false">(10-(LEN(AH381)))+1</f>
        <v>8</v>
      </c>
      <c r="AH381" s="6" t="n">
        <v>110</v>
      </c>
      <c r="AI381" s="6" t="str">
        <f aca="false">IF($J381="NA","NA",IF(AND($J381&gt;1949,AH381&gt;0),"ERRO","OK"))</f>
        <v>OK</v>
      </c>
      <c r="AJ381" s="6" t="n">
        <f aca="false">(10-(LEN(AK381)))+1</f>
        <v>8</v>
      </c>
      <c r="AK381" s="6" t="n">
        <v>975</v>
      </c>
      <c r="AL381" s="6" t="str">
        <f aca="false">IF($J381="NA","NA",IF(AND($J381&gt;1939,AK381&gt;0),"ERRO","OK"))</f>
        <v>OK</v>
      </c>
      <c r="AM381" s="6" t="n">
        <f aca="false">(10-(LEN(AN381)))+1</f>
        <v>10</v>
      </c>
      <c r="AN381" s="6" t="n">
        <v>0</v>
      </c>
      <c r="AO381" s="6" t="str">
        <f aca="false">IF($J381="NA","NA",IF(AND($J381&gt;1929,AN381&gt;0),"ERRO","OK"))</f>
        <v>OK</v>
      </c>
      <c r="AP381" s="6" t="n">
        <f aca="false">(10-(LEN(AQ381)))+1</f>
        <v>10</v>
      </c>
      <c r="AQ381" s="6" t="n">
        <v>0</v>
      </c>
      <c r="AR381" s="6" t="str">
        <f aca="false">IF($J381="NA","NA",IF(AND($J381&gt;1919,AQ381&gt;0),"ERRO","OK"))</f>
        <v>OK</v>
      </c>
      <c r="AS381" s="6" t="n">
        <f aca="false">(10-(LEN(AT381)))+1</f>
        <v>10</v>
      </c>
      <c r="AT381" s="6" t="n">
        <v>0</v>
      </c>
      <c r="AU381" s="6" t="str">
        <f aca="false">IF($J381="NA","NA",IF(AND($J381&gt;1909,AT381&gt;0),"ERRO","OK"))</f>
        <v>OK</v>
      </c>
      <c r="AV381" s="6" t="n">
        <f aca="false">(10-(LEN(AW381)))+1</f>
        <v>10</v>
      </c>
      <c r="AW381" s="6" t="n">
        <v>0</v>
      </c>
      <c r="AX381" s="6" t="str">
        <f aca="false">IF($J381="NA","NA",IF(AND($J381&gt;1899,AW381&gt;0),"ERRO","OK"))</f>
        <v>OK</v>
      </c>
    </row>
    <row r="382" customFormat="false" ht="15" hidden="false" customHeight="false" outlineLevel="0" collapsed="false">
      <c r="A382" s="7" t="n">
        <v>380</v>
      </c>
      <c r="B382" s="0" t="s">
        <v>399</v>
      </c>
      <c r="C382" s="8" t="n">
        <v>45334</v>
      </c>
      <c r="D382" s="6" t="n">
        <v>0</v>
      </c>
      <c r="E382" s="0" t="s">
        <v>16</v>
      </c>
      <c r="F382" s="0" t="s">
        <v>17</v>
      </c>
      <c r="G382" s="9" t="str">
        <f aca="false">IF(OR(N382="ERRO",Q382="ERRO",T382="ERRO",W382="ERRO",Z382="ERRO",AC382="ERRO",AF382="ERRO",AI382="ERRO",AL382="ERRO",AO382="ERRO",AR382="ERRO",AU382="ERRO",AX382="ERRO"),"ERRO","OK")</f>
        <v>OK</v>
      </c>
      <c r="H382" s="9" t="n">
        <f aca="false">COUNTIF(L382:AX382,"ERRO")</f>
        <v>0</v>
      </c>
      <c r="I382" s="9" t="s">
        <v>18</v>
      </c>
      <c r="J382" s="10" t="n">
        <v>1930</v>
      </c>
      <c r="K382" s="10" t="s">
        <v>22</v>
      </c>
      <c r="L382" s="6" t="n">
        <f aca="false">(10-(LEN(M382)))+1</f>
        <v>6</v>
      </c>
      <c r="M382" s="6" t="n">
        <v>17990</v>
      </c>
      <c r="N382" s="6" t="str">
        <f aca="false">IF($J382="NA","NA",IF(AND($J382&gt;2019,M382&gt;0),"ERRO","OK"))</f>
        <v>OK</v>
      </c>
      <c r="O382" s="6" t="n">
        <f aca="false">(10-(LEN(P382)))+1</f>
        <v>7</v>
      </c>
      <c r="P382" s="6" t="n">
        <v>6312</v>
      </c>
      <c r="Q382" s="6" t="str">
        <f aca="false">IF($J382="NA","NA",IF(AND($J382&gt;2009,P382&gt;0),"ERRO","OK"))</f>
        <v>OK</v>
      </c>
      <c r="R382" s="6" t="n">
        <f aca="false">(10-(LEN(S382)))+1</f>
        <v>6</v>
      </c>
      <c r="S382" s="6" t="n">
        <v>11512</v>
      </c>
      <c r="T382" s="6" t="str">
        <f aca="false">IF($J382="NA","NA",IF(AND($J382&gt;1999,S382&gt;0),"ERRO","OK"))</f>
        <v>OK</v>
      </c>
      <c r="U382" s="6" t="n">
        <f aca="false">(10-(LEN(V382)))+1</f>
        <v>7</v>
      </c>
      <c r="V382" s="6" t="n">
        <v>7819</v>
      </c>
      <c r="W382" s="6" t="str">
        <f aca="false">IF($J382="NA","NA",IF(AND($J382&gt;1989,V382&gt;0),"ERRO","OK"))</f>
        <v>OK</v>
      </c>
      <c r="X382" s="6" t="n">
        <f aca="false">(10-(LEN(Y382)))+1</f>
        <v>7</v>
      </c>
      <c r="Y382" s="6" t="n">
        <v>4281</v>
      </c>
      <c r="Z382" s="6" t="str">
        <f aca="false">IF($J382="NA","NA",IF(AND($J382&gt;1979,Y382&gt;0),"ERRO","OK"))</f>
        <v>OK</v>
      </c>
      <c r="AA382" s="6" t="n">
        <f aca="false">(10-(LEN(AB382)))+1</f>
        <v>7</v>
      </c>
      <c r="AB382" s="6" t="n">
        <v>2695</v>
      </c>
      <c r="AC382" s="6" t="str">
        <f aca="false">IF($J382="NA","NA",IF(AND($J382&gt;1969,AB382&gt;0),"ERRO","OK"))</f>
        <v>OK</v>
      </c>
      <c r="AD382" s="6" t="n">
        <f aca="false">(10-(LEN(AE382)))+1</f>
        <v>8</v>
      </c>
      <c r="AE382" s="6" t="n">
        <v>449</v>
      </c>
      <c r="AF382" s="6" t="str">
        <f aca="false">IF($J382="NA","NA",IF(AND($J382&gt;1959,AE382&gt;0),"ERRO","OK"))</f>
        <v>OK</v>
      </c>
      <c r="AG382" s="6" t="n">
        <f aca="false">(10-(LEN(AH382)))+1</f>
        <v>10</v>
      </c>
      <c r="AH382" s="6" t="n">
        <v>0</v>
      </c>
      <c r="AI382" s="6" t="str">
        <f aca="false">IF($J382="NA","NA",IF(AND($J382&gt;1949,AH382&gt;0),"ERRO","OK"))</f>
        <v>OK</v>
      </c>
      <c r="AJ382" s="6" t="n">
        <f aca="false">(10-(LEN(AK382)))+1</f>
        <v>7</v>
      </c>
      <c r="AK382" s="6" t="n">
        <v>2924</v>
      </c>
      <c r="AL382" s="6" t="str">
        <f aca="false">IF($J382="NA","NA",IF(AND($J382&gt;1939,AK382&gt;0),"ERRO","OK"))</f>
        <v>OK</v>
      </c>
      <c r="AM382" s="6" t="n">
        <f aca="false">(10-(LEN(AN382)))+1</f>
        <v>10</v>
      </c>
      <c r="AN382" s="6" t="n">
        <v>0</v>
      </c>
      <c r="AO382" s="6" t="str">
        <f aca="false">IF($J382="NA","NA",IF(AND($J382&gt;1929,AN382&gt;0),"ERRO","OK"))</f>
        <v>OK</v>
      </c>
      <c r="AP382" s="6" t="n">
        <f aca="false">(10-(LEN(AQ382)))+1</f>
        <v>10</v>
      </c>
      <c r="AQ382" s="6" t="n">
        <v>0</v>
      </c>
      <c r="AR382" s="6" t="str">
        <f aca="false">IF($J382="NA","NA",IF(AND($J382&gt;1919,AQ382&gt;0),"ERRO","OK"))</f>
        <v>OK</v>
      </c>
      <c r="AS382" s="6" t="n">
        <f aca="false">(10-(LEN(AT382)))+1</f>
        <v>10</v>
      </c>
      <c r="AT382" s="6" t="n">
        <v>0</v>
      </c>
      <c r="AU382" s="6" t="str">
        <f aca="false">IF($J382="NA","NA",IF(AND($J382&gt;1909,AT382&gt;0),"ERRO","OK"))</f>
        <v>OK</v>
      </c>
      <c r="AV382" s="6" t="n">
        <f aca="false">(10-(LEN(AW382)))+1</f>
        <v>10</v>
      </c>
      <c r="AW382" s="6" t="n">
        <v>0</v>
      </c>
      <c r="AX382" s="6" t="str">
        <f aca="false">IF($J382="NA","NA",IF(AND($J382&gt;1899,AW382&gt;0),"ERRO","OK"))</f>
        <v>OK</v>
      </c>
    </row>
    <row r="383" customFormat="false" ht="15" hidden="false" customHeight="false" outlineLevel="0" collapsed="false">
      <c r="A383" s="7" t="n">
        <v>381</v>
      </c>
      <c r="B383" s="0" t="s">
        <v>400</v>
      </c>
      <c r="C383" s="8" t="n">
        <v>45334</v>
      </c>
      <c r="D383" s="6" t="n">
        <v>0</v>
      </c>
      <c r="E383" s="0" t="s">
        <v>16</v>
      </c>
      <c r="F383" s="0" t="s">
        <v>17</v>
      </c>
      <c r="G383" s="9" t="str">
        <f aca="false">IF(OR(N383="ERRO",Q383="ERRO",T383="ERRO",W383="ERRO",Z383="ERRO",AC383="ERRO",AF383="ERRO",AI383="ERRO",AL383="ERRO",AO383="ERRO",AR383="ERRO",AU383="ERRO",AX383="ERRO"),"ERRO","OK")</f>
        <v>OK</v>
      </c>
      <c r="H383" s="9" t="n">
        <f aca="false">COUNTIF(L383:AX383,"ERRO")</f>
        <v>0</v>
      </c>
      <c r="I383" s="9" t="s">
        <v>18</v>
      </c>
      <c r="J383" s="10" t="n">
        <v>1891</v>
      </c>
      <c r="K383" s="10" t="n">
        <v>1975</v>
      </c>
      <c r="L383" s="6" t="n">
        <f aca="false">(10-(LEN(M383)))+1</f>
        <v>8</v>
      </c>
      <c r="M383" s="6" t="n">
        <v>916</v>
      </c>
      <c r="N383" s="6" t="str">
        <f aca="false">IF($J383="NA","NA",IF(AND($J383&gt;2019,M383&gt;0),"ERRO","OK"))</f>
        <v>OK</v>
      </c>
      <c r="O383" s="6" t="n">
        <f aca="false">(10-(LEN(P383)))+1</f>
        <v>7</v>
      </c>
      <c r="P383" s="6" t="n">
        <v>3190</v>
      </c>
      <c r="Q383" s="6" t="str">
        <f aca="false">IF($J383="NA","NA",IF(AND($J383&gt;2009,P383&gt;0),"ERRO","OK"))</f>
        <v>OK</v>
      </c>
      <c r="R383" s="6" t="n">
        <f aca="false">(10-(LEN(S383)))+1</f>
        <v>7</v>
      </c>
      <c r="S383" s="6" t="n">
        <v>4748</v>
      </c>
      <c r="T383" s="6" t="str">
        <f aca="false">IF($J383="NA","NA",IF(AND($J383&gt;1999,S383&gt;0),"ERRO","OK"))</f>
        <v>OK</v>
      </c>
      <c r="U383" s="6" t="n">
        <f aca="false">(10-(LEN(V383)))+1</f>
        <v>7</v>
      </c>
      <c r="V383" s="6" t="n">
        <v>4047</v>
      </c>
      <c r="W383" s="6" t="str">
        <f aca="false">IF($J383="NA","NA",IF(AND($J383&gt;1989,V383&gt;0),"ERRO","OK"))</f>
        <v>OK</v>
      </c>
      <c r="X383" s="6" t="n">
        <f aca="false">(10-(LEN(Y383)))+1</f>
        <v>7</v>
      </c>
      <c r="Y383" s="6" t="n">
        <v>8829</v>
      </c>
      <c r="Z383" s="6" t="str">
        <f aca="false">IF($J383="NA","NA",IF(AND($J383&gt;1979,Y383&gt;0),"ERRO","OK"))</f>
        <v>OK</v>
      </c>
      <c r="AA383" s="6" t="n">
        <f aca="false">(10-(LEN(AB383)))+1</f>
        <v>7</v>
      </c>
      <c r="AB383" s="6" t="n">
        <v>9200</v>
      </c>
      <c r="AC383" s="6" t="str">
        <f aca="false">IF($J383="NA","NA",IF(AND($J383&gt;1969,AB383&gt;0),"ERRO","OK"))</f>
        <v>OK</v>
      </c>
      <c r="AD383" s="6" t="n">
        <f aca="false">(10-(LEN(AE383)))+1</f>
        <v>7</v>
      </c>
      <c r="AE383" s="6" t="n">
        <v>9867</v>
      </c>
      <c r="AF383" s="6" t="str">
        <f aca="false">IF($J383="NA","NA",IF(AND($J383&gt;1959,AE383&gt;0),"ERRO","OK"))</f>
        <v>OK</v>
      </c>
      <c r="AG383" s="6" t="n">
        <f aca="false">(10-(LEN(AH383)))+1</f>
        <v>6</v>
      </c>
      <c r="AH383" s="6" t="n">
        <v>14208</v>
      </c>
      <c r="AI383" s="6" t="str">
        <f aca="false">IF($J383="NA","NA",IF(AND($J383&gt;1949,AH383&gt;0),"ERRO","OK"))</f>
        <v>OK</v>
      </c>
      <c r="AJ383" s="6" t="n">
        <f aca="false">(10-(LEN(AK383)))+1</f>
        <v>6</v>
      </c>
      <c r="AK383" s="6" t="n">
        <v>14204</v>
      </c>
      <c r="AL383" s="6" t="str">
        <f aca="false">IF($J383="NA","NA",IF(AND($J383&gt;1939,AK383&gt;0),"ERRO","OK"))</f>
        <v>OK</v>
      </c>
      <c r="AM383" s="6" t="n">
        <f aca="false">(10-(LEN(AN383)))+1</f>
        <v>7</v>
      </c>
      <c r="AN383" s="6" t="n">
        <v>2285</v>
      </c>
      <c r="AO383" s="6" t="str">
        <f aca="false">IF($J383="NA","NA",IF(AND($J383&gt;1929,AN383&gt;0),"ERRO","OK"))</f>
        <v>OK</v>
      </c>
      <c r="AP383" s="6" t="n">
        <f aca="false">(10-(LEN(AQ383)))+1</f>
        <v>8</v>
      </c>
      <c r="AQ383" s="6" t="n">
        <v>601</v>
      </c>
      <c r="AR383" s="6" t="str">
        <f aca="false">IF($J383="NA","NA",IF(AND($J383&gt;1919,AQ383&gt;0),"ERRO","OK"))</f>
        <v>OK</v>
      </c>
      <c r="AS383" s="6" t="n">
        <f aca="false">(10-(LEN(AT383)))+1</f>
        <v>10</v>
      </c>
      <c r="AT383" s="6" t="n">
        <v>0</v>
      </c>
      <c r="AU383" s="6" t="str">
        <f aca="false">IF($J383="NA","NA",IF(AND($J383&gt;1909,AT383&gt;0),"ERRO","OK"))</f>
        <v>OK</v>
      </c>
      <c r="AV383" s="6" t="n">
        <f aca="false">(10-(LEN(AW383)))+1</f>
        <v>10</v>
      </c>
      <c r="AW383" s="6" t="n">
        <v>0</v>
      </c>
      <c r="AX383" s="6" t="str">
        <f aca="false">IF($J383="NA","NA",IF(AND($J383&gt;1899,AW383&gt;0),"ERRO","OK"))</f>
        <v>OK</v>
      </c>
    </row>
    <row r="384" customFormat="false" ht="15" hidden="false" customHeight="false" outlineLevel="0" collapsed="false">
      <c r="A384" s="7" t="n">
        <v>382</v>
      </c>
      <c r="B384" s="0" t="s">
        <v>401</v>
      </c>
      <c r="C384" s="8" t="n">
        <v>45334</v>
      </c>
      <c r="D384" s="6" t="n">
        <v>0</v>
      </c>
      <c r="E384" s="0" t="s">
        <v>16</v>
      </c>
      <c r="F384" s="0" t="s">
        <v>17</v>
      </c>
      <c r="G384" s="9" t="str">
        <f aca="false">IF(OR(N384="ERRO",Q384="ERRO",T384="ERRO",W384="ERRO",Z384="ERRO",AC384="ERRO",AF384="ERRO",AI384="ERRO",AL384="ERRO",AO384="ERRO",AR384="ERRO",AU384="ERRO",AX384="ERRO"),"ERRO","OK")</f>
        <v>ERRO</v>
      </c>
      <c r="H384" s="9" t="n">
        <f aca="false">COUNTIF(L384:AX384,"ERRO")</f>
        <v>1</v>
      </c>
      <c r="I384" s="9" t="s">
        <v>18</v>
      </c>
      <c r="J384" s="10" t="n">
        <v>1924</v>
      </c>
      <c r="K384" s="10" t="n">
        <v>2023</v>
      </c>
      <c r="L384" s="6" t="n">
        <f aca="false">(10-(LEN(M384)))+1</f>
        <v>8</v>
      </c>
      <c r="M384" s="6" t="n">
        <v>500</v>
      </c>
      <c r="N384" s="6" t="str">
        <f aca="false">IF($J384="NA","NA",IF(AND($J384&gt;2019,M384&gt;0),"ERRO","OK"))</f>
        <v>OK</v>
      </c>
      <c r="O384" s="6" t="n">
        <f aca="false">(10-(LEN(P384)))+1</f>
        <v>7</v>
      </c>
      <c r="P384" s="6" t="n">
        <v>1749</v>
      </c>
      <c r="Q384" s="6" t="str">
        <f aca="false">IF($J384="NA","NA",IF(AND($J384&gt;2009,P384&gt;0),"ERRO","OK"))</f>
        <v>OK</v>
      </c>
      <c r="R384" s="6" t="n">
        <f aca="false">(10-(LEN(S384)))+1</f>
        <v>7</v>
      </c>
      <c r="S384" s="6" t="n">
        <v>3697</v>
      </c>
      <c r="T384" s="6" t="str">
        <f aca="false">IF($J384="NA","NA",IF(AND($J384&gt;1999,S384&gt;0),"ERRO","OK"))</f>
        <v>OK</v>
      </c>
      <c r="U384" s="6" t="n">
        <f aca="false">(10-(LEN(V384)))+1</f>
        <v>7</v>
      </c>
      <c r="V384" s="6" t="n">
        <v>1932</v>
      </c>
      <c r="W384" s="6" t="str">
        <f aca="false">IF($J384="NA","NA",IF(AND($J384&gt;1989,V384&gt;0),"ERRO","OK"))</f>
        <v>OK</v>
      </c>
      <c r="X384" s="6" t="n">
        <f aca="false">(10-(LEN(Y384)))+1</f>
        <v>7</v>
      </c>
      <c r="Y384" s="6" t="n">
        <v>2301</v>
      </c>
      <c r="Z384" s="6" t="str">
        <f aca="false">IF($J384="NA","NA",IF(AND($J384&gt;1979,Y384&gt;0),"ERRO","OK"))</f>
        <v>OK</v>
      </c>
      <c r="AA384" s="6" t="n">
        <f aca="false">(10-(LEN(AB384)))+1</f>
        <v>8</v>
      </c>
      <c r="AB384" s="6" t="n">
        <v>293</v>
      </c>
      <c r="AC384" s="6" t="str">
        <f aca="false">IF($J384="NA","NA",IF(AND($J384&gt;1969,AB384&gt;0),"ERRO","OK"))</f>
        <v>OK</v>
      </c>
      <c r="AD384" s="6" t="n">
        <f aca="false">(10-(LEN(AE384)))+1</f>
        <v>9</v>
      </c>
      <c r="AE384" s="6" t="n">
        <v>90</v>
      </c>
      <c r="AF384" s="6" t="str">
        <f aca="false">IF($J384="NA","NA",IF(AND($J384&gt;1959,AE384&gt;0),"ERRO","OK"))</f>
        <v>OK</v>
      </c>
      <c r="AG384" s="6" t="n">
        <f aca="false">(10-(LEN(AH384)))+1</f>
        <v>10</v>
      </c>
      <c r="AH384" s="6" t="n">
        <v>0</v>
      </c>
      <c r="AI384" s="6" t="str">
        <f aca="false">IF($J384="NA","NA",IF(AND($J384&gt;1949,AH384&gt;0),"ERRO","OK"))</f>
        <v>OK</v>
      </c>
      <c r="AJ384" s="6" t="n">
        <f aca="false">(10-(LEN(AK384)))+1</f>
        <v>10</v>
      </c>
      <c r="AK384" s="6" t="n">
        <v>0</v>
      </c>
      <c r="AL384" s="6" t="str">
        <f aca="false">IF($J384="NA","NA",IF(AND($J384&gt;1939,AK384&gt;0),"ERRO","OK"))</f>
        <v>OK</v>
      </c>
      <c r="AM384" s="6" t="n">
        <f aca="false">(10-(LEN(AN384)))+1</f>
        <v>10</v>
      </c>
      <c r="AN384" s="6" t="n">
        <v>0</v>
      </c>
      <c r="AO384" s="6" t="str">
        <f aca="false">IF($J384="NA","NA",IF(AND($J384&gt;1929,AN384&gt;0),"ERRO","OK"))</f>
        <v>OK</v>
      </c>
      <c r="AP384" s="6" t="n">
        <f aca="false">(10-(LEN(AQ384)))+1</f>
        <v>10</v>
      </c>
      <c r="AQ384" s="6" t="n">
        <v>0</v>
      </c>
      <c r="AR384" s="6" t="str">
        <f aca="false">IF($J384="NA","NA",IF(AND($J384&gt;1919,AQ384&gt;0),"ERRO","OK"))</f>
        <v>OK</v>
      </c>
      <c r="AS384" s="6" t="n">
        <f aca="false">(10-(LEN(AT384)))+1</f>
        <v>10</v>
      </c>
      <c r="AT384" s="6" t="n">
        <v>0</v>
      </c>
      <c r="AU384" s="6" t="str">
        <f aca="false">IF($J384="NA","NA",IF(AND($J384&gt;1909,AT384&gt;0),"ERRO","OK"))</f>
        <v>OK</v>
      </c>
      <c r="AV384" s="6" t="n">
        <f aca="false">(10-(LEN(AW384)))+1</f>
        <v>8</v>
      </c>
      <c r="AW384" s="6" t="n">
        <v>258</v>
      </c>
      <c r="AX384" s="6" t="str">
        <f aca="false">IF($J384="NA","NA",IF(AND($J384&gt;1899,AW384&gt;0),"ERRO","OK"))</f>
        <v>ERRO</v>
      </c>
    </row>
    <row r="385" customFormat="false" ht="15" hidden="false" customHeight="false" outlineLevel="0" collapsed="false">
      <c r="A385" s="7" t="n">
        <v>383</v>
      </c>
      <c r="B385" s="0" t="s">
        <v>402</v>
      </c>
      <c r="C385" s="8" t="n">
        <v>45334</v>
      </c>
      <c r="D385" s="6" t="n">
        <v>0</v>
      </c>
      <c r="E385" s="0" t="s">
        <v>16</v>
      </c>
      <c r="F385" s="0" t="s">
        <v>17</v>
      </c>
      <c r="G385" s="9" t="str">
        <f aca="false">IF(OR(N385="ERRO",Q385="ERRO",T385="ERRO",W385="ERRO",Z385="ERRO",AC385="ERRO",AF385="ERRO",AI385="ERRO",AL385="ERRO",AO385="ERRO",AR385="ERRO",AU385="ERRO",AX385="ERRO"),"ERRO","OK")</f>
        <v>OK</v>
      </c>
      <c r="H385" s="9" t="n">
        <f aca="false">COUNTIF(L385:AX385,"ERRO")</f>
        <v>0</v>
      </c>
      <c r="I385" s="9" t="s">
        <v>18</v>
      </c>
      <c r="J385" s="10" t="n">
        <v>1908</v>
      </c>
      <c r="K385" s="10" t="n">
        <v>2002</v>
      </c>
      <c r="L385" s="6" t="n">
        <f aca="false">(10-(LEN(M385)))+1</f>
        <v>7</v>
      </c>
      <c r="M385" s="6" t="n">
        <v>4250</v>
      </c>
      <c r="N385" s="6" t="str">
        <f aca="false">IF($J385="NA","NA",IF(AND($J385&gt;2019,M385&gt;0),"ERRO","OK"))</f>
        <v>OK</v>
      </c>
      <c r="O385" s="6" t="n">
        <f aca="false">(10-(LEN(P385)))+1</f>
        <v>7</v>
      </c>
      <c r="P385" s="6" t="n">
        <v>6413</v>
      </c>
      <c r="Q385" s="6" t="str">
        <f aca="false">IF($J385="NA","NA",IF(AND($J385&gt;2009,P385&gt;0),"ERRO","OK"))</f>
        <v>OK</v>
      </c>
      <c r="R385" s="6" t="n">
        <f aca="false">(10-(LEN(S385)))+1</f>
        <v>7</v>
      </c>
      <c r="S385" s="6" t="n">
        <v>9837</v>
      </c>
      <c r="T385" s="6" t="str">
        <f aca="false">IF($J385="NA","NA",IF(AND($J385&gt;1999,S385&gt;0),"ERRO","OK"))</f>
        <v>OK</v>
      </c>
      <c r="U385" s="6" t="n">
        <f aca="false">(10-(LEN(V385)))+1</f>
        <v>7</v>
      </c>
      <c r="V385" s="6" t="n">
        <v>7254</v>
      </c>
      <c r="W385" s="6" t="str">
        <f aca="false">IF($J385="NA","NA",IF(AND($J385&gt;1989,V385&gt;0),"ERRO","OK"))</f>
        <v>OK</v>
      </c>
      <c r="X385" s="6" t="n">
        <f aca="false">(10-(LEN(Y385)))+1</f>
        <v>7</v>
      </c>
      <c r="Y385" s="6" t="n">
        <v>3263</v>
      </c>
      <c r="Z385" s="6" t="str">
        <f aca="false">IF($J385="NA","NA",IF(AND($J385&gt;1979,Y385&gt;0),"ERRO","OK"))</f>
        <v>OK</v>
      </c>
      <c r="AA385" s="6" t="n">
        <f aca="false">(10-(LEN(AB385)))+1</f>
        <v>6</v>
      </c>
      <c r="AB385" s="6" t="n">
        <v>10772</v>
      </c>
      <c r="AC385" s="6" t="str">
        <f aca="false">IF($J385="NA","NA",IF(AND($J385&gt;1969,AB385&gt;0),"ERRO","OK"))</f>
        <v>OK</v>
      </c>
      <c r="AD385" s="6" t="n">
        <f aca="false">(10-(LEN(AE385)))+1</f>
        <v>7</v>
      </c>
      <c r="AE385" s="6" t="n">
        <v>1226</v>
      </c>
      <c r="AF385" s="6" t="str">
        <f aca="false">IF($J385="NA","NA",IF(AND($J385&gt;1959,AE385&gt;0),"ERRO","OK"))</f>
        <v>OK</v>
      </c>
      <c r="AG385" s="6" t="n">
        <f aca="false">(10-(LEN(AH385)))+1</f>
        <v>7</v>
      </c>
      <c r="AH385" s="6" t="n">
        <v>5097</v>
      </c>
      <c r="AI385" s="6" t="str">
        <f aca="false">IF($J385="NA","NA",IF(AND($J385&gt;1949,AH385&gt;0),"ERRO","OK"))</f>
        <v>OK</v>
      </c>
      <c r="AJ385" s="6" t="n">
        <f aca="false">(10-(LEN(AK385)))+1</f>
        <v>6</v>
      </c>
      <c r="AK385" s="6" t="n">
        <v>13630</v>
      </c>
      <c r="AL385" s="6" t="str">
        <f aca="false">IF($J385="NA","NA",IF(AND($J385&gt;1939,AK385&gt;0),"ERRO","OK"))</f>
        <v>OK</v>
      </c>
      <c r="AM385" s="6" t="n">
        <f aca="false">(10-(LEN(AN385)))+1</f>
        <v>6</v>
      </c>
      <c r="AN385" s="6" t="n">
        <v>16848</v>
      </c>
      <c r="AO385" s="6" t="str">
        <f aca="false">IF($J385="NA","NA",IF(AND($J385&gt;1929,AN385&gt;0),"ERRO","OK"))</f>
        <v>OK</v>
      </c>
      <c r="AP385" s="6" t="n">
        <f aca="false">(10-(LEN(AQ385)))+1</f>
        <v>10</v>
      </c>
      <c r="AQ385" s="6" t="n">
        <v>0</v>
      </c>
      <c r="AR385" s="6" t="str">
        <f aca="false">IF($J385="NA","NA",IF(AND($J385&gt;1919,AQ385&gt;0),"ERRO","OK"))</f>
        <v>OK</v>
      </c>
      <c r="AS385" s="6" t="n">
        <f aca="false">(10-(LEN(AT385)))+1</f>
        <v>10</v>
      </c>
      <c r="AT385" s="6" t="n">
        <v>0</v>
      </c>
      <c r="AU385" s="6" t="str">
        <f aca="false">IF($J385="NA","NA",IF(AND($J385&gt;1909,AT385&gt;0),"ERRO","OK"))</f>
        <v>OK</v>
      </c>
      <c r="AV385" s="6" t="n">
        <f aca="false">(10-(LEN(AW385)))+1</f>
        <v>10</v>
      </c>
      <c r="AW385" s="6" t="n">
        <v>0</v>
      </c>
      <c r="AX385" s="6" t="str">
        <f aca="false">IF($J385="NA","NA",IF(AND($J385&gt;1899,AW385&gt;0),"ERRO","OK"))</f>
        <v>OK</v>
      </c>
    </row>
    <row r="386" customFormat="false" ht="15" hidden="false" customHeight="false" outlineLevel="0" collapsed="false">
      <c r="A386" s="7" t="n">
        <v>384</v>
      </c>
      <c r="B386" s="0" t="s">
        <v>403</v>
      </c>
      <c r="C386" s="8" t="n">
        <v>45334</v>
      </c>
      <c r="D386" s="6" t="n">
        <v>0</v>
      </c>
      <c r="E386" s="0" t="s">
        <v>16</v>
      </c>
      <c r="F386" s="0" t="s">
        <v>17</v>
      </c>
      <c r="G386" s="9" t="str">
        <f aca="false">IF(OR(N386="ERRO",Q386="ERRO",T386="ERRO",W386="ERRO",Z386="ERRO",AC386="ERRO",AF386="ERRO",AI386="ERRO",AL386="ERRO",AO386="ERRO",AR386="ERRO",AU386="ERRO",AX386="ERRO"),"ERRO","OK")</f>
        <v>OK</v>
      </c>
      <c r="H386" s="9" t="n">
        <f aca="false">COUNTIF(L386:AX386,"ERRO")</f>
        <v>0</v>
      </c>
      <c r="I386" s="9" t="s">
        <v>18</v>
      </c>
      <c r="J386" s="10" t="s">
        <v>22</v>
      </c>
      <c r="K386" s="10" t="s">
        <v>22</v>
      </c>
      <c r="L386" s="6" t="n">
        <f aca="false">(10-(LEN(M386)))+1</f>
        <v>8</v>
      </c>
      <c r="M386" s="6" t="n">
        <v>541</v>
      </c>
      <c r="N386" s="6" t="str">
        <f aca="false">IF($J386="NA","NA",IF(AND($J386&gt;2019,M386&gt;0),"ERRO","OK"))</f>
        <v>NA</v>
      </c>
      <c r="O386" s="6" t="n">
        <f aca="false">(10-(LEN(P386)))+1</f>
        <v>8</v>
      </c>
      <c r="P386" s="6" t="n">
        <v>274</v>
      </c>
      <c r="Q386" s="6" t="str">
        <f aca="false">IF($J386="NA","NA",IF(AND($J386&gt;2009,P386&gt;0),"ERRO","OK"))</f>
        <v>NA</v>
      </c>
      <c r="R386" s="6" t="n">
        <f aca="false">(10-(LEN(S386)))+1</f>
        <v>8</v>
      </c>
      <c r="S386" s="6" t="n">
        <v>420</v>
      </c>
      <c r="T386" s="6" t="str">
        <f aca="false">IF($J386="NA","NA",IF(AND($J386&gt;1999,S386&gt;0),"ERRO","OK"))</f>
        <v>NA</v>
      </c>
      <c r="U386" s="6" t="n">
        <f aca="false">(10-(LEN(V386)))+1</f>
        <v>7</v>
      </c>
      <c r="V386" s="6" t="n">
        <v>1196</v>
      </c>
      <c r="W386" s="6" t="str">
        <f aca="false">IF($J386="NA","NA",IF(AND($J386&gt;1989,V386&gt;0),"ERRO","OK"))</f>
        <v>NA</v>
      </c>
      <c r="X386" s="6" t="n">
        <f aca="false">(10-(LEN(Y386)))+1</f>
        <v>7</v>
      </c>
      <c r="Y386" s="6" t="n">
        <v>2461</v>
      </c>
      <c r="Z386" s="6" t="str">
        <f aca="false">IF($J386="NA","NA",IF(AND($J386&gt;1979,Y386&gt;0),"ERRO","OK"))</f>
        <v>NA</v>
      </c>
      <c r="AA386" s="6" t="n">
        <f aca="false">(10-(LEN(AB386)))+1</f>
        <v>7</v>
      </c>
      <c r="AB386" s="6" t="n">
        <v>1055</v>
      </c>
      <c r="AC386" s="6" t="str">
        <f aca="false">IF($J386="NA","NA",IF(AND($J386&gt;1969,AB386&gt;0),"ERRO","OK"))</f>
        <v>NA</v>
      </c>
      <c r="AD386" s="6" t="n">
        <f aca="false">(10-(LEN(AE386)))+1</f>
        <v>7</v>
      </c>
      <c r="AE386" s="6" t="n">
        <v>3857</v>
      </c>
      <c r="AF386" s="6" t="str">
        <f aca="false">IF($J386="NA","NA",IF(AND($J386&gt;1959,AE386&gt;0),"ERRO","OK"))</f>
        <v>NA</v>
      </c>
      <c r="AG386" s="6" t="n">
        <f aca="false">(10-(LEN(AH386)))+1</f>
        <v>7</v>
      </c>
      <c r="AH386" s="6" t="n">
        <v>1982</v>
      </c>
      <c r="AI386" s="6" t="str">
        <f aca="false">IF($J386="NA","NA",IF(AND($J386&gt;1949,AH386&gt;0),"ERRO","OK"))</f>
        <v>NA</v>
      </c>
      <c r="AJ386" s="6" t="n">
        <f aca="false">(10-(LEN(AK386)))+1</f>
        <v>8</v>
      </c>
      <c r="AK386" s="6" t="n">
        <v>139</v>
      </c>
      <c r="AL386" s="6" t="str">
        <f aca="false">IF($J386="NA","NA",IF(AND($J386&gt;1939,AK386&gt;0),"ERRO","OK"))</f>
        <v>NA</v>
      </c>
      <c r="AM386" s="6" t="n">
        <f aca="false">(10-(LEN(AN386)))+1</f>
        <v>8</v>
      </c>
      <c r="AN386" s="6" t="n">
        <v>762</v>
      </c>
      <c r="AO386" s="6" t="str">
        <f aca="false">IF($J386="NA","NA",IF(AND($J386&gt;1929,AN386&gt;0),"ERRO","OK"))</f>
        <v>NA</v>
      </c>
      <c r="AP386" s="6" t="n">
        <f aca="false">(10-(LEN(AQ386)))+1</f>
        <v>10</v>
      </c>
      <c r="AQ386" s="6" t="n">
        <v>0</v>
      </c>
      <c r="AR386" s="6" t="str">
        <f aca="false">IF($J386="NA","NA",IF(AND($J386&gt;1919,AQ386&gt;0),"ERRO","OK"))</f>
        <v>NA</v>
      </c>
      <c r="AS386" s="6" t="n">
        <f aca="false">(10-(LEN(AT386)))+1</f>
        <v>10</v>
      </c>
      <c r="AT386" s="6" t="n">
        <v>0</v>
      </c>
      <c r="AU386" s="6" t="str">
        <f aca="false">IF($J386="NA","NA",IF(AND($J386&gt;1909,AT386&gt;0),"ERRO","OK"))</f>
        <v>NA</v>
      </c>
      <c r="AV386" s="6" t="n">
        <f aca="false">(10-(LEN(AW386)))+1</f>
        <v>10</v>
      </c>
      <c r="AW386" s="6" t="n">
        <v>0</v>
      </c>
      <c r="AX386" s="6" t="str">
        <f aca="false">IF($J386="NA","NA",IF(AND($J386&gt;1899,AW386&gt;0),"ERRO","OK"))</f>
        <v>NA</v>
      </c>
    </row>
    <row r="387" customFormat="false" ht="15" hidden="false" customHeight="false" outlineLevel="0" collapsed="false">
      <c r="A387" s="7" t="n">
        <v>385</v>
      </c>
      <c r="B387" s="0" t="s">
        <v>404</v>
      </c>
      <c r="C387" s="8" t="n">
        <v>45334</v>
      </c>
      <c r="D387" s="6" t="n">
        <v>0</v>
      </c>
      <c r="E387" s="0" t="s">
        <v>16</v>
      </c>
      <c r="F387" s="0" t="s">
        <v>17</v>
      </c>
      <c r="G387" s="9" t="str">
        <f aca="false">IF(OR(N387="ERRO",Q387="ERRO",T387="ERRO",W387="ERRO",Z387="ERRO",AC387="ERRO",AF387="ERRO",AI387="ERRO",AL387="ERRO",AO387="ERRO",AR387="ERRO",AU387="ERRO",AX387="ERRO"),"ERRO","OK")</f>
        <v>OK</v>
      </c>
      <c r="H387" s="9" t="n">
        <f aca="false">COUNTIF(L387:AX387,"ERRO")</f>
        <v>0</v>
      </c>
      <c r="I387" s="9" t="s">
        <v>18</v>
      </c>
      <c r="J387" s="10" t="n">
        <v>1917</v>
      </c>
      <c r="K387" s="10" t="n">
        <v>2011</v>
      </c>
      <c r="L387" s="6" t="n">
        <f aca="false">(10-(LEN(M387)))+1</f>
        <v>8</v>
      </c>
      <c r="M387" s="6" t="n">
        <v>125</v>
      </c>
      <c r="N387" s="6" t="str">
        <f aca="false">IF($J387="NA","NA",IF(AND($J387&gt;2019,M387&gt;0),"ERRO","OK"))</f>
        <v>OK</v>
      </c>
      <c r="O387" s="6" t="n">
        <f aca="false">(10-(LEN(P387)))+1</f>
        <v>8</v>
      </c>
      <c r="P387" s="6" t="n">
        <v>377</v>
      </c>
      <c r="Q387" s="6" t="str">
        <f aca="false">IF($J387="NA","NA",IF(AND($J387&gt;2009,P387&gt;0),"ERRO","OK"))</f>
        <v>OK</v>
      </c>
      <c r="R387" s="6" t="n">
        <f aca="false">(10-(LEN(S387)))+1</f>
        <v>9</v>
      </c>
      <c r="S387" s="6" t="n">
        <v>42</v>
      </c>
      <c r="T387" s="6" t="str">
        <f aca="false">IF($J387="NA","NA",IF(AND($J387&gt;1999,S387&gt;0),"ERRO","OK"))</f>
        <v>OK</v>
      </c>
      <c r="U387" s="6" t="n">
        <f aca="false">(10-(LEN(V387)))+1</f>
        <v>7</v>
      </c>
      <c r="V387" s="6" t="n">
        <v>1104</v>
      </c>
      <c r="W387" s="6" t="str">
        <f aca="false">IF($J387="NA","NA",IF(AND($J387&gt;1989,V387&gt;0),"ERRO","OK"))</f>
        <v>OK</v>
      </c>
      <c r="X387" s="6" t="n">
        <f aca="false">(10-(LEN(Y387)))+1</f>
        <v>8</v>
      </c>
      <c r="Y387" s="6" t="n">
        <v>214</v>
      </c>
      <c r="Z387" s="6" t="str">
        <f aca="false">IF($J387="NA","NA",IF(AND($J387&gt;1979,Y387&gt;0),"ERRO","OK"))</f>
        <v>OK</v>
      </c>
      <c r="AA387" s="6" t="n">
        <f aca="false">(10-(LEN(AB387)))+1</f>
        <v>8</v>
      </c>
      <c r="AB387" s="6" t="n">
        <v>879</v>
      </c>
      <c r="AC387" s="6" t="str">
        <f aca="false">IF($J387="NA","NA",IF(AND($J387&gt;1969,AB387&gt;0),"ERRO","OK"))</f>
        <v>OK</v>
      </c>
      <c r="AD387" s="6" t="n">
        <f aca="false">(10-(LEN(AE387)))+1</f>
        <v>8</v>
      </c>
      <c r="AE387" s="6" t="n">
        <v>538</v>
      </c>
      <c r="AF387" s="6" t="str">
        <f aca="false">IF($J387="NA","NA",IF(AND($J387&gt;1959,AE387&gt;0),"ERRO","OK"))</f>
        <v>OK</v>
      </c>
      <c r="AG387" s="6" t="n">
        <f aca="false">(10-(LEN(AH387)))+1</f>
        <v>8</v>
      </c>
      <c r="AH387" s="6" t="n">
        <v>330</v>
      </c>
      <c r="AI387" s="6" t="str">
        <f aca="false">IF($J387="NA","NA",IF(AND($J387&gt;1949,AH387&gt;0),"ERRO","OK"))</f>
        <v>OK</v>
      </c>
      <c r="AJ387" s="6" t="n">
        <f aca="false">(10-(LEN(AK387)))+1</f>
        <v>8</v>
      </c>
      <c r="AK387" s="6" t="n">
        <v>279</v>
      </c>
      <c r="AL387" s="6" t="str">
        <f aca="false">IF($J387="NA","NA",IF(AND($J387&gt;1939,AK387&gt;0),"ERRO","OK"))</f>
        <v>OK</v>
      </c>
      <c r="AM387" s="6" t="n">
        <f aca="false">(10-(LEN(AN387)))+1</f>
        <v>10</v>
      </c>
      <c r="AN387" s="6" t="n">
        <v>0</v>
      </c>
      <c r="AO387" s="6" t="str">
        <f aca="false">IF($J387="NA","NA",IF(AND($J387&gt;1929,AN387&gt;0),"ERRO","OK"))</f>
        <v>OK</v>
      </c>
      <c r="AP387" s="6" t="n">
        <f aca="false">(10-(LEN(AQ387)))+1</f>
        <v>10</v>
      </c>
      <c r="AQ387" s="6" t="n">
        <v>0</v>
      </c>
      <c r="AR387" s="6" t="str">
        <f aca="false">IF($J387="NA","NA",IF(AND($J387&gt;1919,AQ387&gt;0),"ERRO","OK"))</f>
        <v>OK</v>
      </c>
      <c r="AS387" s="6" t="n">
        <f aca="false">(10-(LEN(AT387)))+1</f>
        <v>10</v>
      </c>
      <c r="AT387" s="6" t="n">
        <v>0</v>
      </c>
      <c r="AU387" s="6" t="str">
        <f aca="false">IF($J387="NA","NA",IF(AND($J387&gt;1909,AT387&gt;0),"ERRO","OK"))</f>
        <v>OK</v>
      </c>
      <c r="AV387" s="6" t="n">
        <f aca="false">(10-(LEN(AW387)))+1</f>
        <v>10</v>
      </c>
      <c r="AW387" s="6" t="n">
        <v>0</v>
      </c>
      <c r="AX387" s="6" t="str">
        <f aca="false">IF($J387="NA","NA",IF(AND($J387&gt;1899,AW387&gt;0),"ERRO","OK"))</f>
        <v>OK</v>
      </c>
    </row>
    <row r="388" customFormat="false" ht="15" hidden="false" customHeight="false" outlineLevel="0" collapsed="false">
      <c r="A388" s="7" t="n">
        <v>386</v>
      </c>
      <c r="B388" s="0" t="s">
        <v>405</v>
      </c>
      <c r="C388" s="8" t="n">
        <v>45334</v>
      </c>
      <c r="D388" s="6" t="n">
        <v>0</v>
      </c>
      <c r="E388" s="0" t="s">
        <v>16</v>
      </c>
      <c r="F388" s="0" t="s">
        <v>17</v>
      </c>
      <c r="G388" s="9" t="str">
        <f aca="false">IF(OR(N388="ERRO",Q388="ERRO",T388="ERRO",W388="ERRO",Z388="ERRO",AC388="ERRO",AF388="ERRO",AI388="ERRO",AL388="ERRO",AO388="ERRO",AR388="ERRO",AU388="ERRO",AX388="ERRO"),"ERRO","OK")</f>
        <v>OK</v>
      </c>
      <c r="H388" s="9" t="n">
        <f aca="false">COUNTIF(L388:AX388,"ERRO")</f>
        <v>0</v>
      </c>
      <c r="I388" s="9" t="s">
        <v>18</v>
      </c>
      <c r="J388" s="10" t="n">
        <v>1913</v>
      </c>
      <c r="K388" s="10" t="n">
        <v>1976</v>
      </c>
      <c r="L388" s="6" t="n">
        <f aca="false">(10-(LEN(M388)))+1</f>
        <v>10</v>
      </c>
      <c r="M388" s="6" t="n">
        <v>0</v>
      </c>
      <c r="N388" s="6" t="str">
        <f aca="false">IF($J388="NA","NA",IF(AND($J388&gt;2019,M388&gt;0),"ERRO","OK"))</f>
        <v>OK</v>
      </c>
      <c r="O388" s="6" t="n">
        <f aca="false">(10-(LEN(P388)))+1</f>
        <v>10</v>
      </c>
      <c r="P388" s="6" t="n">
        <v>0</v>
      </c>
      <c r="Q388" s="6" t="str">
        <f aca="false">IF($J388="NA","NA",IF(AND($J388&gt;2009,P388&gt;0),"ERRO","OK"))</f>
        <v>OK</v>
      </c>
      <c r="R388" s="6" t="n">
        <f aca="false">(10-(LEN(S388)))+1</f>
        <v>10</v>
      </c>
      <c r="S388" s="6" t="n">
        <v>0</v>
      </c>
      <c r="T388" s="6" t="str">
        <f aca="false">IF($J388="NA","NA",IF(AND($J388&gt;1999,S388&gt;0),"ERRO","OK"))</f>
        <v>OK</v>
      </c>
      <c r="U388" s="6" t="n">
        <f aca="false">(10-(LEN(V388)))+1</f>
        <v>10</v>
      </c>
      <c r="V388" s="6" t="n">
        <v>0</v>
      </c>
      <c r="W388" s="6" t="str">
        <f aca="false">IF($J388="NA","NA",IF(AND($J388&gt;1989,V388&gt;0),"ERRO","OK"))</f>
        <v>OK</v>
      </c>
      <c r="X388" s="6" t="n">
        <f aca="false">(10-(LEN(Y388)))+1</f>
        <v>10</v>
      </c>
      <c r="Y388" s="6" t="n">
        <v>0</v>
      </c>
      <c r="Z388" s="6" t="str">
        <f aca="false">IF($J388="NA","NA",IF(AND($J388&gt;1979,Y388&gt;0),"ERRO","OK"))</f>
        <v>OK</v>
      </c>
      <c r="AA388" s="6" t="n">
        <f aca="false">(10-(LEN(AB388)))+1</f>
        <v>10</v>
      </c>
      <c r="AB388" s="6" t="n">
        <v>0</v>
      </c>
      <c r="AC388" s="6" t="str">
        <f aca="false">IF($J388="NA","NA",IF(AND($J388&gt;1969,AB388&gt;0),"ERRO","OK"))</f>
        <v>OK</v>
      </c>
      <c r="AD388" s="6" t="n">
        <f aca="false">(10-(LEN(AE388)))+1</f>
        <v>10</v>
      </c>
      <c r="AE388" s="6" t="n">
        <v>0</v>
      </c>
      <c r="AF388" s="6" t="str">
        <f aca="false">IF($J388="NA","NA",IF(AND($J388&gt;1959,AE388&gt;0),"ERRO","OK"))</f>
        <v>OK</v>
      </c>
      <c r="AG388" s="6" t="n">
        <f aca="false">(10-(LEN(AH388)))+1</f>
        <v>10</v>
      </c>
      <c r="AH388" s="6" t="n">
        <v>0</v>
      </c>
      <c r="AI388" s="6" t="str">
        <f aca="false">IF($J388="NA","NA",IF(AND($J388&gt;1949,AH388&gt;0),"ERRO","OK"))</f>
        <v>OK</v>
      </c>
      <c r="AJ388" s="6" t="n">
        <f aca="false">(10-(LEN(AK388)))+1</f>
        <v>10</v>
      </c>
      <c r="AK388" s="6" t="n">
        <v>0</v>
      </c>
      <c r="AL388" s="6" t="str">
        <f aca="false">IF($J388="NA","NA",IF(AND($J388&gt;1939,AK388&gt;0),"ERRO","OK"))</f>
        <v>OK</v>
      </c>
      <c r="AM388" s="6" t="n">
        <f aca="false">(10-(LEN(AN388)))+1</f>
        <v>10</v>
      </c>
      <c r="AN388" s="6" t="n">
        <v>0</v>
      </c>
      <c r="AO388" s="6" t="str">
        <f aca="false">IF($J388="NA","NA",IF(AND($J388&gt;1929,AN388&gt;0),"ERRO","OK"))</f>
        <v>OK</v>
      </c>
      <c r="AP388" s="6" t="n">
        <f aca="false">(10-(LEN(AQ388)))+1</f>
        <v>10</v>
      </c>
      <c r="AQ388" s="6" t="n">
        <v>0</v>
      </c>
      <c r="AR388" s="6" t="str">
        <f aca="false">IF($J388="NA","NA",IF(AND($J388&gt;1919,AQ388&gt;0),"ERRO","OK"))</f>
        <v>OK</v>
      </c>
      <c r="AS388" s="6" t="n">
        <f aca="false">(10-(LEN(AT388)))+1</f>
        <v>10</v>
      </c>
      <c r="AT388" s="6" t="n">
        <v>0</v>
      </c>
      <c r="AU388" s="6" t="str">
        <f aca="false">IF($J388="NA","NA",IF(AND($J388&gt;1909,AT388&gt;0),"ERRO","OK"))</f>
        <v>OK</v>
      </c>
      <c r="AV388" s="6" t="n">
        <f aca="false">(10-(LEN(AW388)))+1</f>
        <v>10</v>
      </c>
      <c r="AW388" s="6" t="n">
        <v>0</v>
      </c>
      <c r="AX388" s="6" t="str">
        <f aca="false">IF($J388="NA","NA",IF(AND($J388&gt;1899,AW388&gt;0),"ERRO","OK"))</f>
        <v>OK</v>
      </c>
    </row>
    <row r="389" customFormat="false" ht="15" hidden="false" customHeight="false" outlineLevel="0" collapsed="false">
      <c r="A389" s="7" t="n">
        <v>387</v>
      </c>
      <c r="B389" s="0" t="s">
        <v>406</v>
      </c>
      <c r="C389" s="8" t="n">
        <v>45334</v>
      </c>
      <c r="D389" s="6" t="n">
        <v>0</v>
      </c>
      <c r="E389" s="0" t="s">
        <v>16</v>
      </c>
      <c r="F389" s="0" t="s">
        <v>17</v>
      </c>
      <c r="G389" s="9" t="str">
        <f aca="false">IF(OR(N389="ERRO",Q389="ERRO",T389="ERRO",W389="ERRO",Z389="ERRO",AC389="ERRO",AF389="ERRO",AI389="ERRO",AL389="ERRO",AO389="ERRO",AR389="ERRO",AU389="ERRO",AX389="ERRO"),"ERRO","OK")</f>
        <v>OK</v>
      </c>
      <c r="H389" s="9" t="n">
        <f aca="false">COUNTIF(L389:AX389,"ERRO")</f>
        <v>0</v>
      </c>
      <c r="I389" s="9" t="s">
        <v>18</v>
      </c>
      <c r="J389" s="10" t="n">
        <v>1915</v>
      </c>
      <c r="K389" s="10" t="n">
        <v>1966</v>
      </c>
      <c r="L389" s="6" t="n">
        <f aca="false">(10-(LEN(M389)))+1</f>
        <v>10</v>
      </c>
      <c r="M389" s="6" t="n">
        <v>0</v>
      </c>
      <c r="N389" s="6" t="str">
        <f aca="false">IF($J389="NA","NA",IF(AND($J389&gt;2019,M389&gt;0),"ERRO","OK"))</f>
        <v>OK</v>
      </c>
      <c r="O389" s="6" t="n">
        <f aca="false">(10-(LEN(P389)))+1</f>
        <v>8</v>
      </c>
      <c r="P389" s="6" t="n">
        <v>549</v>
      </c>
      <c r="Q389" s="6" t="str">
        <f aca="false">IF($J389="NA","NA",IF(AND($J389&gt;2009,P389&gt;0),"ERRO","OK"))</f>
        <v>OK</v>
      </c>
      <c r="R389" s="6" t="n">
        <f aca="false">(10-(LEN(S389)))+1</f>
        <v>7</v>
      </c>
      <c r="S389" s="6" t="n">
        <v>1639</v>
      </c>
      <c r="T389" s="6" t="str">
        <f aca="false">IF($J389="NA","NA",IF(AND($J389&gt;1999,S389&gt;0),"ERRO","OK"))</f>
        <v>OK</v>
      </c>
      <c r="U389" s="6" t="n">
        <f aca="false">(10-(LEN(V389)))+1</f>
        <v>8</v>
      </c>
      <c r="V389" s="6" t="n">
        <v>736</v>
      </c>
      <c r="W389" s="6" t="str">
        <f aca="false">IF($J389="NA","NA",IF(AND($J389&gt;1989,V389&gt;0),"ERRO","OK"))</f>
        <v>OK</v>
      </c>
      <c r="X389" s="6" t="n">
        <f aca="false">(10-(LEN(Y389)))+1</f>
        <v>8</v>
      </c>
      <c r="Y389" s="6" t="n">
        <v>161</v>
      </c>
      <c r="Z389" s="6" t="str">
        <f aca="false">IF($J389="NA","NA",IF(AND($J389&gt;1979,Y389&gt;0),"ERRO","OK"))</f>
        <v>OK</v>
      </c>
      <c r="AA389" s="6" t="n">
        <f aca="false">(10-(LEN(AB389)))+1</f>
        <v>8</v>
      </c>
      <c r="AB389" s="6" t="n">
        <v>117</v>
      </c>
      <c r="AC389" s="6" t="str">
        <f aca="false">IF($J389="NA","NA",IF(AND($J389&gt;1969,AB389&gt;0),"ERRO","OK"))</f>
        <v>OK</v>
      </c>
      <c r="AD389" s="6" t="n">
        <f aca="false">(10-(LEN(AE389)))+1</f>
        <v>10</v>
      </c>
      <c r="AE389" s="6" t="n">
        <v>0</v>
      </c>
      <c r="AF389" s="6" t="str">
        <f aca="false">IF($J389="NA","NA",IF(AND($J389&gt;1959,AE389&gt;0),"ERRO","OK"))</f>
        <v>OK</v>
      </c>
      <c r="AG389" s="6" t="n">
        <f aca="false">(10-(LEN(AH389)))+1</f>
        <v>10</v>
      </c>
      <c r="AH389" s="6" t="n">
        <v>0</v>
      </c>
      <c r="AI389" s="6" t="str">
        <f aca="false">IF($J389="NA","NA",IF(AND($J389&gt;1949,AH389&gt;0),"ERRO","OK"))</f>
        <v>OK</v>
      </c>
      <c r="AJ389" s="6" t="n">
        <f aca="false">(10-(LEN(AK389)))+1</f>
        <v>10</v>
      </c>
      <c r="AK389" s="6" t="n">
        <v>0</v>
      </c>
      <c r="AL389" s="6" t="str">
        <f aca="false">IF($J389="NA","NA",IF(AND($J389&gt;1939,AK389&gt;0),"ERRO","OK"))</f>
        <v>OK</v>
      </c>
      <c r="AM389" s="6" t="n">
        <f aca="false">(10-(LEN(AN389)))+1</f>
        <v>10</v>
      </c>
      <c r="AN389" s="6" t="n">
        <v>0</v>
      </c>
      <c r="AO389" s="6" t="str">
        <f aca="false">IF($J389="NA","NA",IF(AND($J389&gt;1929,AN389&gt;0),"ERRO","OK"))</f>
        <v>OK</v>
      </c>
      <c r="AP389" s="6" t="n">
        <f aca="false">(10-(LEN(AQ389)))+1</f>
        <v>10</v>
      </c>
      <c r="AQ389" s="6" t="n">
        <v>0</v>
      </c>
      <c r="AR389" s="6" t="str">
        <f aca="false">IF($J389="NA","NA",IF(AND($J389&gt;1919,AQ389&gt;0),"ERRO","OK"))</f>
        <v>OK</v>
      </c>
      <c r="AS389" s="6" t="n">
        <f aca="false">(10-(LEN(AT389)))+1</f>
        <v>10</v>
      </c>
      <c r="AT389" s="6" t="n">
        <v>0</v>
      </c>
      <c r="AU389" s="6" t="str">
        <f aca="false">IF($J389="NA","NA",IF(AND($J389&gt;1909,AT389&gt;0),"ERRO","OK"))</f>
        <v>OK</v>
      </c>
      <c r="AV389" s="6" t="n">
        <f aca="false">(10-(LEN(AW389)))+1</f>
        <v>10</v>
      </c>
      <c r="AW389" s="6" t="n">
        <v>0</v>
      </c>
      <c r="AX389" s="6" t="str">
        <f aca="false">IF($J389="NA","NA",IF(AND($J389&gt;1899,AW389&gt;0),"ERRO","OK"))</f>
        <v>OK</v>
      </c>
    </row>
    <row r="390" customFormat="false" ht="15" hidden="false" customHeight="false" outlineLevel="0" collapsed="false">
      <c r="A390" s="7" t="n">
        <v>388</v>
      </c>
      <c r="B390" s="0" t="s">
        <v>407</v>
      </c>
      <c r="C390" s="8" t="n">
        <v>45334</v>
      </c>
      <c r="D390" s="6" t="n">
        <v>0</v>
      </c>
      <c r="E390" s="0" t="s">
        <v>16</v>
      </c>
      <c r="F390" s="0" t="s">
        <v>17</v>
      </c>
      <c r="G390" s="9" t="str">
        <f aca="false">IF(OR(N390="ERRO",Q390="ERRO",T390="ERRO",W390="ERRO",Z390="ERRO",AC390="ERRO",AF390="ERRO",AI390="ERRO",AL390="ERRO",AO390="ERRO",AR390="ERRO",AU390="ERRO",AX390="ERRO"),"ERRO","OK")</f>
        <v>OK</v>
      </c>
      <c r="H390" s="9" t="n">
        <f aca="false">COUNTIF(L390:AX390,"ERRO")</f>
        <v>0</v>
      </c>
      <c r="I390" s="9" t="s">
        <v>18</v>
      </c>
      <c r="J390" s="10" t="n">
        <v>1913</v>
      </c>
      <c r="K390" s="10" t="n">
        <v>2008</v>
      </c>
      <c r="L390" s="6" t="n">
        <f aca="false">(10-(LEN(M390)))+1</f>
        <v>6</v>
      </c>
      <c r="M390" s="6" t="n">
        <v>77292</v>
      </c>
      <c r="N390" s="6" t="str">
        <f aca="false">IF($J390="NA","NA",IF(AND($J390&gt;2019,M390&gt;0),"ERRO","OK"))</f>
        <v>OK</v>
      </c>
      <c r="O390" s="6" t="n">
        <f aca="false">(10-(LEN(P390)))+1</f>
        <v>6</v>
      </c>
      <c r="P390" s="6" t="n">
        <v>41576</v>
      </c>
      <c r="Q390" s="6" t="str">
        <f aca="false">IF($J390="NA","NA",IF(AND($J390&gt;2009,P390&gt;0),"ERRO","OK"))</f>
        <v>OK</v>
      </c>
      <c r="R390" s="6" t="n">
        <f aca="false">(10-(LEN(S390)))+1</f>
        <v>6</v>
      </c>
      <c r="S390" s="6" t="n">
        <v>12227</v>
      </c>
      <c r="T390" s="6" t="str">
        <f aca="false">IF($J390="NA","NA",IF(AND($J390&gt;1999,S390&gt;0),"ERRO","OK"))</f>
        <v>OK</v>
      </c>
      <c r="U390" s="6" t="n">
        <f aca="false">(10-(LEN(V390)))+1</f>
        <v>7</v>
      </c>
      <c r="V390" s="6" t="n">
        <v>7957</v>
      </c>
      <c r="W390" s="6" t="str">
        <f aca="false">IF($J390="NA","NA",IF(AND($J390&gt;1989,V390&gt;0),"ERRO","OK"))</f>
        <v>OK</v>
      </c>
      <c r="X390" s="6" t="n">
        <f aca="false">(10-(LEN(Y390)))+1</f>
        <v>6</v>
      </c>
      <c r="Y390" s="6" t="n">
        <v>10916</v>
      </c>
      <c r="Z390" s="6" t="str">
        <f aca="false">IF($J390="NA","NA",IF(AND($J390&gt;1979,Y390&gt;0),"ERRO","OK"))</f>
        <v>OK</v>
      </c>
      <c r="AA390" s="6" t="n">
        <f aca="false">(10-(LEN(AB390)))+1</f>
        <v>7</v>
      </c>
      <c r="AB390" s="6" t="n">
        <v>6036</v>
      </c>
      <c r="AC390" s="6" t="str">
        <f aca="false">IF($J390="NA","NA",IF(AND($J390&gt;1969,AB390&gt;0),"ERRO","OK"))</f>
        <v>OK</v>
      </c>
      <c r="AD390" s="6" t="n">
        <f aca="false">(10-(LEN(AE390)))+1</f>
        <v>7</v>
      </c>
      <c r="AE390" s="6" t="n">
        <v>2153</v>
      </c>
      <c r="AF390" s="6" t="str">
        <f aca="false">IF($J390="NA","NA",IF(AND($J390&gt;1959,AE390&gt;0),"ERRO","OK"))</f>
        <v>OK</v>
      </c>
      <c r="AG390" s="6" t="n">
        <f aca="false">(10-(LEN(AH390)))+1</f>
        <v>7</v>
      </c>
      <c r="AH390" s="6" t="n">
        <v>1762</v>
      </c>
      <c r="AI390" s="6" t="str">
        <f aca="false">IF($J390="NA","NA",IF(AND($J390&gt;1949,AH390&gt;0),"ERRO","OK"))</f>
        <v>OK</v>
      </c>
      <c r="AJ390" s="6" t="n">
        <f aca="false">(10-(LEN(AK390)))+1</f>
        <v>10</v>
      </c>
      <c r="AK390" s="6" t="n">
        <v>0</v>
      </c>
      <c r="AL390" s="6" t="str">
        <f aca="false">IF($J390="NA","NA",IF(AND($J390&gt;1939,AK390&gt;0),"ERRO","OK"))</f>
        <v>OK</v>
      </c>
      <c r="AM390" s="6" t="n">
        <f aca="false">(10-(LEN(AN390)))+1</f>
        <v>10</v>
      </c>
      <c r="AN390" s="6" t="n">
        <v>0</v>
      </c>
      <c r="AO390" s="6" t="str">
        <f aca="false">IF($J390="NA","NA",IF(AND($J390&gt;1929,AN390&gt;0),"ERRO","OK"))</f>
        <v>OK</v>
      </c>
      <c r="AP390" s="6" t="n">
        <f aca="false">(10-(LEN(AQ390)))+1</f>
        <v>10</v>
      </c>
      <c r="AQ390" s="6" t="n">
        <v>0</v>
      </c>
      <c r="AR390" s="6" t="str">
        <f aca="false">IF($J390="NA","NA",IF(AND($J390&gt;1919,AQ390&gt;0),"ERRO","OK"))</f>
        <v>OK</v>
      </c>
      <c r="AS390" s="6" t="n">
        <f aca="false">(10-(LEN(AT390)))+1</f>
        <v>10</v>
      </c>
      <c r="AT390" s="6" t="n">
        <v>0</v>
      </c>
      <c r="AU390" s="6" t="str">
        <f aca="false">IF($J390="NA","NA",IF(AND($J390&gt;1909,AT390&gt;0),"ERRO","OK"))</f>
        <v>OK</v>
      </c>
      <c r="AV390" s="6" t="n">
        <f aca="false">(10-(LEN(AW390)))+1</f>
        <v>10</v>
      </c>
      <c r="AW390" s="6" t="n">
        <v>0</v>
      </c>
      <c r="AX390" s="6" t="str">
        <f aca="false">IF($J390="NA","NA",IF(AND($J390&gt;1899,AW390&gt;0),"ERRO","OK"))</f>
        <v>OK</v>
      </c>
    </row>
    <row r="391" customFormat="false" ht="15" hidden="false" customHeight="false" outlineLevel="0" collapsed="false">
      <c r="A391" s="7" t="n">
        <v>389</v>
      </c>
      <c r="B391" s="0" t="s">
        <v>408</v>
      </c>
      <c r="C391" s="8" t="n">
        <v>45334</v>
      </c>
      <c r="D391" s="6" t="n">
        <v>0</v>
      </c>
      <c r="E391" s="0" t="s">
        <v>16</v>
      </c>
      <c r="F391" s="0" t="s">
        <v>17</v>
      </c>
      <c r="G391" s="9" t="str">
        <f aca="false">IF(OR(N391="ERRO",Q391="ERRO",T391="ERRO",W391="ERRO",Z391="ERRO",AC391="ERRO",AF391="ERRO",AI391="ERRO",AL391="ERRO",AO391="ERRO",AR391="ERRO",AU391="ERRO",AX391="ERRO"),"ERRO","OK")</f>
        <v>OK</v>
      </c>
      <c r="H391" s="9" t="n">
        <f aca="false">COUNTIF(L391:AX391,"ERRO")</f>
        <v>0</v>
      </c>
      <c r="I391" s="9" t="s">
        <v>18</v>
      </c>
      <c r="J391" s="10" t="n">
        <v>1918</v>
      </c>
      <c r="K391" s="10" t="n">
        <v>1963</v>
      </c>
      <c r="L391" s="6" t="n">
        <f aca="false">(10-(LEN(M391)))+1</f>
        <v>9</v>
      </c>
      <c r="M391" s="6" t="n">
        <v>42</v>
      </c>
      <c r="N391" s="6" t="str">
        <f aca="false">IF($J391="NA","NA",IF(AND($J391&gt;2019,M391&gt;0),"ERRO","OK"))</f>
        <v>OK</v>
      </c>
      <c r="O391" s="6" t="n">
        <f aca="false">(10-(LEN(P391)))+1</f>
        <v>9</v>
      </c>
      <c r="P391" s="6" t="n">
        <v>69</v>
      </c>
      <c r="Q391" s="6" t="str">
        <f aca="false">IF($J391="NA","NA",IF(AND($J391&gt;2009,P391&gt;0),"ERRO","OK"))</f>
        <v>OK</v>
      </c>
      <c r="R391" s="6" t="n">
        <f aca="false">(10-(LEN(S391)))+1</f>
        <v>9</v>
      </c>
      <c r="S391" s="6" t="n">
        <v>42</v>
      </c>
      <c r="T391" s="6" t="str">
        <f aca="false">IF($J391="NA","NA",IF(AND($J391&gt;1999,S391&gt;0),"ERRO","OK"))</f>
        <v>OK</v>
      </c>
      <c r="U391" s="6" t="n">
        <f aca="false">(10-(LEN(V391)))+1</f>
        <v>9</v>
      </c>
      <c r="V391" s="6" t="n">
        <v>92</v>
      </c>
      <c r="W391" s="6" t="str">
        <f aca="false">IF($J391="NA","NA",IF(AND($J391&gt;1989,V391&gt;0),"ERRO","OK"))</f>
        <v>OK</v>
      </c>
      <c r="X391" s="6" t="n">
        <f aca="false">(10-(LEN(Y391)))+1</f>
        <v>7</v>
      </c>
      <c r="Y391" s="6" t="n">
        <v>1445</v>
      </c>
      <c r="Z391" s="6" t="str">
        <f aca="false">IF($J391="NA","NA",IF(AND($J391&gt;1979,Y391&gt;0),"ERRO","OK"))</f>
        <v>OK</v>
      </c>
      <c r="AA391" s="6" t="n">
        <f aca="false">(10-(LEN(AB391)))+1</f>
        <v>9</v>
      </c>
      <c r="AB391" s="6" t="n">
        <v>59</v>
      </c>
      <c r="AC391" s="6" t="str">
        <f aca="false">IF($J391="NA","NA",IF(AND($J391&gt;1969,AB391&gt;0),"ERRO","OK"))</f>
        <v>OK</v>
      </c>
      <c r="AD391" s="6" t="n">
        <f aca="false">(10-(LEN(AE391)))+1</f>
        <v>9</v>
      </c>
      <c r="AE391" s="6" t="n">
        <v>90</v>
      </c>
      <c r="AF391" s="6" t="str">
        <f aca="false">IF($J391="NA","NA",IF(AND($J391&gt;1959,AE391&gt;0),"ERRO","OK"))</f>
        <v>OK</v>
      </c>
      <c r="AG391" s="6" t="n">
        <f aca="false">(10-(LEN(AH391)))+1</f>
        <v>8</v>
      </c>
      <c r="AH391" s="6" t="n">
        <v>330</v>
      </c>
      <c r="AI391" s="6" t="str">
        <f aca="false">IF($J391="NA","NA",IF(AND($J391&gt;1949,AH391&gt;0),"ERRO","OK"))</f>
        <v>OK</v>
      </c>
      <c r="AJ391" s="6" t="n">
        <f aca="false">(10-(LEN(AK391)))+1</f>
        <v>10</v>
      </c>
      <c r="AK391" s="6" t="n">
        <v>0</v>
      </c>
      <c r="AL391" s="6" t="str">
        <f aca="false">IF($J391="NA","NA",IF(AND($J391&gt;1939,AK391&gt;0),"ERRO","OK"))</f>
        <v>OK</v>
      </c>
      <c r="AM391" s="6" t="n">
        <f aca="false">(10-(LEN(AN391)))+1</f>
        <v>10</v>
      </c>
      <c r="AN391" s="6" t="n">
        <v>0</v>
      </c>
      <c r="AO391" s="6" t="str">
        <f aca="false">IF($J391="NA","NA",IF(AND($J391&gt;1929,AN391&gt;0),"ERRO","OK"))</f>
        <v>OK</v>
      </c>
      <c r="AP391" s="6" t="n">
        <f aca="false">(10-(LEN(AQ391)))+1</f>
        <v>10</v>
      </c>
      <c r="AQ391" s="6" t="n">
        <v>0</v>
      </c>
      <c r="AR391" s="6" t="str">
        <f aca="false">IF($J391="NA","NA",IF(AND($J391&gt;1919,AQ391&gt;0),"ERRO","OK"))</f>
        <v>OK</v>
      </c>
      <c r="AS391" s="6" t="n">
        <f aca="false">(10-(LEN(AT391)))+1</f>
        <v>10</v>
      </c>
      <c r="AT391" s="6" t="n">
        <v>0</v>
      </c>
      <c r="AU391" s="6" t="str">
        <f aca="false">IF($J391="NA","NA",IF(AND($J391&gt;1909,AT391&gt;0),"ERRO","OK"))</f>
        <v>OK</v>
      </c>
      <c r="AV391" s="6" t="n">
        <f aca="false">(10-(LEN(AW391)))+1</f>
        <v>10</v>
      </c>
      <c r="AW391" s="6" t="n">
        <v>0</v>
      </c>
      <c r="AX391" s="6" t="str">
        <f aca="false">IF($J391="NA","NA",IF(AND($J391&gt;1899,AW391&gt;0),"ERRO","OK"))</f>
        <v>OK</v>
      </c>
    </row>
    <row r="392" customFormat="false" ht="15" hidden="false" customHeight="false" outlineLevel="0" collapsed="false">
      <c r="A392" s="7" t="n">
        <v>390</v>
      </c>
      <c r="B392" s="0" t="s">
        <v>409</v>
      </c>
      <c r="C392" s="8" t="n">
        <v>45334</v>
      </c>
      <c r="D392" s="6" t="n">
        <v>0</v>
      </c>
      <c r="E392" s="0" t="s">
        <v>16</v>
      </c>
      <c r="F392" s="0" t="s">
        <v>17</v>
      </c>
      <c r="G392" s="9" t="str">
        <f aca="false">IF(OR(N392="ERRO",Q392="ERRO",T392="ERRO",W392="ERRO",Z392="ERRO",AC392="ERRO",AF392="ERRO",AI392="ERRO",AL392="ERRO",AO392="ERRO",AR392="ERRO",AU392="ERRO",AX392="ERRO"),"ERRO","OK")</f>
        <v>OK</v>
      </c>
      <c r="H392" s="9" t="n">
        <f aca="false">COUNTIF(L392:AX392,"ERRO")</f>
        <v>0</v>
      </c>
      <c r="I392" s="9" t="s">
        <v>18</v>
      </c>
      <c r="J392" s="10" t="s">
        <v>22</v>
      </c>
      <c r="K392" s="10" t="s">
        <v>22</v>
      </c>
      <c r="L392" s="6" t="n">
        <f aca="false">(10-(LEN(M392)))+1</f>
        <v>8</v>
      </c>
      <c r="M392" s="6" t="n">
        <v>250</v>
      </c>
      <c r="N392" s="6" t="str">
        <f aca="false">IF($J392="NA","NA",IF(AND($J392&gt;2019,M392&gt;0),"ERRO","OK"))</f>
        <v>NA</v>
      </c>
      <c r="O392" s="6" t="n">
        <f aca="false">(10-(LEN(P392)))+1</f>
        <v>8</v>
      </c>
      <c r="P392" s="6" t="n">
        <v>172</v>
      </c>
      <c r="Q392" s="6" t="str">
        <f aca="false">IF($J392="NA","NA",IF(AND($J392&gt;2009,P392&gt;0),"ERRO","OK"))</f>
        <v>NA</v>
      </c>
      <c r="R392" s="6" t="n">
        <f aca="false">(10-(LEN(S392)))+1</f>
        <v>8</v>
      </c>
      <c r="S392" s="6" t="n">
        <v>630</v>
      </c>
      <c r="T392" s="6" t="str">
        <f aca="false">IF($J392="NA","NA",IF(AND($J392&gt;1999,S392&gt;0),"ERRO","OK"))</f>
        <v>NA</v>
      </c>
      <c r="U392" s="6" t="n">
        <f aca="false">(10-(LEN(V392)))+1</f>
        <v>7</v>
      </c>
      <c r="V392" s="6" t="n">
        <v>1426</v>
      </c>
      <c r="W392" s="6" t="str">
        <f aca="false">IF($J392="NA","NA",IF(AND($J392&gt;1989,V392&gt;0),"ERRO","OK"))</f>
        <v>NA</v>
      </c>
      <c r="X392" s="6" t="n">
        <f aca="false">(10-(LEN(Y392)))+1</f>
        <v>8</v>
      </c>
      <c r="Y392" s="6" t="n">
        <v>642</v>
      </c>
      <c r="Z392" s="6" t="str">
        <f aca="false">IF($J392="NA","NA",IF(AND($J392&gt;1979,Y392&gt;0),"ERRO","OK"))</f>
        <v>NA</v>
      </c>
      <c r="AA392" s="6" t="n">
        <f aca="false">(10-(LEN(AB392)))+1</f>
        <v>7</v>
      </c>
      <c r="AB392" s="6" t="n">
        <v>1172</v>
      </c>
      <c r="AC392" s="6" t="str">
        <f aca="false">IF($J392="NA","NA",IF(AND($J392&gt;1969,AB392&gt;0),"ERRO","OK"))</f>
        <v>NA</v>
      </c>
      <c r="AD392" s="6" t="n">
        <f aca="false">(10-(LEN(AE392)))+1</f>
        <v>8</v>
      </c>
      <c r="AE392" s="6" t="n">
        <v>987</v>
      </c>
      <c r="AF392" s="6" t="str">
        <f aca="false">IF($J392="NA","NA",IF(AND($J392&gt;1959,AE392&gt;0),"ERRO","OK"))</f>
        <v>NA</v>
      </c>
      <c r="AG392" s="6" t="n">
        <f aca="false">(10-(LEN(AH392)))+1</f>
        <v>10</v>
      </c>
      <c r="AH392" s="6" t="n">
        <v>0</v>
      </c>
      <c r="AI392" s="6" t="str">
        <f aca="false">IF($J392="NA","NA",IF(AND($J392&gt;1949,AH392&gt;0),"ERRO","OK"))</f>
        <v>NA</v>
      </c>
      <c r="AJ392" s="6" t="n">
        <f aca="false">(10-(LEN(AK392)))+1</f>
        <v>8</v>
      </c>
      <c r="AK392" s="6" t="n">
        <v>139</v>
      </c>
      <c r="AL392" s="6" t="str">
        <f aca="false">IF($J392="NA","NA",IF(AND($J392&gt;1939,AK392&gt;0),"ERRO","OK"))</f>
        <v>NA</v>
      </c>
      <c r="AM392" s="6" t="n">
        <f aca="false">(10-(LEN(AN392)))+1</f>
        <v>10</v>
      </c>
      <c r="AN392" s="6" t="n">
        <v>0</v>
      </c>
      <c r="AO392" s="6" t="str">
        <f aca="false">IF($J392="NA","NA",IF(AND($J392&gt;1929,AN392&gt;0),"ERRO","OK"))</f>
        <v>NA</v>
      </c>
      <c r="AP392" s="6" t="n">
        <f aca="false">(10-(LEN(AQ392)))+1</f>
        <v>10</v>
      </c>
      <c r="AQ392" s="6" t="n">
        <v>0</v>
      </c>
      <c r="AR392" s="6" t="str">
        <f aca="false">IF($J392="NA","NA",IF(AND($J392&gt;1919,AQ392&gt;0),"ERRO","OK"))</f>
        <v>NA</v>
      </c>
      <c r="AS392" s="6" t="n">
        <f aca="false">(10-(LEN(AT392)))+1</f>
        <v>10</v>
      </c>
      <c r="AT392" s="6" t="n">
        <v>0</v>
      </c>
      <c r="AU392" s="6" t="str">
        <f aca="false">IF($J392="NA","NA",IF(AND($J392&gt;1909,AT392&gt;0),"ERRO","OK"))</f>
        <v>NA</v>
      </c>
      <c r="AV392" s="6" t="n">
        <f aca="false">(10-(LEN(AW392)))+1</f>
        <v>10</v>
      </c>
      <c r="AW392" s="6" t="n">
        <v>0</v>
      </c>
      <c r="AX392" s="6" t="str">
        <f aca="false">IF($J392="NA","NA",IF(AND($J392&gt;1899,AW392&gt;0),"ERRO","OK"))</f>
        <v>NA</v>
      </c>
    </row>
    <row r="393" customFormat="false" ht="15" hidden="false" customHeight="false" outlineLevel="0" collapsed="false">
      <c r="A393" s="7" t="n">
        <v>391</v>
      </c>
      <c r="B393" s="0" t="s">
        <v>410</v>
      </c>
      <c r="C393" s="8" t="n">
        <v>45334</v>
      </c>
      <c r="D393" s="6" t="n">
        <v>0</v>
      </c>
      <c r="E393" s="0" t="s">
        <v>16</v>
      </c>
      <c r="F393" s="0" t="s">
        <v>17</v>
      </c>
      <c r="G393" s="9" t="str">
        <f aca="false">IF(OR(N393="ERRO",Q393="ERRO",T393="ERRO",W393="ERRO",Z393="ERRO",AC393="ERRO",AF393="ERRO",AI393="ERRO",AL393="ERRO",AO393="ERRO",AR393="ERRO",AU393="ERRO",AX393="ERRO"),"ERRO","OK")</f>
        <v>OK</v>
      </c>
      <c r="H393" s="9" t="n">
        <f aca="false">COUNTIF(L393:AX393,"ERRO")</f>
        <v>0</v>
      </c>
      <c r="I393" s="9" t="s">
        <v>18</v>
      </c>
      <c r="J393" s="10" t="n">
        <v>1924</v>
      </c>
      <c r="K393" s="10" t="n">
        <v>2003</v>
      </c>
      <c r="L393" s="6" t="n">
        <f aca="false">(10-(LEN(M393)))+1</f>
        <v>7</v>
      </c>
      <c r="M393" s="6" t="n">
        <v>1666</v>
      </c>
      <c r="N393" s="6" t="str">
        <f aca="false">IF($J393="NA","NA",IF(AND($J393&gt;2019,M393&gt;0),"ERRO","OK"))</f>
        <v>OK</v>
      </c>
      <c r="O393" s="6" t="n">
        <f aca="false">(10-(LEN(P393)))+1</f>
        <v>6</v>
      </c>
      <c r="P393" s="6" t="n">
        <v>15025</v>
      </c>
      <c r="Q393" s="6" t="str">
        <f aca="false">IF($J393="NA","NA",IF(AND($J393&gt;2009,P393&gt;0),"ERRO","OK"))</f>
        <v>OK</v>
      </c>
      <c r="R393" s="6" t="n">
        <f aca="false">(10-(LEN(S393)))+1</f>
        <v>7</v>
      </c>
      <c r="S393" s="6" t="n">
        <v>1891</v>
      </c>
      <c r="T393" s="6" t="str">
        <f aca="false">IF($J393="NA","NA",IF(AND($J393&gt;1999,S393&gt;0),"ERRO","OK"))</f>
        <v>OK</v>
      </c>
      <c r="U393" s="6" t="n">
        <f aca="false">(10-(LEN(V393)))+1</f>
        <v>7</v>
      </c>
      <c r="V393" s="6" t="n">
        <v>3541</v>
      </c>
      <c r="W393" s="6" t="str">
        <f aca="false">IF($J393="NA","NA",IF(AND($J393&gt;1989,V393&gt;0),"ERRO","OK"))</f>
        <v>OK</v>
      </c>
      <c r="X393" s="6" t="n">
        <f aca="false">(10-(LEN(Y393)))+1</f>
        <v>7</v>
      </c>
      <c r="Y393" s="6" t="n">
        <v>1712</v>
      </c>
      <c r="Z393" s="6" t="str">
        <f aca="false">IF($J393="NA","NA",IF(AND($J393&gt;1979,Y393&gt;0),"ERRO","OK"))</f>
        <v>OK</v>
      </c>
      <c r="AA393" s="6" t="n">
        <f aca="false">(10-(LEN(AB393)))+1</f>
        <v>7</v>
      </c>
      <c r="AB393" s="6" t="n">
        <v>2813</v>
      </c>
      <c r="AC393" s="6" t="str">
        <f aca="false">IF($J393="NA","NA",IF(AND($J393&gt;1969,AB393&gt;0),"ERRO","OK"))</f>
        <v>OK</v>
      </c>
      <c r="AD393" s="6" t="n">
        <f aca="false">(10-(LEN(AE393)))+1</f>
        <v>7</v>
      </c>
      <c r="AE393" s="6" t="n">
        <v>1794</v>
      </c>
      <c r="AF393" s="6" t="str">
        <f aca="false">IF($J393="NA","NA",IF(AND($J393&gt;1959,AE393&gt;0),"ERRO","OK"))</f>
        <v>OK</v>
      </c>
      <c r="AG393" s="6" t="n">
        <f aca="false">(10-(LEN(AH393)))+1</f>
        <v>10</v>
      </c>
      <c r="AH393" s="6" t="n">
        <v>0</v>
      </c>
      <c r="AI393" s="6" t="str">
        <f aca="false">IF($J393="NA","NA",IF(AND($J393&gt;1949,AH393&gt;0),"ERRO","OK"))</f>
        <v>OK</v>
      </c>
      <c r="AJ393" s="6" t="n">
        <f aca="false">(10-(LEN(AK393)))+1</f>
        <v>7</v>
      </c>
      <c r="AK393" s="6" t="n">
        <v>1950</v>
      </c>
      <c r="AL393" s="6" t="str">
        <f aca="false">IF($J393="NA","NA",IF(AND($J393&gt;1939,AK393&gt;0),"ERRO","OK"))</f>
        <v>OK</v>
      </c>
      <c r="AM393" s="6" t="n">
        <f aca="false">(10-(LEN(AN393)))+1</f>
        <v>10</v>
      </c>
      <c r="AN393" s="6" t="n">
        <v>0</v>
      </c>
      <c r="AO393" s="6" t="str">
        <f aca="false">IF($J393="NA","NA",IF(AND($J393&gt;1929,AN393&gt;0),"ERRO","OK"))</f>
        <v>OK</v>
      </c>
      <c r="AP393" s="6" t="n">
        <f aca="false">(10-(LEN(AQ393)))+1</f>
        <v>10</v>
      </c>
      <c r="AQ393" s="6" t="n">
        <v>0</v>
      </c>
      <c r="AR393" s="6" t="str">
        <f aca="false">IF($J393="NA","NA",IF(AND($J393&gt;1919,AQ393&gt;0),"ERRO","OK"))</f>
        <v>OK</v>
      </c>
      <c r="AS393" s="6" t="n">
        <f aca="false">(10-(LEN(AT393)))+1</f>
        <v>10</v>
      </c>
      <c r="AT393" s="6" t="n">
        <v>0</v>
      </c>
      <c r="AU393" s="6" t="str">
        <f aca="false">IF($J393="NA","NA",IF(AND($J393&gt;1909,AT393&gt;0),"ERRO","OK"))</f>
        <v>OK</v>
      </c>
      <c r="AV393" s="6" t="n">
        <f aca="false">(10-(LEN(AW393)))+1</f>
        <v>10</v>
      </c>
      <c r="AW393" s="6" t="n">
        <v>0</v>
      </c>
      <c r="AX393" s="6" t="str">
        <f aca="false">IF($J393="NA","NA",IF(AND($J393&gt;1899,AW393&gt;0),"ERRO","OK"))</f>
        <v>OK</v>
      </c>
    </row>
    <row r="394" customFormat="false" ht="15" hidden="false" customHeight="false" outlineLevel="0" collapsed="false">
      <c r="A394" s="7" t="n">
        <v>392</v>
      </c>
      <c r="B394" s="0" t="s">
        <v>411</v>
      </c>
      <c r="C394" s="8" t="n">
        <v>45334</v>
      </c>
      <c r="D394" s="6" t="n">
        <v>0</v>
      </c>
      <c r="E394" s="0" t="s">
        <v>16</v>
      </c>
      <c r="F394" s="0" t="s">
        <v>17</v>
      </c>
      <c r="G394" s="9" t="str">
        <f aca="false">IF(OR(N394="ERRO",Q394="ERRO",T394="ERRO",W394="ERRO",Z394="ERRO",AC394="ERRO",AF394="ERRO",AI394="ERRO",AL394="ERRO",AO394="ERRO",AR394="ERRO",AU394="ERRO",AX394="ERRO"),"ERRO","OK")</f>
        <v>ERRO</v>
      </c>
      <c r="H394" s="9" t="n">
        <f aca="false">COUNTIF(L394:AX394,"ERRO")</f>
        <v>3</v>
      </c>
      <c r="I394" s="9" t="s">
        <v>104</v>
      </c>
      <c r="J394" s="10" t="n">
        <v>1927</v>
      </c>
      <c r="K394" s="10" t="s">
        <v>22</v>
      </c>
      <c r="L394" s="6" t="n">
        <f aca="false">(10-(LEN(M394)))+1</f>
        <v>6</v>
      </c>
      <c r="M394" s="6" t="n">
        <v>10744</v>
      </c>
      <c r="N394" s="6" t="str">
        <f aca="false">IF($J394="NA","NA",IF(AND($J394&gt;2019,M394&gt;0),"ERRO","OK"))</f>
        <v>OK</v>
      </c>
      <c r="O394" s="6" t="n">
        <f aca="false">(10-(LEN(P394)))+1</f>
        <v>6</v>
      </c>
      <c r="P394" s="6" t="n">
        <v>21817</v>
      </c>
      <c r="Q394" s="6" t="str">
        <f aca="false">IF($J394="NA","NA",IF(AND($J394&gt;2009,P394&gt;0),"ERRO","OK"))</f>
        <v>OK</v>
      </c>
      <c r="R394" s="6" t="n">
        <f aca="false">(10-(LEN(S394)))+1</f>
        <v>6</v>
      </c>
      <c r="S394" s="6" t="n">
        <v>11680</v>
      </c>
      <c r="T394" s="6" t="str">
        <f aca="false">IF($J394="NA","NA",IF(AND($J394&gt;1999,S394&gt;0),"ERRO","OK"))</f>
        <v>OK</v>
      </c>
      <c r="U394" s="6" t="n">
        <f aca="false">(10-(LEN(V394)))+1</f>
        <v>6</v>
      </c>
      <c r="V394" s="6" t="n">
        <v>12418</v>
      </c>
      <c r="W394" s="6" t="str">
        <f aca="false">IF($J394="NA","NA",IF(AND($J394&gt;1989,V394&gt;0),"ERRO","OK"))</f>
        <v>OK</v>
      </c>
      <c r="X394" s="6" t="n">
        <f aca="false">(10-(LEN(Y394)))+1</f>
        <v>7</v>
      </c>
      <c r="Y394" s="6" t="n">
        <v>7170</v>
      </c>
      <c r="Z394" s="6" t="str">
        <f aca="false">IF($J394="NA","NA",IF(AND($J394&gt;1979,Y394&gt;0),"ERRO","OK"))</f>
        <v>OK</v>
      </c>
      <c r="AA394" s="6" t="n">
        <f aca="false">(10-(LEN(AB394)))+1</f>
        <v>7</v>
      </c>
      <c r="AB394" s="6" t="n">
        <v>4512</v>
      </c>
      <c r="AC394" s="6" t="str">
        <f aca="false">IF($J394="NA","NA",IF(AND($J394&gt;1969,AB394&gt;0),"ERRO","OK"))</f>
        <v>OK</v>
      </c>
      <c r="AD394" s="6" t="n">
        <f aca="false">(10-(LEN(AE394)))+1</f>
        <v>7</v>
      </c>
      <c r="AE394" s="6" t="n">
        <v>7804</v>
      </c>
      <c r="AF394" s="6" t="str">
        <f aca="false">IF($J394="NA","NA",IF(AND($J394&gt;1959,AE394&gt;0),"ERRO","OK"))</f>
        <v>OK</v>
      </c>
      <c r="AG394" s="6" t="n">
        <f aca="false">(10-(LEN(AH394)))+1</f>
        <v>7</v>
      </c>
      <c r="AH394" s="6" t="n">
        <v>3304</v>
      </c>
      <c r="AI394" s="6" t="str">
        <f aca="false">IF($J394="NA","NA",IF(AND($J394&gt;1949,AH394&gt;0),"ERRO","OK"))</f>
        <v>OK</v>
      </c>
      <c r="AJ394" s="6" t="n">
        <f aca="false">(10-(LEN(AK394)))+1</f>
        <v>7</v>
      </c>
      <c r="AK394" s="6" t="n">
        <v>1114</v>
      </c>
      <c r="AL394" s="6" t="str">
        <f aca="false">IF($J394="NA","NA",IF(AND($J394&gt;1939,AK394&gt;0),"ERRO","OK"))</f>
        <v>OK</v>
      </c>
      <c r="AM394" s="6" t="n">
        <f aca="false">(10-(LEN(AN394)))+1</f>
        <v>8</v>
      </c>
      <c r="AN394" s="6" t="n">
        <v>457</v>
      </c>
      <c r="AO394" s="6" t="str">
        <f aca="false">IF($J394="NA","NA",IF(AND($J394&gt;1929,AN394&gt;0),"ERRO","OK"))</f>
        <v>OK</v>
      </c>
      <c r="AP394" s="6" t="n">
        <f aca="false">(10-(LEN(AQ394)))+1</f>
        <v>7</v>
      </c>
      <c r="AQ394" s="6" t="n">
        <v>1001</v>
      </c>
      <c r="AR394" s="6" t="str">
        <f aca="false">IF($J394="NA","NA",IF(AND($J394&gt;1919,AQ394&gt;0),"ERRO","OK"))</f>
        <v>ERRO</v>
      </c>
      <c r="AS394" s="6" t="n">
        <f aca="false">(10-(LEN(AT394)))+1</f>
        <v>8</v>
      </c>
      <c r="AT394" s="6" t="n">
        <v>103</v>
      </c>
      <c r="AU394" s="6" t="str">
        <f aca="false">IF($J394="NA","NA",IF(AND($J394&gt;1909,AT394&gt;0),"ERRO","OK"))</f>
        <v>ERRO</v>
      </c>
      <c r="AV394" s="6" t="n">
        <f aca="false">(10-(LEN(AW394)))+1</f>
        <v>8</v>
      </c>
      <c r="AW394" s="6" t="n">
        <v>258</v>
      </c>
      <c r="AX394" s="6" t="str">
        <f aca="false">IF($J394="NA","NA",IF(AND($J394&gt;1899,AW394&gt;0),"ERRO","OK"))</f>
        <v>ERRO</v>
      </c>
    </row>
    <row r="395" customFormat="false" ht="15" hidden="false" customHeight="false" outlineLevel="0" collapsed="false">
      <c r="A395" s="7" t="n">
        <v>393</v>
      </c>
      <c r="B395" s="0" t="s">
        <v>412</v>
      </c>
      <c r="C395" s="8" t="n">
        <v>45334</v>
      </c>
      <c r="D395" s="6" t="n">
        <v>0</v>
      </c>
      <c r="E395" s="0" t="s">
        <v>16</v>
      </c>
      <c r="F395" s="0" t="s">
        <v>17</v>
      </c>
      <c r="G395" s="9" t="str">
        <f aca="false">IF(OR(N395="ERRO",Q395="ERRO",T395="ERRO",W395="ERRO",Z395="ERRO",AC395="ERRO",AF395="ERRO",AI395="ERRO",AL395="ERRO",AO395="ERRO",AR395="ERRO",AU395="ERRO",AX395="ERRO"),"ERRO","OK")</f>
        <v>OK</v>
      </c>
      <c r="H395" s="9" t="n">
        <f aca="false">COUNTIF(L395:AX395,"ERRO")</f>
        <v>0</v>
      </c>
      <c r="I395" s="9" t="s">
        <v>18</v>
      </c>
      <c r="J395" s="10" t="s">
        <v>22</v>
      </c>
      <c r="K395" s="10" t="s">
        <v>22</v>
      </c>
      <c r="L395" s="6" t="n">
        <f aca="false">(10-(LEN(M395)))+1</f>
        <v>10</v>
      </c>
      <c r="M395" s="6" t="n">
        <v>0</v>
      </c>
      <c r="N395" s="6" t="str">
        <f aca="false">IF($J395="NA","NA",IF(AND($J395&gt;2019,M395&gt;0),"ERRO","OK"))</f>
        <v>NA</v>
      </c>
      <c r="O395" s="6" t="n">
        <f aca="false">(10-(LEN(P395)))+1</f>
        <v>9</v>
      </c>
      <c r="P395" s="6" t="n">
        <v>34</v>
      </c>
      <c r="Q395" s="6" t="str">
        <f aca="false">IF($J395="NA","NA",IF(AND($J395&gt;2009,P395&gt;0),"ERRO","OK"))</f>
        <v>NA</v>
      </c>
      <c r="R395" s="6" t="n">
        <f aca="false">(10-(LEN(S395)))+1</f>
        <v>8</v>
      </c>
      <c r="S395" s="6" t="n">
        <v>168</v>
      </c>
      <c r="T395" s="6" t="str">
        <f aca="false">IF($J395="NA","NA",IF(AND($J395&gt;1999,S395&gt;0),"ERRO","OK"))</f>
        <v>NA</v>
      </c>
      <c r="U395" s="6" t="n">
        <f aca="false">(10-(LEN(V395)))+1</f>
        <v>9</v>
      </c>
      <c r="V395" s="6" t="n">
        <v>46</v>
      </c>
      <c r="W395" s="6" t="str">
        <f aca="false">IF($J395="NA","NA",IF(AND($J395&gt;1989,V395&gt;0),"ERRO","OK"))</f>
        <v>NA</v>
      </c>
      <c r="X395" s="6" t="n">
        <f aca="false">(10-(LEN(Y395)))+1</f>
        <v>8</v>
      </c>
      <c r="Y395" s="6" t="n">
        <v>176</v>
      </c>
      <c r="Z395" s="6" t="str">
        <f aca="false">IF($J395="NA","NA",IF(AND($J395&gt;1979,Y395&gt;0),"ERRO","OK"))</f>
        <v>NA</v>
      </c>
      <c r="AA395" s="6" t="n">
        <f aca="false">(10-(LEN(AB395)))+1</f>
        <v>10</v>
      </c>
      <c r="AB395" s="6" t="n">
        <v>0</v>
      </c>
      <c r="AC395" s="6" t="str">
        <f aca="false">IF($J395="NA","NA",IF(AND($J395&gt;1969,AB395&gt;0),"ERRO","OK"))</f>
        <v>NA</v>
      </c>
      <c r="AD395" s="6" t="n">
        <f aca="false">(10-(LEN(AE395)))+1</f>
        <v>10</v>
      </c>
      <c r="AE395" s="6" t="n">
        <v>0</v>
      </c>
      <c r="AF395" s="6" t="str">
        <f aca="false">IF($J395="NA","NA",IF(AND($J395&gt;1959,AE395&gt;0),"ERRO","OK"))</f>
        <v>NA</v>
      </c>
      <c r="AG395" s="6" t="n">
        <f aca="false">(10-(LEN(AH395)))+1</f>
        <v>10</v>
      </c>
      <c r="AH395" s="6" t="n">
        <v>0</v>
      </c>
      <c r="AI395" s="6" t="str">
        <f aca="false">IF($J395="NA","NA",IF(AND($J395&gt;1949,AH395&gt;0),"ERRO","OK"))</f>
        <v>NA</v>
      </c>
      <c r="AJ395" s="6" t="n">
        <f aca="false">(10-(LEN(AK395)))+1</f>
        <v>8</v>
      </c>
      <c r="AK395" s="6" t="n">
        <v>139</v>
      </c>
      <c r="AL395" s="6" t="str">
        <f aca="false">IF($J395="NA","NA",IF(AND($J395&gt;1939,AK395&gt;0),"ERRO","OK"))</f>
        <v>NA</v>
      </c>
      <c r="AM395" s="6" t="n">
        <f aca="false">(10-(LEN(AN395)))+1</f>
        <v>10</v>
      </c>
      <c r="AN395" s="6" t="n">
        <v>0</v>
      </c>
      <c r="AO395" s="6" t="str">
        <f aca="false">IF($J395="NA","NA",IF(AND($J395&gt;1929,AN395&gt;0),"ERRO","OK"))</f>
        <v>NA</v>
      </c>
      <c r="AP395" s="6" t="n">
        <f aca="false">(10-(LEN(AQ395)))+1</f>
        <v>10</v>
      </c>
      <c r="AQ395" s="6" t="n">
        <v>0</v>
      </c>
      <c r="AR395" s="6" t="str">
        <f aca="false">IF($J395="NA","NA",IF(AND($J395&gt;1919,AQ395&gt;0),"ERRO","OK"))</f>
        <v>NA</v>
      </c>
      <c r="AS395" s="6" t="n">
        <f aca="false">(10-(LEN(AT395)))+1</f>
        <v>10</v>
      </c>
      <c r="AT395" s="6" t="n">
        <v>0</v>
      </c>
      <c r="AU395" s="6" t="str">
        <f aca="false">IF($J395="NA","NA",IF(AND($J395&gt;1909,AT395&gt;0),"ERRO","OK"))</f>
        <v>NA</v>
      </c>
      <c r="AV395" s="6" t="n">
        <f aca="false">(10-(LEN(AW395)))+1</f>
        <v>10</v>
      </c>
      <c r="AW395" s="6" t="n">
        <v>0</v>
      </c>
      <c r="AX395" s="6" t="str">
        <f aca="false">IF($J395="NA","NA",IF(AND($J395&gt;1899,AW395&gt;0),"ERRO","OK"))</f>
        <v>NA</v>
      </c>
    </row>
    <row r="396" customFormat="false" ht="15" hidden="false" customHeight="false" outlineLevel="0" collapsed="false">
      <c r="A396" s="7" t="n">
        <v>394</v>
      </c>
      <c r="B396" s="0" t="s">
        <v>413</v>
      </c>
      <c r="C396" s="8" t="n">
        <v>45334</v>
      </c>
      <c r="D396" s="6" t="n">
        <v>0</v>
      </c>
      <c r="E396" s="0" t="s">
        <v>16</v>
      </c>
      <c r="F396" s="0" t="s">
        <v>17</v>
      </c>
      <c r="G396" s="9" t="str">
        <f aca="false">IF(OR(N396="ERRO",Q396="ERRO",T396="ERRO",W396="ERRO",Z396="ERRO",AC396="ERRO",AF396="ERRO",AI396="ERRO",AL396="ERRO",AO396="ERRO",AR396="ERRO",AU396="ERRO",AX396="ERRO"),"ERRO","OK")</f>
        <v>OK</v>
      </c>
      <c r="H396" s="9" t="n">
        <f aca="false">COUNTIF(L396:AX396,"ERRO")</f>
        <v>0</v>
      </c>
      <c r="I396" s="9" t="s">
        <v>18</v>
      </c>
      <c r="J396" s="10" t="n">
        <v>1915</v>
      </c>
      <c r="K396" s="10" t="n">
        <v>1997</v>
      </c>
      <c r="L396" s="6" t="n">
        <f aca="false">(10-(LEN(M396)))+1</f>
        <v>10</v>
      </c>
      <c r="M396" s="6" t="n">
        <v>0</v>
      </c>
      <c r="N396" s="6" t="str">
        <f aca="false">IF($J396="NA","NA",IF(AND($J396&gt;2019,M396&gt;0),"ERRO","OK"))</f>
        <v>OK</v>
      </c>
      <c r="O396" s="6" t="n">
        <f aca="false">(10-(LEN(P396)))+1</f>
        <v>10</v>
      </c>
      <c r="P396" s="6" t="n">
        <v>0</v>
      </c>
      <c r="Q396" s="6" t="str">
        <f aca="false">IF($J396="NA","NA",IF(AND($J396&gt;2009,P396&gt;0),"ERRO","OK"))</f>
        <v>OK</v>
      </c>
      <c r="R396" s="6" t="n">
        <f aca="false">(10-(LEN(S396)))+1</f>
        <v>8</v>
      </c>
      <c r="S396" s="6" t="n">
        <v>132</v>
      </c>
      <c r="T396" s="6" t="str">
        <f aca="false">IF($J396="NA","NA",IF(AND($J396&gt;1999,S396&gt;0),"ERRO","OK"))</f>
        <v>OK</v>
      </c>
      <c r="U396" s="6" t="n">
        <f aca="false">(10-(LEN(V396)))+1</f>
        <v>8</v>
      </c>
      <c r="V396" s="6" t="n">
        <v>774</v>
      </c>
      <c r="W396" s="6" t="str">
        <f aca="false">IF($J396="NA","NA",IF(AND($J396&gt;1989,V396&gt;0),"ERRO","OK"))</f>
        <v>OK</v>
      </c>
      <c r="X396" s="6" t="n">
        <f aca="false">(10-(LEN(Y396)))+1</f>
        <v>7</v>
      </c>
      <c r="Y396" s="6" t="n">
        <v>1013</v>
      </c>
      <c r="Z396" s="6" t="str">
        <f aca="false">IF($J396="NA","NA",IF(AND($J396&gt;1979,Y396&gt;0),"ERRO","OK"))</f>
        <v>OK</v>
      </c>
      <c r="AA396" s="6" t="n">
        <f aca="false">(10-(LEN(AB396)))+1</f>
        <v>8</v>
      </c>
      <c r="AB396" s="6" t="n">
        <v>800</v>
      </c>
      <c r="AC396" s="6" t="str">
        <f aca="false">IF($J396="NA","NA",IF(AND($J396&gt;1969,AB396&gt;0),"ERRO","OK"))</f>
        <v>OK</v>
      </c>
      <c r="AD396" s="6" t="n">
        <f aca="false">(10-(LEN(AE396)))+1</f>
        <v>8</v>
      </c>
      <c r="AE396" s="6" t="n">
        <v>754</v>
      </c>
      <c r="AF396" s="6" t="str">
        <f aca="false">IF($J396="NA","NA",IF(AND($J396&gt;1959,AE396&gt;0),"ERRO","OK"))</f>
        <v>OK</v>
      </c>
      <c r="AG396" s="6" t="n">
        <f aca="false">(10-(LEN(AH396)))+1</f>
        <v>8</v>
      </c>
      <c r="AH396" s="6" t="n">
        <v>232</v>
      </c>
      <c r="AI396" s="6" t="str">
        <f aca="false">IF($J396="NA","NA",IF(AND($J396&gt;1949,AH396&gt;0),"ERRO","OK"))</f>
        <v>OK</v>
      </c>
      <c r="AJ396" s="6" t="n">
        <f aca="false">(10-(LEN(AK396)))+1</f>
        <v>8</v>
      </c>
      <c r="AK396" s="6" t="n">
        <v>293</v>
      </c>
      <c r="AL396" s="6" t="str">
        <f aca="false">IF($J396="NA","NA",IF(AND($J396&gt;1939,AK396&gt;0),"ERRO","OK"))</f>
        <v>OK</v>
      </c>
      <c r="AM396" s="6" t="n">
        <f aca="false">(10-(LEN(AN396)))+1</f>
        <v>10</v>
      </c>
      <c r="AN396" s="6" t="n">
        <v>0</v>
      </c>
      <c r="AO396" s="6" t="str">
        <f aca="false">IF($J396="NA","NA",IF(AND($J396&gt;1929,AN396&gt;0),"ERRO","OK"))</f>
        <v>OK</v>
      </c>
      <c r="AP396" s="6" t="n">
        <f aca="false">(10-(LEN(AQ396)))+1</f>
        <v>10</v>
      </c>
      <c r="AQ396" s="6" t="n">
        <v>0</v>
      </c>
      <c r="AR396" s="6" t="str">
        <f aca="false">IF($J396="NA","NA",IF(AND($J396&gt;1919,AQ396&gt;0),"ERRO","OK"))</f>
        <v>OK</v>
      </c>
      <c r="AS396" s="6" t="n">
        <f aca="false">(10-(LEN(AT396)))+1</f>
        <v>10</v>
      </c>
      <c r="AT396" s="6" t="n">
        <v>0</v>
      </c>
      <c r="AU396" s="6" t="str">
        <f aca="false">IF($J396="NA","NA",IF(AND($J396&gt;1909,AT396&gt;0),"ERRO","OK"))</f>
        <v>OK</v>
      </c>
      <c r="AV396" s="6" t="n">
        <f aca="false">(10-(LEN(AW396)))+1</f>
        <v>10</v>
      </c>
      <c r="AW396" s="6" t="n">
        <v>0</v>
      </c>
      <c r="AX396" s="6" t="str">
        <f aca="false">IF($J396="NA","NA",IF(AND($J396&gt;1899,AW396&gt;0),"ERRO","OK"))</f>
        <v>OK</v>
      </c>
    </row>
    <row r="397" customFormat="false" ht="15" hidden="false" customHeight="false" outlineLevel="0" collapsed="false">
      <c r="A397" s="7" t="n">
        <v>395</v>
      </c>
      <c r="B397" s="0" t="s">
        <v>414</v>
      </c>
      <c r="C397" s="8" t="n">
        <v>45334</v>
      </c>
      <c r="D397" s="6" t="n">
        <v>0</v>
      </c>
      <c r="E397" s="0" t="s">
        <v>16</v>
      </c>
      <c r="F397" s="0" t="s">
        <v>17</v>
      </c>
      <c r="G397" s="9" t="str">
        <f aca="false">IF(OR(N397="ERRO",Q397="ERRO",T397="ERRO",W397="ERRO",Z397="ERRO",AC397="ERRO",AF397="ERRO",AI397="ERRO",AL397="ERRO",AO397="ERRO",AR397="ERRO",AU397="ERRO",AX397="ERRO"),"ERRO","OK")</f>
        <v>OK</v>
      </c>
      <c r="H397" s="9" t="n">
        <f aca="false">COUNTIF(L397:AX397,"ERRO")</f>
        <v>0</v>
      </c>
      <c r="I397" s="9" t="s">
        <v>18</v>
      </c>
      <c r="J397" s="10" t="n">
        <v>1911</v>
      </c>
      <c r="K397" s="10" t="n">
        <v>1997</v>
      </c>
      <c r="L397" s="6" t="n">
        <f aca="false">(10-(LEN(M397)))+1</f>
        <v>10</v>
      </c>
      <c r="M397" s="6" t="n">
        <v>0</v>
      </c>
      <c r="N397" s="6" t="str">
        <f aca="false">IF($J397="NA","NA",IF(AND($J397&gt;2019,M397&gt;0),"ERRO","OK"))</f>
        <v>OK</v>
      </c>
      <c r="O397" s="6" t="n">
        <f aca="false">(10-(LEN(P397)))+1</f>
        <v>10</v>
      </c>
      <c r="P397" s="6" t="n">
        <v>0</v>
      </c>
      <c r="Q397" s="6" t="str">
        <f aca="false">IF($J397="NA","NA",IF(AND($J397&gt;2009,P397&gt;0),"ERRO","OK"))</f>
        <v>OK</v>
      </c>
      <c r="R397" s="6" t="n">
        <f aca="false">(10-(LEN(S397)))+1</f>
        <v>10</v>
      </c>
      <c r="S397" s="6" t="n">
        <v>0</v>
      </c>
      <c r="T397" s="6" t="str">
        <f aca="false">IF($J397="NA","NA",IF(AND($J397&gt;1999,S397&gt;0),"ERRO","OK"))</f>
        <v>OK</v>
      </c>
      <c r="U397" s="6" t="n">
        <f aca="false">(10-(LEN(V397)))+1</f>
        <v>10</v>
      </c>
      <c r="V397" s="6" t="n">
        <v>0</v>
      </c>
      <c r="W397" s="6" t="str">
        <f aca="false">IF($J397="NA","NA",IF(AND($J397&gt;1989,V397&gt;0),"ERRO","OK"))</f>
        <v>OK</v>
      </c>
      <c r="X397" s="6" t="n">
        <f aca="false">(10-(LEN(Y397)))+1</f>
        <v>8</v>
      </c>
      <c r="Y397" s="6" t="n">
        <v>844</v>
      </c>
      <c r="Z397" s="6" t="str">
        <f aca="false">IF($J397="NA","NA",IF(AND($J397&gt;1979,Y397&gt;0),"ERRO","OK"))</f>
        <v>OK</v>
      </c>
      <c r="AA397" s="6" t="n">
        <f aca="false">(10-(LEN(AB397)))+1</f>
        <v>9</v>
      </c>
      <c r="AB397" s="6" t="n">
        <v>62</v>
      </c>
      <c r="AC397" s="6" t="str">
        <f aca="false">IF($J397="NA","NA",IF(AND($J397&gt;1969,AB397&gt;0),"ERRO","OK"))</f>
        <v>OK</v>
      </c>
      <c r="AD397" s="6" t="n">
        <f aca="false">(10-(LEN(AE397)))+1</f>
        <v>8</v>
      </c>
      <c r="AE397" s="6" t="n">
        <v>283</v>
      </c>
      <c r="AF397" s="6" t="str">
        <f aca="false">IF($J397="NA","NA",IF(AND($J397&gt;1959,AE397&gt;0),"ERRO","OK"))</f>
        <v>OK</v>
      </c>
      <c r="AG397" s="6" t="n">
        <f aca="false">(10-(LEN(AH397)))+1</f>
        <v>8</v>
      </c>
      <c r="AH397" s="6" t="n">
        <v>695</v>
      </c>
      <c r="AI397" s="6" t="str">
        <f aca="false">IF($J397="NA","NA",IF(AND($J397&gt;1949,AH397&gt;0),"ERRO","OK"))</f>
        <v>OK</v>
      </c>
      <c r="AJ397" s="6" t="n">
        <f aca="false">(10-(LEN(AK397)))+1</f>
        <v>10</v>
      </c>
      <c r="AK397" s="6" t="n">
        <v>0</v>
      </c>
      <c r="AL397" s="6" t="str">
        <f aca="false">IF($J397="NA","NA",IF(AND($J397&gt;1939,AK397&gt;0),"ERRO","OK"))</f>
        <v>OK</v>
      </c>
      <c r="AM397" s="6" t="n">
        <f aca="false">(10-(LEN(AN397)))+1</f>
        <v>10</v>
      </c>
      <c r="AN397" s="6" t="n">
        <v>0</v>
      </c>
      <c r="AO397" s="6" t="str">
        <f aca="false">IF($J397="NA","NA",IF(AND($J397&gt;1929,AN397&gt;0),"ERRO","OK"))</f>
        <v>OK</v>
      </c>
      <c r="AP397" s="6" t="n">
        <f aca="false">(10-(LEN(AQ397)))+1</f>
        <v>10</v>
      </c>
      <c r="AQ397" s="6" t="n">
        <v>0</v>
      </c>
      <c r="AR397" s="6" t="str">
        <f aca="false">IF($J397="NA","NA",IF(AND($J397&gt;1919,AQ397&gt;0),"ERRO","OK"))</f>
        <v>OK</v>
      </c>
      <c r="AS397" s="6" t="n">
        <f aca="false">(10-(LEN(AT397)))+1</f>
        <v>10</v>
      </c>
      <c r="AT397" s="6" t="n">
        <v>0</v>
      </c>
      <c r="AU397" s="6" t="str">
        <f aca="false">IF($J397="NA","NA",IF(AND($J397&gt;1909,AT397&gt;0),"ERRO","OK"))</f>
        <v>OK</v>
      </c>
      <c r="AV397" s="6" t="n">
        <f aca="false">(10-(LEN(AW397)))+1</f>
        <v>10</v>
      </c>
      <c r="AW397" s="6" t="n">
        <v>0</v>
      </c>
      <c r="AX397" s="6" t="str">
        <f aca="false">IF($J397="NA","NA",IF(AND($J397&gt;1899,AW397&gt;0),"ERRO","OK"))</f>
        <v>OK</v>
      </c>
    </row>
    <row r="398" customFormat="false" ht="15" hidden="false" customHeight="false" outlineLevel="0" collapsed="false">
      <c r="A398" s="7" t="n">
        <v>396</v>
      </c>
      <c r="B398" s="0" t="s">
        <v>415</v>
      </c>
      <c r="C398" s="8" t="n">
        <v>45336</v>
      </c>
      <c r="D398" s="6" t="n">
        <v>0</v>
      </c>
      <c r="E398" s="0" t="s">
        <v>16</v>
      </c>
      <c r="F398" s="0" t="s">
        <v>17</v>
      </c>
      <c r="G398" s="9" t="str">
        <f aca="false">IF(OR(N398="ERRO",Q398="ERRO",T398="ERRO",W398="ERRO",Z398="ERRO",AC398="ERRO",AF398="ERRO",AI398="ERRO",AL398="ERRO",AO398="ERRO",AR398="ERRO",AU398="ERRO",AX398="ERRO"),"ERRO","OK")</f>
        <v>OK</v>
      </c>
      <c r="H398" s="9" t="n">
        <f aca="false">COUNTIF(L398:AX398,"ERRO")</f>
        <v>0</v>
      </c>
      <c r="I398" s="9" t="s">
        <v>18</v>
      </c>
      <c r="J398" s="10" t="n">
        <v>1915</v>
      </c>
      <c r="K398" s="10" t="n">
        <v>2002</v>
      </c>
      <c r="L398" s="6" t="n">
        <f aca="false">(10-(LEN(M398)))+1</f>
        <v>8</v>
      </c>
      <c r="M398" s="6" t="n">
        <v>333</v>
      </c>
      <c r="N398" s="6" t="str">
        <f aca="false">IF($J398="NA","NA",IF(AND($J398&gt;2019,M398&gt;0),"ERRO","OK"))</f>
        <v>OK</v>
      </c>
      <c r="O398" s="6" t="n">
        <f aca="false">(10-(LEN(P398)))+1</f>
        <v>8</v>
      </c>
      <c r="P398" s="6" t="n">
        <v>617</v>
      </c>
      <c r="Q398" s="6" t="str">
        <f aca="false">IF($J398="NA","NA",IF(AND($J398&gt;2009,P398&gt;0),"ERRO","OK"))</f>
        <v>OK</v>
      </c>
      <c r="R398" s="6" t="n">
        <f aca="false">(10-(LEN(S398)))+1</f>
        <v>8</v>
      </c>
      <c r="S398" s="6" t="n">
        <v>168</v>
      </c>
      <c r="T398" s="6" t="str">
        <f aca="false">IF($J398="NA","NA",IF(AND($J398&gt;1999,S398&gt;0),"ERRO","OK"))</f>
        <v>OK</v>
      </c>
      <c r="U398" s="6" t="n">
        <f aca="false">(10-(LEN(V398)))+1</f>
        <v>9</v>
      </c>
      <c r="V398" s="6" t="n">
        <v>46</v>
      </c>
      <c r="W398" s="6" t="str">
        <f aca="false">IF($J398="NA","NA",IF(AND($J398&gt;1989,V398&gt;0),"ERRO","OK"))</f>
        <v>OK</v>
      </c>
      <c r="X398" s="6" t="n">
        <f aca="false">(10-(LEN(Y398)))+1</f>
        <v>10</v>
      </c>
      <c r="Y398" s="6" t="n">
        <v>0</v>
      </c>
      <c r="Z398" s="6" t="str">
        <f aca="false">IF($J398="NA","NA",IF(AND($J398&gt;1979,Y398&gt;0),"ERRO","OK"))</f>
        <v>OK</v>
      </c>
      <c r="AA398" s="6" t="n">
        <f aca="false">(10-(LEN(AB398)))+1</f>
        <v>10</v>
      </c>
      <c r="AB398" s="6" t="n">
        <v>0</v>
      </c>
      <c r="AC398" s="6" t="str">
        <f aca="false">IF($J398="NA","NA",IF(AND($J398&gt;1969,AB398&gt;0),"ERRO","OK"))</f>
        <v>OK</v>
      </c>
      <c r="AD398" s="6" t="n">
        <f aca="false">(10-(LEN(AE398)))+1</f>
        <v>10</v>
      </c>
      <c r="AE398" s="6" t="n">
        <v>0</v>
      </c>
      <c r="AF398" s="6" t="str">
        <f aca="false">IF($J398="NA","NA",IF(AND($J398&gt;1959,AE398&gt;0),"ERRO","OK"))</f>
        <v>OK</v>
      </c>
      <c r="AG398" s="6" t="n">
        <f aca="false">(10-(LEN(AH398)))+1</f>
        <v>10</v>
      </c>
      <c r="AH398" s="6" t="n">
        <v>0</v>
      </c>
      <c r="AI398" s="6" t="str">
        <f aca="false">IF($J398="NA","NA",IF(AND($J398&gt;1949,AH398&gt;0),"ERRO","OK"))</f>
        <v>OK</v>
      </c>
      <c r="AJ398" s="6" t="n">
        <f aca="false">(10-(LEN(AK398)))+1</f>
        <v>10</v>
      </c>
      <c r="AK398" s="6" t="n">
        <v>0</v>
      </c>
      <c r="AL398" s="6" t="str">
        <f aca="false">IF($J398="NA","NA",IF(AND($J398&gt;1939,AK398&gt;0),"ERRO","OK"))</f>
        <v>OK</v>
      </c>
      <c r="AM398" s="6" t="n">
        <f aca="false">(10-(LEN(AN398)))+1</f>
        <v>10</v>
      </c>
      <c r="AN398" s="6" t="n">
        <v>0</v>
      </c>
      <c r="AO398" s="6" t="str">
        <f aca="false">IF($J398="NA","NA",IF(AND($J398&gt;1929,AN398&gt;0),"ERRO","OK"))</f>
        <v>OK</v>
      </c>
      <c r="AP398" s="6" t="n">
        <f aca="false">(10-(LEN(AQ398)))+1</f>
        <v>10</v>
      </c>
      <c r="AQ398" s="6" t="n">
        <v>0</v>
      </c>
      <c r="AR398" s="6" t="str">
        <f aca="false">IF($J398="NA","NA",IF(AND($J398&gt;1919,AQ398&gt;0),"ERRO","OK"))</f>
        <v>OK</v>
      </c>
      <c r="AS398" s="6" t="n">
        <f aca="false">(10-(LEN(AT398)))+1</f>
        <v>10</v>
      </c>
      <c r="AT398" s="6" t="n">
        <v>0</v>
      </c>
      <c r="AU398" s="6" t="str">
        <f aca="false">IF($J398="NA","NA",IF(AND($J398&gt;1909,AT398&gt;0),"ERRO","OK"))</f>
        <v>OK</v>
      </c>
      <c r="AV398" s="6" t="n">
        <f aca="false">(10-(LEN(AW398)))+1</f>
        <v>10</v>
      </c>
      <c r="AW398" s="6" t="n">
        <v>0</v>
      </c>
      <c r="AX398" s="6" t="str">
        <f aca="false">IF($J398="NA","NA",IF(AND($J398&gt;1899,AW398&gt;0),"ERRO","OK"))</f>
        <v>OK</v>
      </c>
    </row>
    <row r="399" customFormat="false" ht="15" hidden="false" customHeight="false" outlineLevel="0" collapsed="false">
      <c r="A399" s="7" t="n">
        <v>397</v>
      </c>
      <c r="B399" s="0" t="s">
        <v>416</v>
      </c>
      <c r="C399" s="8" t="n">
        <v>45336</v>
      </c>
      <c r="D399" s="6" t="n">
        <v>0</v>
      </c>
      <c r="E399" s="0" t="s">
        <v>16</v>
      </c>
      <c r="F399" s="0" t="s">
        <v>17</v>
      </c>
      <c r="G399" s="9" t="str">
        <f aca="false">IF(OR(N399="ERRO",Q399="ERRO",T399="ERRO",W399="ERRO",Z399="ERRO",AC399="ERRO",AF399="ERRO",AI399="ERRO",AL399="ERRO",AO399="ERRO",AR399="ERRO",AU399="ERRO",AX399="ERRO"),"ERRO","OK")</f>
        <v>OK</v>
      </c>
      <c r="H399" s="9" t="n">
        <f aca="false">COUNTIF(L399:AX399,"ERRO")</f>
        <v>0</v>
      </c>
      <c r="I399" s="9" t="s">
        <v>18</v>
      </c>
      <c r="J399" s="10" t="n">
        <v>1915</v>
      </c>
      <c r="K399" s="10" t="n">
        <v>1994</v>
      </c>
      <c r="L399" s="6" t="n">
        <f aca="false">(10-(LEN(M399)))+1</f>
        <v>8</v>
      </c>
      <c r="M399" s="6" t="n">
        <v>125</v>
      </c>
      <c r="N399" s="6" t="str">
        <f aca="false">IF($J399="NA","NA",IF(AND($J399&gt;2019,M399&gt;0),"ERRO","OK"))</f>
        <v>OK</v>
      </c>
      <c r="O399" s="6" t="n">
        <f aca="false">(10-(LEN(P399)))+1</f>
        <v>8</v>
      </c>
      <c r="P399" s="6" t="n">
        <v>103</v>
      </c>
      <c r="Q399" s="6" t="str">
        <f aca="false">IF($J399="NA","NA",IF(AND($J399&gt;2009,P399&gt;0),"ERRO","OK"))</f>
        <v>OK</v>
      </c>
      <c r="R399" s="6" t="n">
        <f aca="false">(10-(LEN(S399)))+1</f>
        <v>8</v>
      </c>
      <c r="S399" s="6" t="n">
        <v>126</v>
      </c>
      <c r="T399" s="6" t="str">
        <f aca="false">IF($J399="NA","NA",IF(AND($J399&gt;1999,S399&gt;0),"ERRO","OK"))</f>
        <v>OK</v>
      </c>
      <c r="U399" s="6" t="n">
        <f aca="false">(10-(LEN(V399)))+1</f>
        <v>9</v>
      </c>
      <c r="V399" s="6" t="n">
        <v>92</v>
      </c>
      <c r="W399" s="6" t="str">
        <f aca="false">IF($J399="NA","NA",IF(AND($J399&gt;1989,V399&gt;0),"ERRO","OK"))</f>
        <v>OK</v>
      </c>
      <c r="X399" s="6" t="n">
        <f aca="false">(10-(LEN(Y399)))+1</f>
        <v>8</v>
      </c>
      <c r="Y399" s="6" t="n">
        <v>589</v>
      </c>
      <c r="Z399" s="6" t="str">
        <f aca="false">IF($J399="NA","NA",IF(AND($J399&gt;1979,Y399&gt;0),"ERRO","OK"))</f>
        <v>OK</v>
      </c>
      <c r="AA399" s="6" t="n">
        <f aca="false">(10-(LEN(AB399)))+1</f>
        <v>10</v>
      </c>
      <c r="AB399" s="6" t="n">
        <v>0</v>
      </c>
      <c r="AC399" s="6" t="str">
        <f aca="false">IF($J399="NA","NA",IF(AND($J399&gt;1969,AB399&gt;0),"ERRO","OK"))</f>
        <v>OK</v>
      </c>
      <c r="AD399" s="6" t="n">
        <f aca="false">(10-(LEN(AE399)))+1</f>
        <v>10</v>
      </c>
      <c r="AE399" s="6" t="n">
        <v>0</v>
      </c>
      <c r="AF399" s="6" t="str">
        <f aca="false">IF($J399="NA","NA",IF(AND($J399&gt;1959,AE399&gt;0),"ERRO","OK"))</f>
        <v>OK</v>
      </c>
      <c r="AG399" s="6" t="n">
        <f aca="false">(10-(LEN(AH399)))+1</f>
        <v>10</v>
      </c>
      <c r="AH399" s="6" t="n">
        <v>0</v>
      </c>
      <c r="AI399" s="6" t="str">
        <f aca="false">IF($J399="NA","NA",IF(AND($J399&gt;1949,AH399&gt;0),"ERRO","OK"))</f>
        <v>OK</v>
      </c>
      <c r="AJ399" s="6" t="n">
        <f aca="false">(10-(LEN(AK399)))+1</f>
        <v>10</v>
      </c>
      <c r="AK399" s="6" t="n">
        <v>0</v>
      </c>
      <c r="AL399" s="6" t="str">
        <f aca="false">IF($J399="NA","NA",IF(AND($J399&gt;1939,AK399&gt;0),"ERRO","OK"))</f>
        <v>OK</v>
      </c>
      <c r="AM399" s="6" t="n">
        <f aca="false">(10-(LEN(AN399)))+1</f>
        <v>10</v>
      </c>
      <c r="AN399" s="6" t="n">
        <v>0</v>
      </c>
      <c r="AO399" s="6" t="str">
        <f aca="false">IF($J399="NA","NA",IF(AND($J399&gt;1929,AN399&gt;0),"ERRO","OK"))</f>
        <v>OK</v>
      </c>
      <c r="AP399" s="6" t="n">
        <f aca="false">(10-(LEN(AQ399)))+1</f>
        <v>10</v>
      </c>
      <c r="AQ399" s="6" t="n">
        <v>0</v>
      </c>
      <c r="AR399" s="6" t="str">
        <f aca="false">IF($J399="NA","NA",IF(AND($J399&gt;1919,AQ399&gt;0),"ERRO","OK"))</f>
        <v>OK</v>
      </c>
      <c r="AS399" s="6" t="n">
        <f aca="false">(10-(LEN(AT399)))+1</f>
        <v>10</v>
      </c>
      <c r="AT399" s="6" t="n">
        <v>0</v>
      </c>
      <c r="AU399" s="6" t="str">
        <f aca="false">IF($J399="NA","NA",IF(AND($J399&gt;1909,AT399&gt;0),"ERRO","OK"))</f>
        <v>OK</v>
      </c>
      <c r="AV399" s="6" t="n">
        <f aca="false">(10-(LEN(AW399)))+1</f>
        <v>10</v>
      </c>
      <c r="AW399" s="6" t="n">
        <v>0</v>
      </c>
      <c r="AX399" s="6" t="str">
        <f aca="false">IF($J399="NA","NA",IF(AND($J399&gt;1899,AW399&gt;0),"ERRO","OK"))</f>
        <v>OK</v>
      </c>
    </row>
    <row r="400" customFormat="false" ht="15" hidden="false" customHeight="false" outlineLevel="0" collapsed="false">
      <c r="A400" s="7" t="n">
        <v>398</v>
      </c>
      <c r="B400" s="0" t="s">
        <v>417</v>
      </c>
      <c r="C400" s="8" t="n">
        <v>45336</v>
      </c>
      <c r="D400" s="6" t="n">
        <v>0</v>
      </c>
      <c r="E400" s="0" t="s">
        <v>16</v>
      </c>
      <c r="F400" s="0" t="s">
        <v>17</v>
      </c>
      <c r="G400" s="9" t="str">
        <f aca="false">IF(OR(N400="ERRO",Q400="ERRO",T400="ERRO",W400="ERRO",Z400="ERRO",AC400="ERRO",AF400="ERRO",AI400="ERRO",AL400="ERRO",AO400="ERRO",AR400="ERRO",AU400="ERRO",AX400="ERRO"),"ERRO","OK")</f>
        <v>ERRO</v>
      </c>
      <c r="H400" s="9" t="n">
        <f aca="false">COUNTIF(L400:AX400,"ERRO")</f>
        <v>1</v>
      </c>
      <c r="I400" s="9" t="s">
        <v>18</v>
      </c>
      <c r="J400" s="10" t="n">
        <v>1924</v>
      </c>
      <c r="K400" s="10" t="n">
        <v>2006</v>
      </c>
      <c r="L400" s="6" t="n">
        <f aca="false">(10-(LEN(M400)))+1</f>
        <v>7</v>
      </c>
      <c r="M400" s="6" t="n">
        <v>1791</v>
      </c>
      <c r="N400" s="6" t="str">
        <f aca="false">IF($J400="NA","NA",IF(AND($J400&gt;2019,M400&gt;0),"ERRO","OK"))</f>
        <v>OK</v>
      </c>
      <c r="O400" s="6" t="n">
        <f aca="false">(10-(LEN(P400)))+1</f>
        <v>7</v>
      </c>
      <c r="P400" s="6" t="n">
        <v>4905</v>
      </c>
      <c r="Q400" s="6" t="str">
        <f aca="false">IF($J400="NA","NA",IF(AND($J400&gt;2009,P400&gt;0),"ERRO","OK"))</f>
        <v>OK</v>
      </c>
      <c r="R400" s="6" t="n">
        <f aca="false">(10-(LEN(S400)))+1</f>
        <v>7</v>
      </c>
      <c r="S400" s="6" t="n">
        <v>8487</v>
      </c>
      <c r="T400" s="6" t="str">
        <f aca="false">IF($J400="NA","NA",IF(AND($J400&gt;1999,S400&gt;0),"ERRO","OK"))</f>
        <v>OK</v>
      </c>
      <c r="U400" s="6" t="n">
        <f aca="false">(10-(LEN(V400)))+1</f>
        <v>7</v>
      </c>
      <c r="V400" s="6" t="n">
        <v>9382</v>
      </c>
      <c r="W400" s="6" t="str">
        <f aca="false">IF($J400="NA","NA",IF(AND($J400&gt;1989,V400&gt;0),"ERRO","OK"))</f>
        <v>OK</v>
      </c>
      <c r="X400" s="6" t="n">
        <f aca="false">(10-(LEN(Y400)))+1</f>
        <v>7</v>
      </c>
      <c r="Y400" s="6" t="n">
        <v>3425</v>
      </c>
      <c r="Z400" s="6" t="str">
        <f aca="false">IF($J400="NA","NA",IF(AND($J400&gt;1979,Y400&gt;0),"ERRO","OK"))</f>
        <v>OK</v>
      </c>
      <c r="AA400" s="6" t="n">
        <f aca="false">(10-(LEN(AB400)))+1</f>
        <v>7</v>
      </c>
      <c r="AB400" s="6" t="n">
        <v>3340</v>
      </c>
      <c r="AC400" s="6" t="str">
        <f aca="false">IF($J400="NA","NA",IF(AND($J400&gt;1969,AB400&gt;0),"ERRO","OK"))</f>
        <v>OK</v>
      </c>
      <c r="AD400" s="6" t="n">
        <f aca="false">(10-(LEN(AE400)))+1</f>
        <v>10</v>
      </c>
      <c r="AE400" s="6" t="n">
        <v>0</v>
      </c>
      <c r="AF400" s="6" t="str">
        <f aca="false">IF($J400="NA","NA",IF(AND($J400&gt;1959,AE400&gt;0),"ERRO","OK"))</f>
        <v>OK</v>
      </c>
      <c r="AG400" s="6" t="n">
        <f aca="false">(10-(LEN(AH400)))+1</f>
        <v>8</v>
      </c>
      <c r="AH400" s="6" t="n">
        <v>330</v>
      </c>
      <c r="AI400" s="6" t="str">
        <f aca="false">IF($J400="NA","NA",IF(AND($J400&gt;1949,AH400&gt;0),"ERRO","OK"))</f>
        <v>OK</v>
      </c>
      <c r="AJ400" s="6" t="n">
        <f aca="false">(10-(LEN(AK400)))+1</f>
        <v>7</v>
      </c>
      <c r="AK400" s="6" t="n">
        <v>3064</v>
      </c>
      <c r="AL400" s="6" t="str">
        <f aca="false">IF($J400="NA","NA",IF(AND($J400&gt;1939,AK400&gt;0),"ERRO","OK"))</f>
        <v>OK</v>
      </c>
      <c r="AM400" s="6" t="n">
        <f aca="false">(10-(LEN(AN400)))+1</f>
        <v>10</v>
      </c>
      <c r="AN400" s="6" t="n">
        <v>0</v>
      </c>
      <c r="AO400" s="6" t="str">
        <f aca="false">IF($J400="NA","NA",IF(AND($J400&gt;1929,AN400&gt;0),"ERRO","OK"))</f>
        <v>OK</v>
      </c>
      <c r="AP400" s="6" t="n">
        <f aca="false">(10-(LEN(AQ400)))+1</f>
        <v>8</v>
      </c>
      <c r="AQ400" s="6" t="n">
        <v>100</v>
      </c>
      <c r="AR400" s="6" t="str">
        <f aca="false">IF($J400="NA","NA",IF(AND($J400&gt;1919,AQ400&gt;0),"ERRO","OK"))</f>
        <v>ERRO</v>
      </c>
      <c r="AS400" s="6" t="n">
        <f aca="false">(10-(LEN(AT400)))+1</f>
        <v>10</v>
      </c>
      <c r="AT400" s="6" t="n">
        <v>0</v>
      </c>
      <c r="AU400" s="6" t="str">
        <f aca="false">IF($J400="NA","NA",IF(AND($J400&gt;1909,AT400&gt;0),"ERRO","OK"))</f>
        <v>OK</v>
      </c>
      <c r="AV400" s="6" t="n">
        <f aca="false">(10-(LEN(AW400)))+1</f>
        <v>10</v>
      </c>
      <c r="AW400" s="6" t="n">
        <v>0</v>
      </c>
      <c r="AX400" s="6" t="str">
        <f aca="false">IF($J400="NA","NA",IF(AND($J400&gt;1899,AW400&gt;0),"ERRO","OK"))</f>
        <v>OK</v>
      </c>
    </row>
    <row r="401" customFormat="false" ht="15" hidden="false" customHeight="false" outlineLevel="0" collapsed="false">
      <c r="A401" s="7" t="n">
        <v>399</v>
      </c>
      <c r="B401" s="0" t="s">
        <v>418</v>
      </c>
      <c r="C401" s="8" t="n">
        <v>45336</v>
      </c>
      <c r="D401" s="6" t="n">
        <v>0</v>
      </c>
      <c r="E401" s="0" t="s">
        <v>16</v>
      </c>
      <c r="F401" s="0" t="s">
        <v>17</v>
      </c>
      <c r="G401" s="9" t="str">
        <f aca="false">IF(OR(N401="ERRO",Q401="ERRO",T401="ERRO",W401="ERRO",Z401="ERRO",AC401="ERRO",AF401="ERRO",AI401="ERRO",AL401="ERRO",AO401="ERRO",AR401="ERRO",AU401="ERRO",AX401="ERRO"),"ERRO","OK")</f>
        <v>OK</v>
      </c>
      <c r="H401" s="9" t="n">
        <f aca="false">COUNTIF(L401:AX401,"ERRO")</f>
        <v>0</v>
      </c>
      <c r="I401" s="9" t="s">
        <v>18</v>
      </c>
      <c r="J401" s="10" t="s">
        <v>22</v>
      </c>
      <c r="K401" s="10" t="s">
        <v>22</v>
      </c>
      <c r="L401" s="6" t="n">
        <f aca="false">(10-(LEN(M401)))+1</f>
        <v>10</v>
      </c>
      <c r="M401" s="6" t="n">
        <v>0</v>
      </c>
      <c r="N401" s="6" t="str">
        <f aca="false">IF($J401="NA","NA",IF(AND($J401&gt;2019,M401&gt;0),"ERRO","OK"))</f>
        <v>NA</v>
      </c>
      <c r="O401" s="6" t="n">
        <f aca="false">(10-(LEN(P401)))+1</f>
        <v>10</v>
      </c>
      <c r="P401" s="6" t="n">
        <v>0</v>
      </c>
      <c r="Q401" s="6" t="str">
        <f aca="false">IF($J401="NA","NA",IF(AND($J401&gt;2009,P401&gt;0),"ERRO","OK"))</f>
        <v>NA</v>
      </c>
      <c r="R401" s="6" t="n">
        <f aca="false">(10-(LEN(S401)))+1</f>
        <v>10</v>
      </c>
      <c r="S401" s="6" t="n">
        <v>0</v>
      </c>
      <c r="T401" s="6" t="str">
        <f aca="false">IF($J401="NA","NA",IF(AND($J401&gt;1999,S401&gt;0),"ERRO","OK"))</f>
        <v>NA</v>
      </c>
      <c r="U401" s="6" t="n">
        <f aca="false">(10-(LEN(V401)))+1</f>
        <v>10</v>
      </c>
      <c r="V401" s="6" t="n">
        <v>0</v>
      </c>
      <c r="W401" s="6" t="str">
        <f aca="false">IF($J401="NA","NA",IF(AND($J401&gt;1989,V401&gt;0),"ERRO","OK"))</f>
        <v>NA</v>
      </c>
      <c r="X401" s="6" t="n">
        <f aca="false">(10-(LEN(Y401)))+1</f>
        <v>10</v>
      </c>
      <c r="Y401" s="6" t="n">
        <v>0</v>
      </c>
      <c r="Z401" s="6" t="str">
        <f aca="false">IF($J401="NA","NA",IF(AND($J401&gt;1979,Y401&gt;0),"ERRO","OK"))</f>
        <v>NA</v>
      </c>
      <c r="AA401" s="6" t="n">
        <f aca="false">(10-(LEN(AB401)))+1</f>
        <v>10</v>
      </c>
      <c r="AB401" s="6" t="n">
        <v>0</v>
      </c>
      <c r="AC401" s="6" t="str">
        <f aca="false">IF($J401="NA","NA",IF(AND($J401&gt;1969,AB401&gt;0),"ERRO","OK"))</f>
        <v>NA</v>
      </c>
      <c r="AD401" s="6" t="n">
        <f aca="false">(10-(LEN(AE401)))+1</f>
        <v>10</v>
      </c>
      <c r="AE401" s="6" t="n">
        <v>0</v>
      </c>
      <c r="AF401" s="6" t="str">
        <f aca="false">IF($J401="NA","NA",IF(AND($J401&gt;1959,AE401&gt;0),"ERRO","OK"))</f>
        <v>NA</v>
      </c>
      <c r="AG401" s="6" t="n">
        <f aca="false">(10-(LEN(AH401)))+1</f>
        <v>10</v>
      </c>
      <c r="AH401" s="6" t="n">
        <v>0</v>
      </c>
      <c r="AI401" s="6" t="str">
        <f aca="false">IF($J401="NA","NA",IF(AND($J401&gt;1949,AH401&gt;0),"ERRO","OK"))</f>
        <v>NA</v>
      </c>
      <c r="AJ401" s="6" t="n">
        <f aca="false">(10-(LEN(AK401)))+1</f>
        <v>10</v>
      </c>
      <c r="AK401" s="6" t="n">
        <v>0</v>
      </c>
      <c r="AL401" s="6" t="str">
        <f aca="false">IF($J401="NA","NA",IF(AND($J401&gt;1939,AK401&gt;0),"ERRO","OK"))</f>
        <v>NA</v>
      </c>
      <c r="AM401" s="6" t="n">
        <f aca="false">(10-(LEN(AN401)))+1</f>
        <v>10</v>
      </c>
      <c r="AN401" s="6" t="n">
        <v>0</v>
      </c>
      <c r="AO401" s="6" t="str">
        <f aca="false">IF($J401="NA","NA",IF(AND($J401&gt;1929,AN401&gt;0),"ERRO","OK"))</f>
        <v>NA</v>
      </c>
      <c r="AP401" s="6" t="n">
        <f aca="false">(10-(LEN(AQ401)))+1</f>
        <v>10</v>
      </c>
      <c r="AQ401" s="6" t="n">
        <v>0</v>
      </c>
      <c r="AR401" s="6" t="str">
        <f aca="false">IF($J401="NA","NA",IF(AND($J401&gt;1919,AQ401&gt;0),"ERRO","OK"))</f>
        <v>NA</v>
      </c>
      <c r="AS401" s="6" t="n">
        <f aca="false">(10-(LEN(AT401)))+1</f>
        <v>10</v>
      </c>
      <c r="AT401" s="6" t="n">
        <v>0</v>
      </c>
      <c r="AU401" s="6" t="str">
        <f aca="false">IF($J401="NA","NA",IF(AND($J401&gt;1909,AT401&gt;0),"ERRO","OK"))</f>
        <v>NA</v>
      </c>
      <c r="AV401" s="6" t="n">
        <f aca="false">(10-(LEN(AW401)))+1</f>
        <v>10</v>
      </c>
      <c r="AW401" s="6" t="n">
        <v>0</v>
      </c>
      <c r="AX401" s="6" t="str">
        <f aca="false">IF($J401="NA","NA",IF(AND($J401&gt;1899,AW401&gt;0),"ERRO","OK"))</f>
        <v>NA</v>
      </c>
    </row>
    <row r="402" customFormat="false" ht="15" hidden="false" customHeight="false" outlineLevel="0" collapsed="false">
      <c r="A402" s="7" t="n">
        <v>400</v>
      </c>
      <c r="B402" s="0" t="s">
        <v>419</v>
      </c>
      <c r="C402" s="8" t="n">
        <v>45336</v>
      </c>
      <c r="D402" s="6" t="n">
        <v>0</v>
      </c>
      <c r="E402" s="0" t="s">
        <v>16</v>
      </c>
      <c r="F402" s="0" t="s">
        <v>17</v>
      </c>
      <c r="G402" s="9" t="str">
        <f aca="false">IF(OR(N402="ERRO",Q402="ERRO",T402="ERRO",W402="ERRO",Z402="ERRO",AC402="ERRO",AF402="ERRO",AI402="ERRO",AL402="ERRO",AO402="ERRO",AR402="ERRO",AU402="ERRO",AX402="ERRO"),"ERRO","OK")</f>
        <v>OK</v>
      </c>
      <c r="H402" s="9" t="n">
        <f aca="false">COUNTIF(L402:AX402,"ERRO")</f>
        <v>0</v>
      </c>
      <c r="I402" s="9" t="s">
        <v>18</v>
      </c>
      <c r="J402" s="10" t="s">
        <v>22</v>
      </c>
      <c r="K402" s="10" t="s">
        <v>22</v>
      </c>
      <c r="L402" s="6" t="n">
        <f aca="false">(10-(LEN(M402)))+1</f>
        <v>10</v>
      </c>
      <c r="M402" s="6" t="n">
        <v>0</v>
      </c>
      <c r="N402" s="6" t="str">
        <f aca="false">IF($J402="NA","NA",IF(AND($J402&gt;2019,M402&gt;0),"ERRO","OK"))</f>
        <v>NA</v>
      </c>
      <c r="O402" s="6" t="n">
        <f aca="false">(10-(LEN(P402)))+1</f>
        <v>10</v>
      </c>
      <c r="P402" s="6" t="n">
        <v>0</v>
      </c>
      <c r="Q402" s="6" t="str">
        <f aca="false">IF($J402="NA","NA",IF(AND($J402&gt;2009,P402&gt;0),"ERRO","OK"))</f>
        <v>NA</v>
      </c>
      <c r="R402" s="6" t="n">
        <f aca="false">(10-(LEN(S402)))+1</f>
        <v>10</v>
      </c>
      <c r="S402" s="6" t="n">
        <v>0</v>
      </c>
      <c r="T402" s="6" t="str">
        <f aca="false">IF($J402="NA","NA",IF(AND($J402&gt;1999,S402&gt;0),"ERRO","OK"))</f>
        <v>NA</v>
      </c>
      <c r="U402" s="6" t="n">
        <f aca="false">(10-(LEN(V402)))+1</f>
        <v>10</v>
      </c>
      <c r="V402" s="6" t="n">
        <v>0</v>
      </c>
      <c r="W402" s="6" t="str">
        <f aca="false">IF($J402="NA","NA",IF(AND($J402&gt;1989,V402&gt;0),"ERRO","OK"))</f>
        <v>NA</v>
      </c>
      <c r="X402" s="6" t="n">
        <f aca="false">(10-(LEN(Y402)))+1</f>
        <v>10</v>
      </c>
      <c r="Y402" s="6" t="n">
        <v>0</v>
      </c>
      <c r="Z402" s="6" t="str">
        <f aca="false">IF($J402="NA","NA",IF(AND($J402&gt;1979,Y402&gt;0),"ERRO","OK"))</f>
        <v>NA</v>
      </c>
      <c r="AA402" s="6" t="n">
        <f aca="false">(10-(LEN(AB402)))+1</f>
        <v>10</v>
      </c>
      <c r="AB402" s="6" t="n">
        <v>0</v>
      </c>
      <c r="AC402" s="6" t="str">
        <f aca="false">IF($J402="NA","NA",IF(AND($J402&gt;1969,AB402&gt;0),"ERRO","OK"))</f>
        <v>NA</v>
      </c>
      <c r="AD402" s="6" t="n">
        <f aca="false">(10-(LEN(AE402)))+1</f>
        <v>10</v>
      </c>
      <c r="AE402" s="6" t="n">
        <v>0</v>
      </c>
      <c r="AF402" s="6" t="str">
        <f aca="false">IF($J402="NA","NA",IF(AND($J402&gt;1959,AE402&gt;0),"ERRO","OK"))</f>
        <v>NA</v>
      </c>
      <c r="AG402" s="6" t="n">
        <f aca="false">(10-(LEN(AH402)))+1</f>
        <v>10</v>
      </c>
      <c r="AH402" s="6" t="n">
        <v>0</v>
      </c>
      <c r="AI402" s="6" t="str">
        <f aca="false">IF($J402="NA","NA",IF(AND($J402&gt;1949,AH402&gt;0),"ERRO","OK"))</f>
        <v>NA</v>
      </c>
      <c r="AJ402" s="6" t="n">
        <f aca="false">(10-(LEN(AK402)))+1</f>
        <v>10</v>
      </c>
      <c r="AK402" s="6" t="n">
        <v>0</v>
      </c>
      <c r="AL402" s="6" t="str">
        <f aca="false">IF($J402="NA","NA",IF(AND($J402&gt;1939,AK402&gt;0),"ERRO","OK"))</f>
        <v>NA</v>
      </c>
      <c r="AM402" s="6" t="n">
        <f aca="false">(10-(LEN(AN402)))+1</f>
        <v>10</v>
      </c>
      <c r="AN402" s="6" t="n">
        <v>0</v>
      </c>
      <c r="AO402" s="6" t="str">
        <f aca="false">IF($J402="NA","NA",IF(AND($J402&gt;1929,AN402&gt;0),"ERRO","OK"))</f>
        <v>NA</v>
      </c>
      <c r="AP402" s="6" t="n">
        <f aca="false">(10-(LEN(AQ402)))+1</f>
        <v>10</v>
      </c>
      <c r="AQ402" s="6" t="n">
        <v>0</v>
      </c>
      <c r="AR402" s="6" t="str">
        <f aca="false">IF($J402="NA","NA",IF(AND($J402&gt;1919,AQ402&gt;0),"ERRO","OK"))</f>
        <v>NA</v>
      </c>
      <c r="AS402" s="6" t="n">
        <f aca="false">(10-(LEN(AT402)))+1</f>
        <v>10</v>
      </c>
      <c r="AT402" s="6" t="n">
        <v>0</v>
      </c>
      <c r="AU402" s="6" t="str">
        <f aca="false">IF($J402="NA","NA",IF(AND($J402&gt;1909,AT402&gt;0),"ERRO","OK"))</f>
        <v>NA</v>
      </c>
      <c r="AV402" s="6" t="n">
        <f aca="false">(10-(LEN(AW402)))+1</f>
        <v>10</v>
      </c>
      <c r="AW402" s="6" t="n">
        <v>0</v>
      </c>
      <c r="AX402" s="6" t="str">
        <f aca="false">IF($J402="NA","NA",IF(AND($J402&gt;1899,AW402&gt;0),"ERRO","OK"))</f>
        <v>NA</v>
      </c>
    </row>
    <row r="403" customFormat="false" ht="15" hidden="false" customHeight="false" outlineLevel="0" collapsed="false">
      <c r="A403" s="7" t="n">
        <v>401</v>
      </c>
      <c r="B403" s="0" t="s">
        <v>420</v>
      </c>
      <c r="C403" s="8" t="n">
        <v>45336</v>
      </c>
      <c r="D403" s="6" t="n">
        <v>0</v>
      </c>
      <c r="E403" s="0" t="s">
        <v>16</v>
      </c>
      <c r="F403" s="0" t="s">
        <v>17</v>
      </c>
      <c r="G403" s="9" t="str">
        <f aca="false">IF(OR(N403="ERRO",Q403="ERRO",T403="ERRO",W403="ERRO",Z403="ERRO",AC403="ERRO",AF403="ERRO",AI403="ERRO",AL403="ERRO",AO403="ERRO",AR403="ERRO",AU403="ERRO",AX403="ERRO"),"ERRO","OK")</f>
        <v>OK</v>
      </c>
      <c r="H403" s="9" t="n">
        <f aca="false">COUNTIF(L403:AX403,"ERRO")</f>
        <v>0</v>
      </c>
      <c r="I403" s="9" t="s">
        <v>18</v>
      </c>
      <c r="J403" s="10" t="n">
        <v>1821</v>
      </c>
      <c r="K403" s="10" t="n">
        <v>1908</v>
      </c>
      <c r="L403" s="6" t="n">
        <f aca="false">(10-(LEN(M403)))+1</f>
        <v>10</v>
      </c>
      <c r="M403" s="6" t="n">
        <v>0</v>
      </c>
      <c r="N403" s="6" t="str">
        <f aca="false">IF($J403="NA","NA",IF(AND($J403&gt;2019,M403&gt;0),"ERRO","OK"))</f>
        <v>OK</v>
      </c>
      <c r="O403" s="6" t="n">
        <f aca="false">(10-(LEN(P403)))+1</f>
        <v>10</v>
      </c>
      <c r="P403" s="6" t="n">
        <v>0</v>
      </c>
      <c r="Q403" s="6" t="str">
        <f aca="false">IF($J403="NA","NA",IF(AND($J403&gt;2009,P403&gt;0),"ERRO","OK"))</f>
        <v>OK</v>
      </c>
      <c r="R403" s="6" t="n">
        <f aca="false">(10-(LEN(S403)))+1</f>
        <v>10</v>
      </c>
      <c r="S403" s="6" t="n">
        <v>0</v>
      </c>
      <c r="T403" s="6" t="str">
        <f aca="false">IF($J403="NA","NA",IF(AND($J403&gt;1999,S403&gt;0),"ERRO","OK"))</f>
        <v>OK</v>
      </c>
      <c r="U403" s="6" t="n">
        <f aca="false">(10-(LEN(V403)))+1</f>
        <v>10</v>
      </c>
      <c r="V403" s="6" t="n">
        <v>0</v>
      </c>
      <c r="W403" s="6" t="str">
        <f aca="false">IF($J403="NA","NA",IF(AND($J403&gt;1989,V403&gt;0),"ERRO","OK"))</f>
        <v>OK</v>
      </c>
      <c r="X403" s="6" t="n">
        <f aca="false">(10-(LEN(Y403)))+1</f>
        <v>10</v>
      </c>
      <c r="Y403" s="6" t="n">
        <v>0</v>
      </c>
      <c r="Z403" s="6" t="str">
        <f aca="false">IF($J403="NA","NA",IF(AND($J403&gt;1979,Y403&gt;0),"ERRO","OK"))</f>
        <v>OK</v>
      </c>
      <c r="AA403" s="6" t="n">
        <f aca="false">(10-(LEN(AB403)))+1</f>
        <v>10</v>
      </c>
      <c r="AB403" s="6" t="n">
        <v>0</v>
      </c>
      <c r="AC403" s="6" t="str">
        <f aca="false">IF($J403="NA","NA",IF(AND($J403&gt;1969,AB403&gt;0),"ERRO","OK"))</f>
        <v>OK</v>
      </c>
      <c r="AD403" s="6" t="n">
        <f aca="false">(10-(LEN(AE403)))+1</f>
        <v>10</v>
      </c>
      <c r="AE403" s="6" t="n">
        <v>0</v>
      </c>
      <c r="AF403" s="6" t="str">
        <f aca="false">IF($J403="NA","NA",IF(AND($J403&gt;1959,AE403&gt;0),"ERRO","OK"))</f>
        <v>OK</v>
      </c>
      <c r="AG403" s="6" t="n">
        <f aca="false">(10-(LEN(AH403)))+1</f>
        <v>10</v>
      </c>
      <c r="AH403" s="6" t="n">
        <v>0</v>
      </c>
      <c r="AI403" s="6" t="str">
        <f aca="false">IF($J403="NA","NA",IF(AND($J403&gt;1949,AH403&gt;0),"ERRO","OK"))</f>
        <v>OK</v>
      </c>
      <c r="AJ403" s="6" t="n">
        <f aca="false">(10-(LEN(AK403)))+1</f>
        <v>10</v>
      </c>
      <c r="AK403" s="6" t="n">
        <v>0</v>
      </c>
      <c r="AL403" s="6" t="str">
        <f aca="false">IF($J403="NA","NA",IF(AND($J403&gt;1939,AK403&gt;0),"ERRO","OK"))</f>
        <v>OK</v>
      </c>
      <c r="AM403" s="6" t="n">
        <f aca="false">(10-(LEN(AN403)))+1</f>
        <v>10</v>
      </c>
      <c r="AN403" s="6" t="n">
        <v>0</v>
      </c>
      <c r="AO403" s="6" t="str">
        <f aca="false">IF($J403="NA","NA",IF(AND($J403&gt;1929,AN403&gt;0),"ERRO","OK"))</f>
        <v>OK</v>
      </c>
      <c r="AP403" s="6" t="n">
        <f aca="false">(10-(LEN(AQ403)))+1</f>
        <v>10</v>
      </c>
      <c r="AQ403" s="6" t="n">
        <v>0</v>
      </c>
      <c r="AR403" s="6" t="str">
        <f aca="false">IF($J403="NA","NA",IF(AND($J403&gt;1919,AQ403&gt;0),"ERRO","OK"))</f>
        <v>OK</v>
      </c>
      <c r="AS403" s="6" t="n">
        <f aca="false">(10-(LEN(AT403)))+1</f>
        <v>10</v>
      </c>
      <c r="AT403" s="6" t="n">
        <v>0</v>
      </c>
      <c r="AU403" s="6" t="str">
        <f aca="false">IF($J403="NA","NA",IF(AND($J403&gt;1909,AT403&gt;0),"ERRO","OK"))</f>
        <v>OK</v>
      </c>
      <c r="AV403" s="6" t="n">
        <f aca="false">(10-(LEN(AW403)))+1</f>
        <v>10</v>
      </c>
      <c r="AW403" s="6" t="n">
        <v>0</v>
      </c>
      <c r="AX403" s="6" t="str">
        <f aca="false">IF($J403="NA","NA",IF(AND($J403&gt;1899,AW403&gt;0),"ERRO","OK"))</f>
        <v>OK</v>
      </c>
    </row>
    <row r="404" customFormat="false" ht="15" hidden="false" customHeight="false" outlineLevel="0" collapsed="false">
      <c r="A404" s="7" t="n">
        <v>402</v>
      </c>
      <c r="B404" s="0" t="s">
        <v>421</v>
      </c>
      <c r="C404" s="8" t="n">
        <v>45336</v>
      </c>
      <c r="D404" s="6" t="n">
        <v>0</v>
      </c>
      <c r="E404" s="0" t="s">
        <v>16</v>
      </c>
      <c r="F404" s="0" t="s">
        <v>17</v>
      </c>
      <c r="G404" s="9" t="str">
        <f aca="false">IF(OR(N404="ERRO",Q404="ERRO",T404="ERRO",W404="ERRO",Z404="ERRO",AC404="ERRO",AF404="ERRO",AI404="ERRO",AL404="ERRO",AO404="ERRO",AR404="ERRO",AU404="ERRO",AX404="ERRO"),"ERRO","OK")</f>
        <v>OK</v>
      </c>
      <c r="H404" s="9" t="n">
        <f aca="false">COUNTIF(L404:AX404,"ERRO")</f>
        <v>0</v>
      </c>
      <c r="I404" s="9" t="s">
        <v>18</v>
      </c>
      <c r="J404" s="10" t="s">
        <v>22</v>
      </c>
      <c r="K404" s="10" t="s">
        <v>22</v>
      </c>
      <c r="L404" s="6" t="n">
        <f aca="false">(10-(LEN(M404)))+1</f>
        <v>7</v>
      </c>
      <c r="M404" s="6" t="n">
        <v>1166</v>
      </c>
      <c r="N404" s="6" t="str">
        <f aca="false">IF($J404="NA","NA",IF(AND($J404&gt;2019,M404&gt;0),"ERRO","OK"))</f>
        <v>NA</v>
      </c>
      <c r="O404" s="6" t="n">
        <f aca="false">(10-(LEN(P404)))+1</f>
        <v>7</v>
      </c>
      <c r="P404" s="6" t="n">
        <v>1098</v>
      </c>
      <c r="Q404" s="6" t="str">
        <f aca="false">IF($J404="NA","NA",IF(AND($J404&gt;2009,P404&gt;0),"ERRO","OK"))</f>
        <v>NA</v>
      </c>
      <c r="R404" s="6" t="n">
        <f aca="false">(10-(LEN(S404)))+1</f>
        <v>7</v>
      </c>
      <c r="S404" s="6" t="n">
        <v>1176</v>
      </c>
      <c r="T404" s="6" t="str">
        <f aca="false">IF($J404="NA","NA",IF(AND($J404&gt;1999,S404&gt;0),"ERRO","OK"))</f>
        <v>NA</v>
      </c>
      <c r="U404" s="6" t="n">
        <f aca="false">(10-(LEN(V404)))+1</f>
        <v>8</v>
      </c>
      <c r="V404" s="6" t="n">
        <v>966</v>
      </c>
      <c r="W404" s="6" t="str">
        <f aca="false">IF($J404="NA","NA",IF(AND($J404&gt;1989,V404&gt;0),"ERRO","OK"))</f>
        <v>NA</v>
      </c>
      <c r="X404" s="6" t="n">
        <f aca="false">(10-(LEN(Y404)))+1</f>
        <v>8</v>
      </c>
      <c r="Y404" s="6" t="n">
        <v>321</v>
      </c>
      <c r="Z404" s="6" t="str">
        <f aca="false">IF($J404="NA","NA",IF(AND($J404&gt;1979,Y404&gt;0),"ERRO","OK"))</f>
        <v>NA</v>
      </c>
      <c r="AA404" s="6" t="n">
        <f aca="false">(10-(LEN(AB404)))+1</f>
        <v>9</v>
      </c>
      <c r="AB404" s="6" t="n">
        <v>59</v>
      </c>
      <c r="AC404" s="6" t="str">
        <f aca="false">IF($J404="NA","NA",IF(AND($J404&gt;1969,AB404&gt;0),"ERRO","OK"))</f>
        <v>NA</v>
      </c>
      <c r="AD404" s="6" t="n">
        <f aca="false">(10-(LEN(AE404)))+1</f>
        <v>8</v>
      </c>
      <c r="AE404" s="6" t="n">
        <v>269</v>
      </c>
      <c r="AF404" s="6" t="str">
        <f aca="false">IF($J404="NA","NA",IF(AND($J404&gt;1959,AE404&gt;0),"ERRO","OK"))</f>
        <v>NA</v>
      </c>
      <c r="AG404" s="6" t="n">
        <f aca="false">(10-(LEN(AH404)))+1</f>
        <v>10</v>
      </c>
      <c r="AH404" s="6" t="n">
        <v>0</v>
      </c>
      <c r="AI404" s="6" t="str">
        <f aca="false">IF($J404="NA","NA",IF(AND($J404&gt;1949,AH404&gt;0),"ERRO","OK"))</f>
        <v>NA</v>
      </c>
      <c r="AJ404" s="6" t="n">
        <f aca="false">(10-(LEN(AK404)))+1</f>
        <v>8</v>
      </c>
      <c r="AK404" s="6" t="n">
        <v>696</v>
      </c>
      <c r="AL404" s="6" t="str">
        <f aca="false">IF($J404="NA","NA",IF(AND($J404&gt;1939,AK404&gt;0),"ERRO","OK"))</f>
        <v>NA</v>
      </c>
      <c r="AM404" s="6" t="n">
        <f aca="false">(10-(LEN(AN404)))+1</f>
        <v>7</v>
      </c>
      <c r="AN404" s="6" t="n">
        <v>1371</v>
      </c>
      <c r="AO404" s="6" t="str">
        <f aca="false">IF($J404="NA","NA",IF(AND($J404&gt;1929,AN404&gt;0),"ERRO","OK"))</f>
        <v>NA</v>
      </c>
      <c r="AP404" s="6" t="n">
        <f aca="false">(10-(LEN(AQ404)))+1</f>
        <v>7</v>
      </c>
      <c r="AQ404" s="6" t="n">
        <v>1702</v>
      </c>
      <c r="AR404" s="6" t="str">
        <f aca="false">IF($J404="NA","NA",IF(AND($J404&gt;1919,AQ404&gt;0),"ERRO","OK"))</f>
        <v>NA</v>
      </c>
      <c r="AS404" s="6" t="n">
        <f aca="false">(10-(LEN(AT404)))+1</f>
        <v>7</v>
      </c>
      <c r="AT404" s="6" t="n">
        <v>1753</v>
      </c>
      <c r="AU404" s="6" t="str">
        <f aca="false">IF($J404="NA","NA",IF(AND($J404&gt;1909,AT404&gt;0),"ERRO","OK"))</f>
        <v>NA</v>
      </c>
      <c r="AV404" s="6" t="n">
        <f aca="false">(10-(LEN(AW404)))+1</f>
        <v>7</v>
      </c>
      <c r="AW404" s="6" t="n">
        <v>2064</v>
      </c>
      <c r="AX404" s="6" t="str">
        <f aca="false">IF($J404="NA","NA",IF(AND($J404&gt;1899,AW404&gt;0),"ERRO","OK"))</f>
        <v>NA</v>
      </c>
    </row>
    <row r="405" customFormat="false" ht="15" hidden="false" customHeight="false" outlineLevel="0" collapsed="false">
      <c r="A405" s="7" t="n">
        <v>403</v>
      </c>
      <c r="B405" s="0" t="s">
        <v>422</v>
      </c>
      <c r="C405" s="8" t="n">
        <v>45336</v>
      </c>
      <c r="D405" s="6" t="n">
        <v>0</v>
      </c>
      <c r="E405" s="0" t="s">
        <v>16</v>
      </c>
      <c r="F405" s="0" t="s">
        <v>17</v>
      </c>
      <c r="G405" s="9" t="str">
        <f aca="false">IF(OR(N405="ERRO",Q405="ERRO",T405="ERRO",W405="ERRO",Z405="ERRO",AC405="ERRO",AF405="ERRO",AI405="ERRO",AL405="ERRO",AO405="ERRO",AR405="ERRO",AU405="ERRO",AX405="ERRO"),"ERRO","OK")</f>
        <v>OK</v>
      </c>
      <c r="H405" s="9" t="n">
        <f aca="false">COUNTIF(L405:AX405,"ERRO")</f>
        <v>0</v>
      </c>
      <c r="I405" s="9" t="s">
        <v>18</v>
      </c>
      <c r="J405" s="10" t="s">
        <v>22</v>
      </c>
      <c r="K405" s="10" t="s">
        <v>22</v>
      </c>
      <c r="L405" s="6" t="n">
        <f aca="false">(10-(LEN(M405)))+1</f>
        <v>7</v>
      </c>
      <c r="M405" s="6" t="n">
        <v>3831</v>
      </c>
      <c r="N405" s="6" t="str">
        <f aca="false">IF($J405="NA","NA",IF(AND($J405&gt;2019,M405&gt;0),"ERRO","OK"))</f>
        <v>NA</v>
      </c>
      <c r="O405" s="6" t="n">
        <f aca="false">(10-(LEN(P405)))+1</f>
        <v>7</v>
      </c>
      <c r="P405" s="6" t="n">
        <v>1818</v>
      </c>
      <c r="Q405" s="6" t="str">
        <f aca="false">IF($J405="NA","NA",IF(AND($J405&gt;2009,P405&gt;0),"ERRO","OK"))</f>
        <v>NA</v>
      </c>
      <c r="R405" s="6" t="n">
        <f aca="false">(10-(LEN(S405)))+1</f>
        <v>7</v>
      </c>
      <c r="S405" s="6" t="n">
        <v>2437</v>
      </c>
      <c r="T405" s="6" t="str">
        <f aca="false">IF($J405="NA","NA",IF(AND($J405&gt;1999,S405&gt;0),"ERRO","OK"))</f>
        <v>NA</v>
      </c>
      <c r="U405" s="6" t="n">
        <f aca="false">(10-(LEN(V405)))+1</f>
        <v>7</v>
      </c>
      <c r="V405" s="6" t="n">
        <v>3863</v>
      </c>
      <c r="W405" s="6" t="str">
        <f aca="false">IF($J405="NA","NA",IF(AND($J405&gt;1989,V405&gt;0),"ERRO","OK"))</f>
        <v>NA</v>
      </c>
      <c r="X405" s="6" t="n">
        <f aca="false">(10-(LEN(Y405)))+1</f>
        <v>7</v>
      </c>
      <c r="Y405" s="6" t="n">
        <v>6475</v>
      </c>
      <c r="Z405" s="6" t="str">
        <f aca="false">IF($J405="NA","NA",IF(AND($J405&gt;1979,Y405&gt;0),"ERRO","OK"))</f>
        <v>NA</v>
      </c>
      <c r="AA405" s="6" t="n">
        <f aca="false">(10-(LEN(AB405)))+1</f>
        <v>6</v>
      </c>
      <c r="AB405" s="6" t="n">
        <v>11075</v>
      </c>
      <c r="AC405" s="6" t="str">
        <f aca="false">IF($J405="NA","NA",IF(AND($J405&gt;1969,AB405&gt;0),"ERRO","OK"))</f>
        <v>NA</v>
      </c>
      <c r="AD405" s="6" t="n">
        <f aca="false">(10-(LEN(AE405)))+1</f>
        <v>6</v>
      </c>
      <c r="AE405" s="6" t="n">
        <v>10675</v>
      </c>
      <c r="AF405" s="6" t="str">
        <f aca="false">IF($J405="NA","NA",IF(AND($J405&gt;1959,AE405&gt;0),"ERRO","OK"))</f>
        <v>NA</v>
      </c>
      <c r="AG405" s="6" t="n">
        <f aca="false">(10-(LEN(AH405)))+1</f>
        <v>7</v>
      </c>
      <c r="AH405" s="6" t="n">
        <v>3194</v>
      </c>
      <c r="AI405" s="6" t="str">
        <f aca="false">IF($J405="NA","NA",IF(AND($J405&gt;1949,AH405&gt;0),"ERRO","OK"))</f>
        <v>NA</v>
      </c>
      <c r="AJ405" s="6" t="n">
        <f aca="false">(10-(LEN(AK405)))+1</f>
        <v>7</v>
      </c>
      <c r="AK405" s="6" t="n">
        <v>5431</v>
      </c>
      <c r="AL405" s="6" t="str">
        <f aca="false">IF($J405="NA","NA",IF(AND($J405&gt;1939,AK405&gt;0),"ERRO","OK"))</f>
        <v>NA</v>
      </c>
      <c r="AM405" s="6" t="n">
        <f aca="false">(10-(LEN(AN405)))+1</f>
        <v>6</v>
      </c>
      <c r="AN405" s="6" t="n">
        <v>14167</v>
      </c>
      <c r="AO405" s="6" t="str">
        <f aca="false">IF($J405="NA","NA",IF(AND($J405&gt;1929,AN405&gt;0),"ERRO","OK"))</f>
        <v>NA</v>
      </c>
      <c r="AP405" s="6" t="n">
        <f aca="false">(10-(LEN(AQ405)))+1</f>
        <v>7</v>
      </c>
      <c r="AQ405" s="6" t="n">
        <v>6409</v>
      </c>
      <c r="AR405" s="6" t="str">
        <f aca="false">IF($J405="NA","NA",IF(AND($J405&gt;1919,AQ405&gt;0),"ERRO","OK"))</f>
        <v>NA</v>
      </c>
      <c r="AS405" s="6" t="n">
        <f aca="false">(10-(LEN(AT405)))+1</f>
        <v>7</v>
      </c>
      <c r="AT405" s="6" t="n">
        <v>3713</v>
      </c>
      <c r="AU405" s="6" t="str">
        <f aca="false">IF($J405="NA","NA",IF(AND($J405&gt;1909,AT405&gt;0),"ERRO","OK"))</f>
        <v>NA</v>
      </c>
      <c r="AV405" s="6" t="n">
        <f aca="false">(10-(LEN(AW405)))+1</f>
        <v>7</v>
      </c>
      <c r="AW405" s="6" t="n">
        <v>5804</v>
      </c>
      <c r="AX405" s="6" t="str">
        <f aca="false">IF($J405="NA","NA",IF(AND($J405&gt;1899,AW405&gt;0),"ERRO","OK"))</f>
        <v>NA</v>
      </c>
    </row>
    <row r="406" customFormat="false" ht="15" hidden="false" customHeight="false" outlineLevel="0" collapsed="false">
      <c r="A406" s="7" t="n">
        <v>404</v>
      </c>
      <c r="B406" s="0" t="s">
        <v>423</v>
      </c>
      <c r="C406" s="8" t="n">
        <v>45336</v>
      </c>
      <c r="D406" s="6" t="n">
        <v>0</v>
      </c>
      <c r="E406" s="0" t="s">
        <v>16</v>
      </c>
      <c r="F406" s="0" t="s">
        <v>17</v>
      </c>
      <c r="G406" s="9" t="str">
        <f aca="false">IF(OR(N406="ERRO",Q406="ERRO",T406="ERRO",W406="ERRO",Z406="ERRO",AC406="ERRO",AF406="ERRO",AI406="ERRO",AL406="ERRO",AO406="ERRO",AR406="ERRO",AU406="ERRO",AX406="ERRO"),"ERRO","OK")</f>
        <v>OK</v>
      </c>
      <c r="H406" s="9" t="n">
        <f aca="false">COUNTIF(L406:AX406,"ERRO")</f>
        <v>0</v>
      </c>
      <c r="I406" s="9" t="s">
        <v>18</v>
      </c>
      <c r="J406" s="10" t="s">
        <v>22</v>
      </c>
      <c r="K406" s="10" t="s">
        <v>22</v>
      </c>
      <c r="L406" s="6" t="n">
        <f aca="false">(10-(LEN(M406)))+1</f>
        <v>8</v>
      </c>
      <c r="M406" s="6" t="n">
        <v>375</v>
      </c>
      <c r="N406" s="6" t="str">
        <f aca="false">IF($J406="NA","NA",IF(AND($J406&gt;2019,M406&gt;0),"ERRO","OK"))</f>
        <v>NA</v>
      </c>
      <c r="O406" s="6" t="n">
        <f aca="false">(10-(LEN(P406)))+1</f>
        <v>7</v>
      </c>
      <c r="P406" s="6" t="n">
        <v>1715</v>
      </c>
      <c r="Q406" s="6" t="str">
        <f aca="false">IF($J406="NA","NA",IF(AND($J406&gt;2009,P406&gt;0),"ERRO","OK"))</f>
        <v>NA</v>
      </c>
      <c r="R406" s="6" t="n">
        <f aca="false">(10-(LEN(S406)))+1</f>
        <v>8</v>
      </c>
      <c r="S406" s="6" t="n">
        <v>294</v>
      </c>
      <c r="T406" s="6" t="str">
        <f aca="false">IF($J406="NA","NA",IF(AND($J406&gt;1999,S406&gt;0),"ERRO","OK"))</f>
        <v>NA</v>
      </c>
      <c r="U406" s="6" t="n">
        <f aca="false">(10-(LEN(V406)))+1</f>
        <v>7</v>
      </c>
      <c r="V406" s="6" t="n">
        <v>1886</v>
      </c>
      <c r="W406" s="6" t="str">
        <f aca="false">IF($J406="NA","NA",IF(AND($J406&gt;1989,V406&gt;0),"ERRO","OK"))</f>
        <v>NA</v>
      </c>
      <c r="X406" s="6" t="n">
        <f aca="false">(10-(LEN(Y406)))+1</f>
        <v>8</v>
      </c>
      <c r="Y406" s="6" t="n">
        <v>268</v>
      </c>
      <c r="Z406" s="6" t="str">
        <f aca="false">IF($J406="NA","NA",IF(AND($J406&gt;1979,Y406&gt;0),"ERRO","OK"))</f>
        <v>NA</v>
      </c>
      <c r="AA406" s="6" t="n">
        <f aca="false">(10-(LEN(AB406)))+1</f>
        <v>7</v>
      </c>
      <c r="AB406" s="6" t="n">
        <v>1465</v>
      </c>
      <c r="AC406" s="6" t="str">
        <f aca="false">IF($J406="NA","NA",IF(AND($J406&gt;1969,AB406&gt;0),"ERRO","OK"))</f>
        <v>NA</v>
      </c>
      <c r="AD406" s="6" t="n">
        <f aca="false">(10-(LEN(AE406)))+1</f>
        <v>7</v>
      </c>
      <c r="AE406" s="6" t="n">
        <v>4037</v>
      </c>
      <c r="AF406" s="6" t="str">
        <f aca="false">IF($J406="NA","NA",IF(AND($J406&gt;1959,AE406&gt;0),"ERRO","OK"))</f>
        <v>NA</v>
      </c>
      <c r="AG406" s="6" t="n">
        <f aca="false">(10-(LEN(AH406)))+1</f>
        <v>7</v>
      </c>
      <c r="AH406" s="6" t="n">
        <v>3855</v>
      </c>
      <c r="AI406" s="6" t="str">
        <f aca="false">IF($J406="NA","NA",IF(AND($J406&gt;1949,AH406&gt;0),"ERRO","OK"))</f>
        <v>NA</v>
      </c>
      <c r="AJ406" s="6" t="n">
        <f aca="false">(10-(LEN(AK406)))+1</f>
        <v>6</v>
      </c>
      <c r="AK406" s="6" t="n">
        <v>23395</v>
      </c>
      <c r="AL406" s="6" t="str">
        <f aca="false">IF($J406="NA","NA",IF(AND($J406&gt;1939,AK406&gt;0),"ERRO","OK"))</f>
        <v>NA</v>
      </c>
      <c r="AM406" s="6" t="n">
        <f aca="false">(10-(LEN(AN406)))+1</f>
        <v>8</v>
      </c>
      <c r="AN406" s="6" t="n">
        <v>914</v>
      </c>
      <c r="AO406" s="6" t="str">
        <f aca="false">IF($J406="NA","NA",IF(AND($J406&gt;1929,AN406&gt;0),"ERRO","OK"))</f>
        <v>NA</v>
      </c>
      <c r="AP406" s="6" t="n">
        <f aca="false">(10-(LEN(AQ406)))+1</f>
        <v>10</v>
      </c>
      <c r="AQ406" s="6" t="n">
        <v>0</v>
      </c>
      <c r="AR406" s="6" t="str">
        <f aca="false">IF($J406="NA","NA",IF(AND($J406&gt;1919,AQ406&gt;0),"ERRO","OK"))</f>
        <v>NA</v>
      </c>
      <c r="AS406" s="6" t="n">
        <f aca="false">(10-(LEN(AT406)))+1</f>
        <v>10</v>
      </c>
      <c r="AT406" s="6" t="n">
        <v>0</v>
      </c>
      <c r="AU406" s="6" t="str">
        <f aca="false">IF($J406="NA","NA",IF(AND($J406&gt;1909,AT406&gt;0),"ERRO","OK"))</f>
        <v>NA</v>
      </c>
      <c r="AV406" s="6" t="n">
        <f aca="false">(10-(LEN(AW406)))+1</f>
        <v>10</v>
      </c>
      <c r="AW406" s="6" t="n">
        <v>0</v>
      </c>
      <c r="AX406" s="6" t="str">
        <f aca="false">IF($J406="NA","NA",IF(AND($J406&gt;1899,AW406&gt;0),"ERRO","OK"))</f>
        <v>NA</v>
      </c>
    </row>
    <row r="407" customFormat="false" ht="15" hidden="false" customHeight="false" outlineLevel="0" collapsed="false">
      <c r="A407" s="7" t="n">
        <v>405</v>
      </c>
      <c r="B407" s="0" t="s">
        <v>424</v>
      </c>
      <c r="C407" s="8" t="n">
        <v>45336</v>
      </c>
      <c r="D407" s="6" t="n">
        <v>0</v>
      </c>
      <c r="E407" s="0" t="s">
        <v>16</v>
      </c>
      <c r="F407" s="0" t="s">
        <v>17</v>
      </c>
      <c r="G407" s="9" t="str">
        <f aca="false">IF(OR(N407="ERRO",Q407="ERRO",T407="ERRO",W407="ERRO",Z407="ERRO",AC407="ERRO",AF407="ERRO",AI407="ERRO",AL407="ERRO",AO407="ERRO",AR407="ERRO",AU407="ERRO",AX407="ERRO"),"ERRO","OK")</f>
        <v>OK</v>
      </c>
      <c r="H407" s="9" t="n">
        <f aca="false">COUNTIF(L407:AX407,"ERRO")</f>
        <v>0</v>
      </c>
      <c r="I407" s="9" t="s">
        <v>18</v>
      </c>
      <c r="J407" s="10" t="n">
        <v>1896</v>
      </c>
      <c r="K407" s="10" t="n">
        <v>1969</v>
      </c>
      <c r="L407" s="6" t="n">
        <f aca="false">(10-(LEN(M407)))+1</f>
        <v>10</v>
      </c>
      <c r="M407" s="6" t="n">
        <v>0</v>
      </c>
      <c r="N407" s="6" t="str">
        <f aca="false">IF($J407="NA","NA",IF(AND($J407&gt;2019,M407&gt;0),"ERRO","OK"))</f>
        <v>OK</v>
      </c>
      <c r="O407" s="6" t="n">
        <f aca="false">(10-(LEN(P407)))+1</f>
        <v>10</v>
      </c>
      <c r="P407" s="6" t="n">
        <v>0</v>
      </c>
      <c r="Q407" s="6" t="str">
        <f aca="false">IF($J407="NA","NA",IF(AND($J407&gt;2009,P407&gt;0),"ERRO","OK"))</f>
        <v>OK</v>
      </c>
      <c r="R407" s="6" t="n">
        <f aca="false">(10-(LEN(S407)))+1</f>
        <v>10</v>
      </c>
      <c r="S407" s="6" t="n">
        <v>0</v>
      </c>
      <c r="T407" s="6" t="str">
        <f aca="false">IF($J407="NA","NA",IF(AND($J407&gt;1999,S407&gt;0),"ERRO","OK"))</f>
        <v>OK</v>
      </c>
      <c r="U407" s="6" t="n">
        <f aca="false">(10-(LEN(V407)))+1</f>
        <v>10</v>
      </c>
      <c r="V407" s="6" t="n">
        <v>0</v>
      </c>
      <c r="W407" s="6" t="str">
        <f aca="false">IF($J407="NA","NA",IF(AND($J407&gt;1989,V407&gt;0),"ERRO","OK"))</f>
        <v>OK</v>
      </c>
      <c r="X407" s="6" t="n">
        <f aca="false">(10-(LEN(Y407)))+1</f>
        <v>10</v>
      </c>
      <c r="Y407" s="6" t="n">
        <v>0</v>
      </c>
      <c r="Z407" s="6" t="str">
        <f aca="false">IF($J407="NA","NA",IF(AND($J407&gt;1979,Y407&gt;0),"ERRO","OK"))</f>
        <v>OK</v>
      </c>
      <c r="AA407" s="6" t="n">
        <f aca="false">(10-(LEN(AB407)))+1</f>
        <v>10</v>
      </c>
      <c r="AB407" s="6" t="n">
        <v>0</v>
      </c>
      <c r="AC407" s="6" t="str">
        <f aca="false">IF($J407="NA","NA",IF(AND($J407&gt;1969,AB407&gt;0),"ERRO","OK"))</f>
        <v>OK</v>
      </c>
      <c r="AD407" s="6" t="n">
        <f aca="false">(10-(LEN(AE407)))+1</f>
        <v>10</v>
      </c>
      <c r="AE407" s="6" t="n">
        <v>0</v>
      </c>
      <c r="AF407" s="6" t="str">
        <f aca="false">IF($J407="NA","NA",IF(AND($J407&gt;1959,AE407&gt;0),"ERRO","OK"))</f>
        <v>OK</v>
      </c>
      <c r="AG407" s="6" t="n">
        <f aca="false">(10-(LEN(AH407)))+1</f>
        <v>10</v>
      </c>
      <c r="AH407" s="6" t="n">
        <v>0</v>
      </c>
      <c r="AI407" s="6" t="str">
        <f aca="false">IF($J407="NA","NA",IF(AND($J407&gt;1949,AH407&gt;0),"ERRO","OK"))</f>
        <v>OK</v>
      </c>
      <c r="AJ407" s="6" t="n">
        <f aca="false">(10-(LEN(AK407)))+1</f>
        <v>8</v>
      </c>
      <c r="AK407" s="6" t="n">
        <v>293</v>
      </c>
      <c r="AL407" s="6" t="str">
        <f aca="false">IF($J407="NA","NA",IF(AND($J407&gt;1939,AK407&gt;0),"ERRO","OK"))</f>
        <v>OK</v>
      </c>
      <c r="AM407" s="6" t="n">
        <f aca="false">(10-(LEN(AN407)))+1</f>
        <v>8</v>
      </c>
      <c r="AN407" s="6" t="n">
        <v>321</v>
      </c>
      <c r="AO407" s="6" t="str">
        <f aca="false">IF($J407="NA","NA",IF(AND($J407&gt;1929,AN407&gt;0),"ERRO","OK"))</f>
        <v>OK</v>
      </c>
      <c r="AP407" s="6" t="n">
        <f aca="false">(10-(LEN(AQ407)))+1</f>
        <v>8</v>
      </c>
      <c r="AQ407" s="6" t="n">
        <v>105</v>
      </c>
      <c r="AR407" s="6" t="str">
        <f aca="false">IF($J407="NA","NA",IF(AND($J407&gt;1919,AQ407&gt;0),"ERRO","OK"))</f>
        <v>OK</v>
      </c>
      <c r="AS407" s="6" t="n">
        <f aca="false">(10-(LEN(AT407)))+1</f>
        <v>10</v>
      </c>
      <c r="AT407" s="6" t="n">
        <v>0</v>
      </c>
      <c r="AU407" s="6" t="str">
        <f aca="false">IF($J407="NA","NA",IF(AND($J407&gt;1909,AT407&gt;0),"ERRO","OK"))</f>
        <v>OK</v>
      </c>
      <c r="AV407" s="6" t="n">
        <f aca="false">(10-(LEN(AW407)))+1</f>
        <v>10</v>
      </c>
      <c r="AW407" s="6" t="n">
        <v>0</v>
      </c>
      <c r="AX407" s="6" t="str">
        <f aca="false">IF($J407="NA","NA",IF(AND($J407&gt;1899,AW407&gt;0),"ERRO","OK"))</f>
        <v>OK</v>
      </c>
    </row>
    <row r="408" customFormat="false" ht="15" hidden="false" customHeight="false" outlineLevel="0" collapsed="false">
      <c r="A408" s="7" t="n">
        <v>406</v>
      </c>
      <c r="B408" s="0" t="s">
        <v>425</v>
      </c>
      <c r="C408" s="8" t="n">
        <v>45336</v>
      </c>
      <c r="D408" s="6" t="n">
        <v>0</v>
      </c>
      <c r="E408" s="0" t="s">
        <v>16</v>
      </c>
      <c r="F408" s="0" t="s">
        <v>17</v>
      </c>
      <c r="G408" s="9" t="str">
        <f aca="false">IF(OR(N408="ERRO",Q408="ERRO",T408="ERRO",W408="ERRO",Z408="ERRO",AC408="ERRO",AF408="ERRO",AI408="ERRO",AL408="ERRO",AO408="ERRO",AR408="ERRO",AU408="ERRO",AX408="ERRO"),"ERRO","OK")</f>
        <v>OK</v>
      </c>
      <c r="H408" s="9" t="n">
        <f aca="false">COUNTIF(L408:AX408,"ERRO")</f>
        <v>0</v>
      </c>
      <c r="I408" s="9" t="s">
        <v>18</v>
      </c>
      <c r="J408" s="10" t="s">
        <v>22</v>
      </c>
      <c r="K408" s="10" t="s">
        <v>22</v>
      </c>
      <c r="L408" s="6" t="n">
        <f aca="false">(10-(LEN(M408)))+1</f>
        <v>7</v>
      </c>
      <c r="M408" s="6" t="n">
        <v>1095</v>
      </c>
      <c r="N408" s="6" t="str">
        <f aca="false">IF($J408="NA","NA",IF(AND($J408&gt;2019,M408&gt;0),"ERRO","OK"))</f>
        <v>NA</v>
      </c>
      <c r="O408" s="6" t="n">
        <f aca="false">(10-(LEN(P408)))+1</f>
        <v>7</v>
      </c>
      <c r="P408" s="6" t="n">
        <v>1729</v>
      </c>
      <c r="Q408" s="6" t="str">
        <f aca="false">IF($J408="NA","NA",IF(AND($J408&gt;2009,P408&gt;0),"ERRO","OK"))</f>
        <v>NA</v>
      </c>
      <c r="R408" s="6" t="n">
        <f aca="false">(10-(LEN(S408)))+1</f>
        <v>7</v>
      </c>
      <c r="S408" s="6" t="n">
        <v>4014</v>
      </c>
      <c r="T408" s="6" t="str">
        <f aca="false">IF($J408="NA","NA",IF(AND($J408&gt;1999,S408&gt;0),"ERRO","OK"))</f>
        <v>NA</v>
      </c>
      <c r="U408" s="6" t="n">
        <f aca="false">(10-(LEN(V408)))+1</f>
        <v>7</v>
      </c>
      <c r="V408" s="6" t="n">
        <v>3047</v>
      </c>
      <c r="W408" s="6" t="str">
        <f aca="false">IF($J408="NA","NA",IF(AND($J408&gt;1989,V408&gt;0),"ERRO","OK"))</f>
        <v>NA</v>
      </c>
      <c r="X408" s="6" t="n">
        <f aca="false">(10-(LEN(Y408)))+1</f>
        <v>7</v>
      </c>
      <c r="Y408" s="6" t="n">
        <v>4050</v>
      </c>
      <c r="Z408" s="6" t="str">
        <f aca="false">IF($J408="NA","NA",IF(AND($J408&gt;1979,Y408&gt;0),"ERRO","OK"))</f>
        <v>NA</v>
      </c>
      <c r="AA408" s="6" t="n">
        <f aca="false">(10-(LEN(AB408)))+1</f>
        <v>6</v>
      </c>
      <c r="AB408" s="6" t="n">
        <v>14895</v>
      </c>
      <c r="AC408" s="6" t="str">
        <f aca="false">IF($J408="NA","NA",IF(AND($J408&gt;1969,AB408&gt;0),"ERRO","OK"))</f>
        <v>NA</v>
      </c>
      <c r="AD408" s="6" t="n">
        <f aca="false">(10-(LEN(AE408)))+1</f>
        <v>6</v>
      </c>
      <c r="AE408" s="6" t="n">
        <v>36108</v>
      </c>
      <c r="AF408" s="6" t="str">
        <f aca="false">IF($J408="NA","NA",IF(AND($J408&gt;1959,AE408&gt;0),"ERRO","OK"))</f>
        <v>NA</v>
      </c>
      <c r="AG408" s="6" t="n">
        <f aca="false">(10-(LEN(AH408)))+1</f>
        <v>5</v>
      </c>
      <c r="AH408" s="6" t="n">
        <v>102400</v>
      </c>
      <c r="AI408" s="6" t="str">
        <f aca="false">IF($J408="NA","NA",IF(AND($J408&gt;1949,AH408&gt;0),"ERRO","OK"))</f>
        <v>NA</v>
      </c>
      <c r="AJ408" s="6" t="n">
        <f aca="false">(10-(LEN(AK408)))+1</f>
        <v>6</v>
      </c>
      <c r="AK408" s="6" t="n">
        <v>74747</v>
      </c>
      <c r="AL408" s="6" t="str">
        <f aca="false">IF($J408="NA","NA",IF(AND($J408&gt;1939,AK408&gt;0),"ERRO","OK"))</f>
        <v>NA</v>
      </c>
      <c r="AM408" s="6" t="n">
        <f aca="false">(10-(LEN(AN408)))+1</f>
        <v>7</v>
      </c>
      <c r="AN408" s="6" t="n">
        <v>4814</v>
      </c>
      <c r="AO408" s="6" t="str">
        <f aca="false">IF($J408="NA","NA",IF(AND($J408&gt;1929,AN408&gt;0),"ERRO","OK"))</f>
        <v>NA</v>
      </c>
      <c r="AP408" s="6" t="n">
        <f aca="false">(10-(LEN(AQ408)))+1</f>
        <v>7</v>
      </c>
      <c r="AQ408" s="6" t="n">
        <v>1686</v>
      </c>
      <c r="AR408" s="6" t="str">
        <f aca="false">IF($J408="NA","NA",IF(AND($J408&gt;1919,AQ408&gt;0),"ERRO","OK"))</f>
        <v>NA</v>
      </c>
      <c r="AS408" s="6" t="n">
        <f aca="false">(10-(LEN(AT408)))+1</f>
        <v>8</v>
      </c>
      <c r="AT408" s="6" t="n">
        <v>434</v>
      </c>
      <c r="AU408" s="6" t="str">
        <f aca="false">IF($J408="NA","NA",IF(AND($J408&gt;1909,AT408&gt;0),"ERRO","OK"))</f>
        <v>NA</v>
      </c>
      <c r="AV408" s="6" t="n">
        <f aca="false">(10-(LEN(AW408)))+1</f>
        <v>10</v>
      </c>
      <c r="AW408" s="6" t="n">
        <v>0</v>
      </c>
      <c r="AX408" s="6" t="str">
        <f aca="false">IF($J408="NA","NA",IF(AND($J408&gt;1899,AW408&gt;0),"ERRO","OK"))</f>
        <v>NA</v>
      </c>
    </row>
    <row r="409" customFormat="false" ht="15" hidden="false" customHeight="false" outlineLevel="0" collapsed="false">
      <c r="A409" s="7" t="n">
        <v>407</v>
      </c>
      <c r="B409" s="0" t="s">
        <v>426</v>
      </c>
      <c r="C409" s="8" t="n">
        <v>45336</v>
      </c>
      <c r="D409" s="6" t="n">
        <v>0</v>
      </c>
      <c r="E409" s="0" t="s">
        <v>16</v>
      </c>
      <c r="F409" s="0" t="s">
        <v>17</v>
      </c>
      <c r="G409" s="9" t="str">
        <f aca="false">IF(OR(N409="ERRO",Q409="ERRO",T409="ERRO",W409="ERRO",Z409="ERRO",AC409="ERRO",AF409="ERRO",AI409="ERRO",AL409="ERRO",AO409="ERRO",AR409="ERRO",AU409="ERRO",AX409="ERRO"),"ERRO","OK")</f>
        <v>OK</v>
      </c>
      <c r="H409" s="9" t="n">
        <f aca="false">COUNTIF(L409:AX409,"ERRO")</f>
        <v>0</v>
      </c>
      <c r="I409" s="9" t="s">
        <v>18</v>
      </c>
      <c r="J409" s="10" t="n">
        <v>1926</v>
      </c>
      <c r="K409" s="10" t="s">
        <v>22</v>
      </c>
      <c r="L409" s="6" t="n">
        <f aca="false">(10-(LEN(M409)))+1</f>
        <v>10</v>
      </c>
      <c r="M409" s="6" t="n">
        <v>0</v>
      </c>
      <c r="N409" s="6" t="str">
        <f aca="false">IF($J409="NA","NA",IF(AND($J409&gt;2019,M409&gt;0),"ERRO","OK"))</f>
        <v>OK</v>
      </c>
      <c r="O409" s="6" t="n">
        <f aca="false">(10-(LEN(P409)))+1</f>
        <v>10</v>
      </c>
      <c r="P409" s="6" t="n">
        <v>0</v>
      </c>
      <c r="Q409" s="6" t="str">
        <f aca="false">IF($J409="NA","NA",IF(AND($J409&gt;2009,P409&gt;0),"ERRO","OK"))</f>
        <v>OK</v>
      </c>
      <c r="R409" s="6" t="n">
        <f aca="false">(10-(LEN(S409)))+1</f>
        <v>10</v>
      </c>
      <c r="S409" s="6" t="n">
        <v>0</v>
      </c>
      <c r="T409" s="6" t="str">
        <f aca="false">IF($J409="NA","NA",IF(AND($J409&gt;1999,S409&gt;0),"ERRO","OK"))</f>
        <v>OK</v>
      </c>
      <c r="U409" s="6" t="n">
        <f aca="false">(10-(LEN(V409)))+1</f>
        <v>10</v>
      </c>
      <c r="V409" s="6" t="n">
        <v>0</v>
      </c>
      <c r="W409" s="6" t="str">
        <f aca="false">IF($J409="NA","NA",IF(AND($J409&gt;1989,V409&gt;0),"ERRO","OK"))</f>
        <v>OK</v>
      </c>
      <c r="X409" s="6" t="n">
        <f aca="false">(10-(LEN(Y409)))+1</f>
        <v>10</v>
      </c>
      <c r="Y409" s="6" t="n">
        <v>0</v>
      </c>
      <c r="Z409" s="6" t="str">
        <f aca="false">IF($J409="NA","NA",IF(AND($J409&gt;1979,Y409&gt;0),"ERRO","OK"))</f>
        <v>OK</v>
      </c>
      <c r="AA409" s="6" t="n">
        <f aca="false">(10-(LEN(AB409)))+1</f>
        <v>10</v>
      </c>
      <c r="AB409" s="6" t="n">
        <v>0</v>
      </c>
      <c r="AC409" s="6" t="str">
        <f aca="false">IF($J409="NA","NA",IF(AND($J409&gt;1969,AB409&gt;0),"ERRO","OK"))</f>
        <v>OK</v>
      </c>
      <c r="AD409" s="6" t="n">
        <f aca="false">(10-(LEN(AE409)))+1</f>
        <v>10</v>
      </c>
      <c r="AE409" s="6" t="n">
        <v>0</v>
      </c>
      <c r="AF409" s="6" t="str">
        <f aca="false">IF($J409="NA","NA",IF(AND($J409&gt;1959,AE409&gt;0),"ERRO","OK"))</f>
        <v>OK</v>
      </c>
      <c r="AG409" s="6" t="n">
        <f aca="false">(10-(LEN(AH409)))+1</f>
        <v>10</v>
      </c>
      <c r="AH409" s="6" t="n">
        <v>0</v>
      </c>
      <c r="AI409" s="6" t="str">
        <f aca="false">IF($J409="NA","NA",IF(AND($J409&gt;1949,AH409&gt;0),"ERRO","OK"))</f>
        <v>OK</v>
      </c>
      <c r="AJ409" s="6" t="n">
        <f aca="false">(10-(LEN(AK409)))+1</f>
        <v>10</v>
      </c>
      <c r="AK409" s="6" t="n">
        <v>0</v>
      </c>
      <c r="AL409" s="6" t="str">
        <f aca="false">IF($J409="NA","NA",IF(AND($J409&gt;1939,AK409&gt;0),"ERRO","OK"))</f>
        <v>OK</v>
      </c>
      <c r="AM409" s="6" t="n">
        <f aca="false">(10-(LEN(AN409)))+1</f>
        <v>10</v>
      </c>
      <c r="AN409" s="6" t="n">
        <v>0</v>
      </c>
      <c r="AO409" s="6" t="str">
        <f aca="false">IF($J409="NA","NA",IF(AND($J409&gt;1929,AN409&gt;0),"ERRO","OK"))</f>
        <v>OK</v>
      </c>
      <c r="AP409" s="6" t="n">
        <f aca="false">(10-(LEN(AQ409)))+1</f>
        <v>10</v>
      </c>
      <c r="AQ409" s="6" t="n">
        <v>0</v>
      </c>
      <c r="AR409" s="6" t="str">
        <f aca="false">IF($J409="NA","NA",IF(AND($J409&gt;1919,AQ409&gt;0),"ERRO","OK"))</f>
        <v>OK</v>
      </c>
      <c r="AS409" s="6" t="n">
        <f aca="false">(10-(LEN(AT409)))+1</f>
        <v>10</v>
      </c>
      <c r="AT409" s="6" t="n">
        <v>0</v>
      </c>
      <c r="AU409" s="6" t="str">
        <f aca="false">IF($J409="NA","NA",IF(AND($J409&gt;1909,AT409&gt;0),"ERRO","OK"))</f>
        <v>OK</v>
      </c>
      <c r="AV409" s="6" t="n">
        <f aca="false">(10-(LEN(AW409)))+1</f>
        <v>10</v>
      </c>
      <c r="AW409" s="6" t="n">
        <v>0</v>
      </c>
      <c r="AX409" s="6" t="str">
        <f aca="false">IF($J409="NA","NA",IF(AND($J409&gt;1899,AW409&gt;0),"ERRO","OK"))</f>
        <v>OK</v>
      </c>
    </row>
    <row r="410" customFormat="false" ht="15" hidden="false" customHeight="false" outlineLevel="0" collapsed="false">
      <c r="A410" s="7" t="n">
        <v>408</v>
      </c>
      <c r="B410" s="0" t="s">
        <v>427</v>
      </c>
      <c r="C410" s="8" t="n">
        <v>45336</v>
      </c>
      <c r="D410" s="6" t="n">
        <v>0</v>
      </c>
      <c r="E410" s="0" t="s">
        <v>16</v>
      </c>
      <c r="F410" s="0" t="s">
        <v>17</v>
      </c>
      <c r="G410" s="9" t="str">
        <f aca="false">IF(OR(N410="ERRO",Q410="ERRO",T410="ERRO",W410="ERRO",Z410="ERRO",AC410="ERRO",AF410="ERRO",AI410="ERRO",AL410="ERRO",AO410="ERRO",AR410="ERRO",AU410="ERRO",AX410="ERRO"),"ERRO","OK")</f>
        <v>OK</v>
      </c>
      <c r="H410" s="9" t="n">
        <f aca="false">COUNTIF(L410:AX410,"ERRO")</f>
        <v>0</v>
      </c>
      <c r="I410" s="9" t="s">
        <v>18</v>
      </c>
      <c r="J410" s="10" t="s">
        <v>22</v>
      </c>
      <c r="K410" s="10" t="s">
        <v>22</v>
      </c>
      <c r="L410" s="6" t="n">
        <f aca="false">(10-(LEN(M410)))+1</f>
        <v>10</v>
      </c>
      <c r="M410" s="6" t="n">
        <v>0</v>
      </c>
      <c r="N410" s="6" t="str">
        <f aca="false">IF($J410="NA","NA",IF(AND($J410&gt;2019,M410&gt;0),"ERRO","OK"))</f>
        <v>NA</v>
      </c>
      <c r="O410" s="6" t="n">
        <f aca="false">(10-(LEN(P410)))+1</f>
        <v>10</v>
      </c>
      <c r="P410" s="6" t="n">
        <v>0</v>
      </c>
      <c r="Q410" s="6" t="str">
        <f aca="false">IF($J410="NA","NA",IF(AND($J410&gt;2009,P410&gt;0),"ERRO","OK"))</f>
        <v>NA</v>
      </c>
      <c r="R410" s="6" t="n">
        <f aca="false">(10-(LEN(S410)))+1</f>
        <v>10</v>
      </c>
      <c r="S410" s="6" t="n">
        <v>0</v>
      </c>
      <c r="T410" s="6" t="str">
        <f aca="false">IF($J410="NA","NA",IF(AND($J410&gt;1999,S410&gt;0),"ERRO","OK"))</f>
        <v>NA</v>
      </c>
      <c r="U410" s="6" t="n">
        <f aca="false">(10-(LEN(V410)))+1</f>
        <v>10</v>
      </c>
      <c r="V410" s="6" t="n">
        <v>0</v>
      </c>
      <c r="W410" s="6" t="str">
        <f aca="false">IF($J410="NA","NA",IF(AND($J410&gt;1989,V410&gt;0),"ERRO","OK"))</f>
        <v>NA</v>
      </c>
      <c r="X410" s="6" t="n">
        <f aca="false">(10-(LEN(Y410)))+1</f>
        <v>10</v>
      </c>
      <c r="Y410" s="6" t="n">
        <v>0</v>
      </c>
      <c r="Z410" s="6" t="str">
        <f aca="false">IF($J410="NA","NA",IF(AND($J410&gt;1979,Y410&gt;0),"ERRO","OK"))</f>
        <v>NA</v>
      </c>
      <c r="AA410" s="6" t="n">
        <f aca="false">(10-(LEN(AB410)))+1</f>
        <v>10</v>
      </c>
      <c r="AB410" s="6" t="n">
        <v>0</v>
      </c>
      <c r="AC410" s="6" t="str">
        <f aca="false">IF($J410="NA","NA",IF(AND($J410&gt;1969,AB410&gt;0),"ERRO","OK"))</f>
        <v>NA</v>
      </c>
      <c r="AD410" s="6" t="n">
        <f aca="false">(10-(LEN(AE410)))+1</f>
        <v>10</v>
      </c>
      <c r="AE410" s="6" t="n">
        <v>0</v>
      </c>
      <c r="AF410" s="6" t="str">
        <f aca="false">IF($J410="NA","NA",IF(AND($J410&gt;1959,AE410&gt;0),"ERRO","OK"))</f>
        <v>NA</v>
      </c>
      <c r="AG410" s="6" t="n">
        <f aca="false">(10-(LEN(AH410)))+1</f>
        <v>10</v>
      </c>
      <c r="AH410" s="6" t="n">
        <v>0</v>
      </c>
      <c r="AI410" s="6" t="str">
        <f aca="false">IF($J410="NA","NA",IF(AND($J410&gt;1949,AH410&gt;0),"ERRO","OK"))</f>
        <v>NA</v>
      </c>
      <c r="AJ410" s="6" t="n">
        <f aca="false">(10-(LEN(AK410)))+1</f>
        <v>10</v>
      </c>
      <c r="AK410" s="6" t="n">
        <v>0</v>
      </c>
      <c r="AL410" s="6" t="str">
        <f aca="false">IF($J410="NA","NA",IF(AND($J410&gt;1939,AK410&gt;0),"ERRO","OK"))</f>
        <v>NA</v>
      </c>
      <c r="AM410" s="6" t="n">
        <f aca="false">(10-(LEN(AN410)))+1</f>
        <v>10</v>
      </c>
      <c r="AN410" s="6" t="n">
        <v>0</v>
      </c>
      <c r="AO410" s="6" t="str">
        <f aca="false">IF($J410="NA","NA",IF(AND($J410&gt;1929,AN410&gt;0),"ERRO","OK"))</f>
        <v>NA</v>
      </c>
      <c r="AP410" s="6" t="n">
        <f aca="false">(10-(LEN(AQ410)))+1</f>
        <v>10</v>
      </c>
      <c r="AQ410" s="6" t="n">
        <v>0</v>
      </c>
      <c r="AR410" s="6" t="str">
        <f aca="false">IF($J410="NA","NA",IF(AND($J410&gt;1919,AQ410&gt;0),"ERRO","OK"))</f>
        <v>NA</v>
      </c>
      <c r="AS410" s="6" t="n">
        <f aca="false">(10-(LEN(AT410)))+1</f>
        <v>10</v>
      </c>
      <c r="AT410" s="6" t="n">
        <v>0</v>
      </c>
      <c r="AU410" s="6" t="str">
        <f aca="false">IF($J410="NA","NA",IF(AND($J410&gt;1909,AT410&gt;0),"ERRO","OK"))</f>
        <v>NA</v>
      </c>
      <c r="AV410" s="6" t="n">
        <f aca="false">(10-(LEN(AW410)))+1</f>
        <v>10</v>
      </c>
      <c r="AW410" s="6" t="n">
        <v>0</v>
      </c>
      <c r="AX410" s="6" t="str">
        <f aca="false">IF($J410="NA","NA",IF(AND($J410&gt;1899,AW410&gt;0),"ERRO","OK"))</f>
        <v>NA</v>
      </c>
    </row>
    <row r="411" customFormat="false" ht="15" hidden="false" customHeight="false" outlineLevel="0" collapsed="false">
      <c r="A411" s="7" t="n">
        <v>409</v>
      </c>
      <c r="B411" s="0" t="s">
        <v>428</v>
      </c>
      <c r="C411" s="8" t="n">
        <v>45336</v>
      </c>
      <c r="D411" s="6" t="n">
        <v>0</v>
      </c>
      <c r="E411" s="0" t="s">
        <v>16</v>
      </c>
      <c r="F411" s="0" t="s">
        <v>17</v>
      </c>
      <c r="G411" s="9" t="str">
        <f aca="false">IF(OR(N411="ERRO",Q411="ERRO",T411="ERRO",W411="ERRO",Z411="ERRO",AC411="ERRO",AF411="ERRO",AI411="ERRO",AL411="ERRO",AO411="ERRO",AR411="ERRO",AU411="ERRO",AX411="ERRO"),"ERRO","OK")</f>
        <v>OK</v>
      </c>
      <c r="H411" s="9" t="n">
        <f aca="false">COUNTIF(L411:AX411,"ERRO")</f>
        <v>0</v>
      </c>
      <c r="I411" s="9" t="s">
        <v>18</v>
      </c>
      <c r="J411" s="10" t="s">
        <v>22</v>
      </c>
      <c r="K411" s="10" t="s">
        <v>22</v>
      </c>
      <c r="L411" s="6" t="n">
        <f aca="false">(10-(LEN(M411)))+1</f>
        <v>10</v>
      </c>
      <c r="M411" s="6" t="n">
        <v>0</v>
      </c>
      <c r="N411" s="6" t="str">
        <f aca="false">IF($J411="NA","NA",IF(AND($J411&gt;2019,M411&gt;0),"ERRO","OK"))</f>
        <v>NA</v>
      </c>
      <c r="O411" s="6" t="n">
        <f aca="false">(10-(LEN(P411)))+1</f>
        <v>8</v>
      </c>
      <c r="P411" s="6" t="n">
        <v>216</v>
      </c>
      <c r="Q411" s="6" t="str">
        <f aca="false">IF($J411="NA","NA",IF(AND($J411&gt;2009,P411&gt;0),"ERRO","OK"))</f>
        <v>NA</v>
      </c>
      <c r="R411" s="6" t="n">
        <f aca="false">(10-(LEN(S411)))+1</f>
        <v>8</v>
      </c>
      <c r="S411" s="6" t="n">
        <v>353</v>
      </c>
      <c r="T411" s="6" t="str">
        <f aca="false">IF($J411="NA","NA",IF(AND($J411&gt;1999,S411&gt;0),"ERRO","OK"))</f>
        <v>NA</v>
      </c>
      <c r="U411" s="6" t="n">
        <f aca="false">(10-(LEN(V411)))+1</f>
        <v>8</v>
      </c>
      <c r="V411" s="6" t="n">
        <v>484</v>
      </c>
      <c r="W411" s="6" t="str">
        <f aca="false">IF($J411="NA","NA",IF(AND($J411&gt;1989,V411&gt;0),"ERRO","OK"))</f>
        <v>NA</v>
      </c>
      <c r="X411" s="6" t="n">
        <f aca="false">(10-(LEN(Y411)))+1</f>
        <v>8</v>
      </c>
      <c r="Y411" s="6" t="n">
        <v>394</v>
      </c>
      <c r="Z411" s="6" t="str">
        <f aca="false">IF($J411="NA","NA",IF(AND($J411&gt;1979,Y411&gt;0),"ERRO","OK"))</f>
        <v>NA</v>
      </c>
      <c r="AA411" s="6" t="n">
        <f aca="false">(10-(LEN(AB411)))+1</f>
        <v>8</v>
      </c>
      <c r="AB411" s="6" t="n">
        <v>554</v>
      </c>
      <c r="AC411" s="6" t="str">
        <f aca="false">IF($J411="NA","NA",IF(AND($J411&gt;1969,AB411&gt;0),"ERRO","OK"))</f>
        <v>NA</v>
      </c>
      <c r="AD411" s="6" t="n">
        <f aca="false">(10-(LEN(AE411)))+1</f>
        <v>10</v>
      </c>
      <c r="AE411" s="6" t="n">
        <v>0</v>
      </c>
      <c r="AF411" s="6" t="str">
        <f aca="false">IF($J411="NA","NA",IF(AND($J411&gt;1959,AE411&gt;0),"ERRO","OK"))</f>
        <v>NA</v>
      </c>
      <c r="AG411" s="6" t="n">
        <f aca="false">(10-(LEN(AH411)))+1</f>
        <v>10</v>
      </c>
      <c r="AH411" s="6" t="n">
        <v>0</v>
      </c>
      <c r="AI411" s="6" t="str">
        <f aca="false">IF($J411="NA","NA",IF(AND($J411&gt;1949,AH411&gt;0),"ERRO","OK"))</f>
        <v>NA</v>
      </c>
      <c r="AJ411" s="6" t="n">
        <f aca="false">(10-(LEN(AK411)))+1</f>
        <v>10</v>
      </c>
      <c r="AK411" s="6" t="n">
        <v>0</v>
      </c>
      <c r="AL411" s="6" t="str">
        <f aca="false">IF($J411="NA","NA",IF(AND($J411&gt;1939,AK411&gt;0),"ERRO","OK"))</f>
        <v>NA</v>
      </c>
      <c r="AM411" s="6" t="n">
        <f aca="false">(10-(LEN(AN411)))+1</f>
        <v>10</v>
      </c>
      <c r="AN411" s="6" t="n">
        <v>0</v>
      </c>
      <c r="AO411" s="6" t="str">
        <f aca="false">IF($J411="NA","NA",IF(AND($J411&gt;1929,AN411&gt;0),"ERRO","OK"))</f>
        <v>NA</v>
      </c>
      <c r="AP411" s="6" t="n">
        <f aca="false">(10-(LEN(AQ411)))+1</f>
        <v>10</v>
      </c>
      <c r="AQ411" s="6" t="n">
        <v>0</v>
      </c>
      <c r="AR411" s="6" t="str">
        <f aca="false">IF($J411="NA","NA",IF(AND($J411&gt;1919,AQ411&gt;0),"ERRO","OK"))</f>
        <v>NA</v>
      </c>
      <c r="AS411" s="6" t="n">
        <f aca="false">(10-(LEN(AT411)))+1</f>
        <v>10</v>
      </c>
      <c r="AT411" s="6" t="n">
        <v>0</v>
      </c>
      <c r="AU411" s="6" t="str">
        <f aca="false">IF($J411="NA","NA",IF(AND($J411&gt;1909,AT411&gt;0),"ERRO","OK"))</f>
        <v>NA</v>
      </c>
      <c r="AV411" s="6" t="n">
        <f aca="false">(10-(LEN(AW411)))+1</f>
        <v>10</v>
      </c>
      <c r="AW411" s="6" t="n">
        <v>0</v>
      </c>
      <c r="AX411" s="6" t="str">
        <f aca="false">IF($J411="NA","NA",IF(AND($J411&gt;1899,AW411&gt;0),"ERRO","OK"))</f>
        <v>NA</v>
      </c>
    </row>
    <row r="412" customFormat="false" ht="15" hidden="false" customHeight="false" outlineLevel="0" collapsed="false">
      <c r="A412" s="7" t="n">
        <v>410</v>
      </c>
      <c r="B412" s="0" t="s">
        <v>429</v>
      </c>
      <c r="C412" s="8" t="n">
        <v>45336</v>
      </c>
      <c r="D412" s="6" t="n">
        <v>0</v>
      </c>
      <c r="E412" s="0" t="s">
        <v>16</v>
      </c>
      <c r="F412" s="0" t="s">
        <v>17</v>
      </c>
      <c r="G412" s="9" t="str">
        <f aca="false">IF(OR(N412="ERRO",Q412="ERRO",T412="ERRO",W412="ERRO",Z412="ERRO",AC412="ERRO",AF412="ERRO",AI412="ERRO",AL412="ERRO",AO412="ERRO",AR412="ERRO",AU412="ERRO",AX412="ERRO"),"ERRO","OK")</f>
        <v>OK</v>
      </c>
      <c r="H412" s="9" t="n">
        <f aca="false">COUNTIF(L412:AX412,"ERRO")</f>
        <v>0</v>
      </c>
      <c r="I412" s="9" t="s">
        <v>18</v>
      </c>
      <c r="J412" s="10" t="n">
        <v>1894</v>
      </c>
      <c r="K412" s="10" t="n">
        <v>1976</v>
      </c>
      <c r="L412" s="6" t="n">
        <f aca="false">(10-(LEN(M412)))+1</f>
        <v>8</v>
      </c>
      <c r="M412" s="6" t="n">
        <v>307</v>
      </c>
      <c r="N412" s="6" t="str">
        <f aca="false">IF($J412="NA","NA",IF(AND($J412&gt;2019,M412&gt;0),"ERRO","OK"))</f>
        <v>OK</v>
      </c>
      <c r="O412" s="6" t="n">
        <f aca="false">(10-(LEN(P412)))+1</f>
        <v>8</v>
      </c>
      <c r="P412" s="6" t="n">
        <v>360</v>
      </c>
      <c r="Q412" s="6" t="str">
        <f aca="false">IF($J412="NA","NA",IF(AND($J412&gt;2009,P412&gt;0),"ERRO","OK"))</f>
        <v>OK</v>
      </c>
      <c r="R412" s="6" t="n">
        <f aca="false">(10-(LEN(S412)))+1</f>
        <v>8</v>
      </c>
      <c r="S412" s="6" t="n">
        <v>529</v>
      </c>
      <c r="T412" s="6" t="str">
        <f aca="false">IF($J412="NA","NA",IF(AND($J412&gt;1999,S412&gt;0),"ERRO","OK"))</f>
        <v>OK</v>
      </c>
      <c r="U412" s="6" t="n">
        <f aca="false">(10-(LEN(V412)))+1</f>
        <v>8</v>
      </c>
      <c r="V412" s="6" t="n">
        <v>580</v>
      </c>
      <c r="W412" s="6" t="str">
        <f aca="false">IF($J412="NA","NA",IF(AND($J412&gt;1989,V412&gt;0),"ERRO","OK"))</f>
        <v>OK</v>
      </c>
      <c r="X412" s="6" t="n">
        <f aca="false">(10-(LEN(Y412)))+1</f>
        <v>8</v>
      </c>
      <c r="Y412" s="6" t="n">
        <v>338</v>
      </c>
      <c r="Z412" s="6" t="str">
        <f aca="false">IF($J412="NA","NA",IF(AND($J412&gt;1979,Y412&gt;0),"ERRO","OK"))</f>
        <v>OK</v>
      </c>
      <c r="AA412" s="6" t="n">
        <f aca="false">(10-(LEN(AB412)))+1</f>
        <v>7</v>
      </c>
      <c r="AB412" s="6" t="n">
        <v>1169</v>
      </c>
      <c r="AC412" s="6" t="str">
        <f aca="false">IF($J412="NA","NA",IF(AND($J412&gt;1969,AB412&gt;0),"ERRO","OK"))</f>
        <v>OK</v>
      </c>
      <c r="AD412" s="6" t="n">
        <f aca="false">(10-(LEN(AE412)))+1</f>
        <v>7</v>
      </c>
      <c r="AE412" s="6" t="n">
        <v>2074</v>
      </c>
      <c r="AF412" s="6" t="str">
        <f aca="false">IF($J412="NA","NA",IF(AND($J412&gt;1959,AE412&gt;0),"ERRO","OK"))</f>
        <v>OK</v>
      </c>
      <c r="AG412" s="6" t="n">
        <f aca="false">(10-(LEN(AH412)))+1</f>
        <v>8</v>
      </c>
      <c r="AH412" s="6" t="n">
        <v>927</v>
      </c>
      <c r="AI412" s="6" t="str">
        <f aca="false">IF($J412="NA","NA",IF(AND($J412&gt;1949,AH412&gt;0),"ERRO","OK"))</f>
        <v>OK</v>
      </c>
      <c r="AJ412" s="6" t="n">
        <f aca="false">(10-(LEN(AK412)))+1</f>
        <v>7</v>
      </c>
      <c r="AK412" s="6" t="n">
        <v>3371</v>
      </c>
      <c r="AL412" s="6" t="str">
        <f aca="false">IF($J412="NA","NA",IF(AND($J412&gt;1939,AK412&gt;0),"ERRO","OK"))</f>
        <v>OK</v>
      </c>
      <c r="AM412" s="6" t="n">
        <f aca="false">(10-(LEN(AN412)))+1</f>
        <v>8</v>
      </c>
      <c r="AN412" s="6" t="n">
        <v>802</v>
      </c>
      <c r="AO412" s="6" t="str">
        <f aca="false">IF($J412="NA","NA",IF(AND($J412&gt;1929,AN412&gt;0),"ERRO","OK"))</f>
        <v>OK</v>
      </c>
      <c r="AP412" s="6" t="n">
        <f aca="false">(10-(LEN(AQ412)))+1</f>
        <v>7</v>
      </c>
      <c r="AQ412" s="6" t="n">
        <v>1580</v>
      </c>
      <c r="AR412" s="6" t="str">
        <f aca="false">IF($J412="NA","NA",IF(AND($J412&gt;1919,AQ412&gt;0),"ERRO","OK"))</f>
        <v>OK</v>
      </c>
      <c r="AS412" s="6" t="n">
        <f aca="false">(10-(LEN(AT412)))+1</f>
        <v>10</v>
      </c>
      <c r="AT412" s="6" t="n">
        <v>0</v>
      </c>
      <c r="AU412" s="6" t="str">
        <f aca="false">IF($J412="NA","NA",IF(AND($J412&gt;1909,AT412&gt;0),"ERRO","OK"))</f>
        <v>OK</v>
      </c>
      <c r="AV412" s="6" t="n">
        <f aca="false">(10-(LEN(AW412)))+1</f>
        <v>10</v>
      </c>
      <c r="AW412" s="6" t="n">
        <v>0</v>
      </c>
      <c r="AX412" s="6" t="str">
        <f aca="false">IF($J412="NA","NA",IF(AND($J412&gt;1899,AW412&gt;0),"ERRO","OK"))</f>
        <v>OK</v>
      </c>
    </row>
    <row r="413" customFormat="false" ht="15" hidden="false" customHeight="false" outlineLevel="0" collapsed="false">
      <c r="A413" s="7" t="n">
        <v>411</v>
      </c>
      <c r="B413" s="0" t="s">
        <v>430</v>
      </c>
      <c r="C413" s="8" t="n">
        <v>45336</v>
      </c>
      <c r="D413" s="6" t="n">
        <v>0</v>
      </c>
      <c r="E413" s="0" t="s">
        <v>16</v>
      </c>
      <c r="F413" s="0" t="s">
        <v>17</v>
      </c>
      <c r="G413" s="9" t="str">
        <f aca="false">IF(OR(N413="ERRO",Q413="ERRO",T413="ERRO",W413="ERRO",Z413="ERRO",AC413="ERRO",AF413="ERRO",AI413="ERRO",AL413="ERRO",AO413="ERRO",AR413="ERRO",AU413="ERRO",AX413="ERRO"),"ERRO","OK")</f>
        <v>OK</v>
      </c>
      <c r="H413" s="9" t="n">
        <f aca="false">COUNTIF(L413:AX413,"ERRO")</f>
        <v>0</v>
      </c>
      <c r="I413" s="9" t="s">
        <v>18</v>
      </c>
      <c r="J413" s="10" t="s">
        <v>22</v>
      </c>
      <c r="K413" s="10" t="s">
        <v>22</v>
      </c>
      <c r="L413" s="6" t="n">
        <f aca="false">(10-(LEN(M413)))+1</f>
        <v>7</v>
      </c>
      <c r="M413" s="6" t="n">
        <v>4498</v>
      </c>
      <c r="N413" s="6" t="str">
        <f aca="false">IF($J413="NA","NA",IF(AND($J413&gt;2019,M413&gt;0),"ERRO","OK"))</f>
        <v>NA</v>
      </c>
      <c r="O413" s="6" t="n">
        <f aca="false">(10-(LEN(P413)))+1</f>
        <v>7</v>
      </c>
      <c r="P413" s="6" t="n">
        <v>3396</v>
      </c>
      <c r="Q413" s="6" t="str">
        <f aca="false">IF($J413="NA","NA",IF(AND($J413&gt;2009,P413&gt;0),"ERRO","OK"))</f>
        <v>NA</v>
      </c>
      <c r="R413" s="6" t="n">
        <f aca="false">(10-(LEN(S413)))+1</f>
        <v>7</v>
      </c>
      <c r="S413" s="6" t="n">
        <v>4454</v>
      </c>
      <c r="T413" s="6" t="str">
        <f aca="false">IF($J413="NA","NA",IF(AND($J413&gt;1999,S413&gt;0),"ERRO","OK"))</f>
        <v>NA</v>
      </c>
      <c r="U413" s="6" t="n">
        <f aca="false">(10-(LEN(V413)))+1</f>
        <v>7</v>
      </c>
      <c r="V413" s="6" t="n">
        <v>5059</v>
      </c>
      <c r="W413" s="6" t="str">
        <f aca="false">IF($J413="NA","NA",IF(AND($J413&gt;1989,V413&gt;0),"ERRO","OK"))</f>
        <v>NA</v>
      </c>
      <c r="X413" s="6" t="n">
        <f aca="false">(10-(LEN(Y413)))+1</f>
        <v>7</v>
      </c>
      <c r="Y413" s="6" t="n">
        <v>7063</v>
      </c>
      <c r="Z413" s="6" t="str">
        <f aca="false">IF($J413="NA","NA",IF(AND($J413&gt;1979,Y413&gt;0),"ERRO","OK"))</f>
        <v>NA</v>
      </c>
      <c r="AA413" s="6" t="n">
        <f aca="false">(10-(LEN(AB413)))+1</f>
        <v>7</v>
      </c>
      <c r="AB413" s="6" t="n">
        <v>4571</v>
      </c>
      <c r="AC413" s="6" t="str">
        <f aca="false">IF($J413="NA","NA",IF(AND($J413&gt;1969,AB413&gt;0),"ERRO","OK"))</f>
        <v>NA</v>
      </c>
      <c r="AD413" s="6" t="n">
        <f aca="false">(10-(LEN(AE413)))+1</f>
        <v>7</v>
      </c>
      <c r="AE413" s="6" t="n">
        <v>7176</v>
      </c>
      <c r="AF413" s="6" t="str">
        <f aca="false">IF($J413="NA","NA",IF(AND($J413&gt;1959,AE413&gt;0),"ERRO","OK"))</f>
        <v>NA</v>
      </c>
      <c r="AG413" s="6" t="n">
        <f aca="false">(10-(LEN(AH413)))+1</f>
        <v>6</v>
      </c>
      <c r="AH413" s="6" t="n">
        <v>21367</v>
      </c>
      <c r="AI413" s="6" t="str">
        <f aca="false">IF($J413="NA","NA",IF(AND($J413&gt;1949,AH413&gt;0),"ERRO","OK"))</f>
        <v>NA</v>
      </c>
      <c r="AJ413" s="6" t="n">
        <f aca="false">(10-(LEN(AK413)))+1</f>
        <v>7</v>
      </c>
      <c r="AK413" s="6" t="n">
        <v>2367</v>
      </c>
      <c r="AL413" s="6" t="str">
        <f aca="false">IF($J413="NA","NA",IF(AND($J413&gt;1939,AK413&gt;0),"ERRO","OK"))</f>
        <v>NA</v>
      </c>
      <c r="AM413" s="6" t="n">
        <f aca="false">(10-(LEN(AN413)))+1</f>
        <v>7</v>
      </c>
      <c r="AN413" s="6" t="n">
        <v>4570</v>
      </c>
      <c r="AO413" s="6" t="str">
        <f aca="false">IF($J413="NA","NA",IF(AND($J413&gt;1929,AN413&gt;0),"ERRO","OK"))</f>
        <v>NA</v>
      </c>
      <c r="AP413" s="6" t="n">
        <f aca="false">(10-(LEN(AQ413)))+1</f>
        <v>7</v>
      </c>
      <c r="AQ413" s="6" t="n">
        <v>2804</v>
      </c>
      <c r="AR413" s="6" t="str">
        <f aca="false">IF($J413="NA","NA",IF(AND($J413&gt;1919,AQ413&gt;0),"ERRO","OK"))</f>
        <v>NA</v>
      </c>
      <c r="AS413" s="6" t="n">
        <f aca="false">(10-(LEN(AT413)))+1</f>
        <v>7</v>
      </c>
      <c r="AT413" s="6" t="n">
        <v>5363</v>
      </c>
      <c r="AU413" s="6" t="str">
        <f aca="false">IF($J413="NA","NA",IF(AND($J413&gt;1909,AT413&gt;0),"ERRO","OK"))</f>
        <v>NA</v>
      </c>
      <c r="AV413" s="6" t="n">
        <f aca="false">(10-(LEN(AW413)))+1</f>
        <v>7</v>
      </c>
      <c r="AW413" s="6" t="n">
        <v>5030</v>
      </c>
      <c r="AX413" s="6" t="str">
        <f aca="false">IF($J413="NA","NA",IF(AND($J413&gt;1899,AW413&gt;0),"ERRO","OK"))</f>
        <v>NA</v>
      </c>
    </row>
    <row r="414" customFormat="false" ht="15" hidden="false" customHeight="false" outlineLevel="0" collapsed="false">
      <c r="A414" s="7" t="n">
        <v>412</v>
      </c>
      <c r="B414" s="0" t="s">
        <v>431</v>
      </c>
      <c r="C414" s="8" t="n">
        <v>45336</v>
      </c>
      <c r="D414" s="6" t="n">
        <v>0</v>
      </c>
      <c r="E414" s="0" t="s">
        <v>16</v>
      </c>
      <c r="F414" s="0" t="s">
        <v>17</v>
      </c>
      <c r="G414" s="9" t="str">
        <f aca="false">IF(OR(N414="ERRO",Q414="ERRO",T414="ERRO",W414="ERRO",Z414="ERRO",AC414="ERRO",AF414="ERRO",AI414="ERRO",AL414="ERRO",AO414="ERRO",AR414="ERRO",AU414="ERRO",AX414="ERRO"),"ERRO","OK")</f>
        <v>OK</v>
      </c>
      <c r="H414" s="9" t="n">
        <f aca="false">COUNTIF(L414:AX414,"ERRO")</f>
        <v>0</v>
      </c>
      <c r="I414" s="9" t="s">
        <v>18</v>
      </c>
      <c r="J414" s="10" t="n">
        <v>1910</v>
      </c>
      <c r="K414" s="10" t="n">
        <v>1978</v>
      </c>
      <c r="L414" s="6" t="n">
        <f aca="false">(10-(LEN(M414)))+1</f>
        <v>8</v>
      </c>
      <c r="M414" s="6" t="n">
        <v>292</v>
      </c>
      <c r="N414" s="6" t="str">
        <f aca="false">IF($J414="NA","NA",IF(AND($J414&gt;2019,M414&gt;0),"ERRO","OK"))</f>
        <v>OK</v>
      </c>
      <c r="O414" s="6" t="n">
        <f aca="false">(10-(LEN(P414)))+1</f>
        <v>7</v>
      </c>
      <c r="P414" s="6" t="n">
        <v>1406</v>
      </c>
      <c r="Q414" s="6" t="str">
        <f aca="false">IF($J414="NA","NA",IF(AND($J414&gt;2009,P414&gt;0),"ERRO","OK"))</f>
        <v>OK</v>
      </c>
      <c r="R414" s="6" t="n">
        <f aca="false">(10-(LEN(S414)))+1</f>
        <v>8</v>
      </c>
      <c r="S414" s="6" t="n">
        <v>840</v>
      </c>
      <c r="T414" s="6" t="str">
        <f aca="false">IF($J414="NA","NA",IF(AND($J414&gt;1999,S414&gt;0),"ERRO","OK"))</f>
        <v>OK</v>
      </c>
      <c r="U414" s="6" t="n">
        <f aca="false">(10-(LEN(V414)))+1</f>
        <v>7</v>
      </c>
      <c r="V414" s="6" t="n">
        <v>1196</v>
      </c>
      <c r="W414" s="6" t="str">
        <f aca="false">IF($J414="NA","NA",IF(AND($J414&gt;1989,V414&gt;0),"ERRO","OK"))</f>
        <v>OK</v>
      </c>
      <c r="X414" s="6" t="n">
        <f aca="false">(10-(LEN(Y414)))+1</f>
        <v>7</v>
      </c>
      <c r="Y414" s="6" t="n">
        <v>2836</v>
      </c>
      <c r="Z414" s="6" t="str">
        <f aca="false">IF($J414="NA","NA",IF(AND($J414&gt;1979,Y414&gt;0),"ERRO","OK"))</f>
        <v>OK</v>
      </c>
      <c r="AA414" s="6" t="n">
        <f aca="false">(10-(LEN(AB414)))+1</f>
        <v>10</v>
      </c>
      <c r="AB414" s="6" t="n">
        <v>0</v>
      </c>
      <c r="AC414" s="6" t="str">
        <f aca="false">IF($J414="NA","NA",IF(AND($J414&gt;1969,AB414&gt;0),"ERRO","OK"))</f>
        <v>OK</v>
      </c>
      <c r="AD414" s="6" t="n">
        <f aca="false">(10-(LEN(AE414)))+1</f>
        <v>9</v>
      </c>
      <c r="AE414" s="6" t="n">
        <v>90</v>
      </c>
      <c r="AF414" s="6" t="str">
        <f aca="false">IF($J414="NA","NA",IF(AND($J414&gt;1959,AE414&gt;0),"ERRO","OK"))</f>
        <v>OK</v>
      </c>
      <c r="AG414" s="6" t="n">
        <f aca="false">(10-(LEN(AH414)))+1</f>
        <v>7</v>
      </c>
      <c r="AH414" s="6" t="n">
        <v>1322</v>
      </c>
      <c r="AI414" s="6" t="str">
        <f aca="false">IF($J414="NA","NA",IF(AND($J414&gt;1949,AH414&gt;0),"ERRO","OK"))</f>
        <v>OK</v>
      </c>
      <c r="AJ414" s="6" t="n">
        <f aca="false">(10-(LEN(AK414)))+1</f>
        <v>7</v>
      </c>
      <c r="AK414" s="6" t="n">
        <v>2089</v>
      </c>
      <c r="AL414" s="6" t="str">
        <f aca="false">IF($J414="NA","NA",IF(AND($J414&gt;1939,AK414&gt;0),"ERRO","OK"))</f>
        <v>OK</v>
      </c>
      <c r="AM414" s="6" t="n">
        <f aca="false">(10-(LEN(AN414)))+1</f>
        <v>10</v>
      </c>
      <c r="AN414" s="6" t="n">
        <v>0</v>
      </c>
      <c r="AO414" s="6" t="str">
        <f aca="false">IF($J414="NA","NA",IF(AND($J414&gt;1929,AN414&gt;0),"ERRO","OK"))</f>
        <v>OK</v>
      </c>
      <c r="AP414" s="6" t="n">
        <f aca="false">(10-(LEN(AQ414)))+1</f>
        <v>10</v>
      </c>
      <c r="AQ414" s="6" t="n">
        <v>0</v>
      </c>
      <c r="AR414" s="6" t="str">
        <f aca="false">IF($J414="NA","NA",IF(AND($J414&gt;1919,AQ414&gt;0),"ERRO","OK"))</f>
        <v>OK</v>
      </c>
      <c r="AS414" s="6" t="n">
        <f aca="false">(10-(LEN(AT414)))+1</f>
        <v>10</v>
      </c>
      <c r="AT414" s="6" t="n">
        <v>0</v>
      </c>
      <c r="AU414" s="6" t="str">
        <f aca="false">IF($J414="NA","NA",IF(AND($J414&gt;1909,AT414&gt;0),"ERRO","OK"))</f>
        <v>OK</v>
      </c>
      <c r="AV414" s="6" t="n">
        <f aca="false">(10-(LEN(AW414)))+1</f>
        <v>10</v>
      </c>
      <c r="AW414" s="6" t="n">
        <v>0</v>
      </c>
      <c r="AX414" s="6" t="str">
        <f aca="false">IF($J414="NA","NA",IF(AND($J414&gt;1899,AW414&gt;0),"ERRO","OK"))</f>
        <v>OK</v>
      </c>
    </row>
    <row r="415" customFormat="false" ht="15" hidden="false" customHeight="false" outlineLevel="0" collapsed="false">
      <c r="A415" s="7" t="n">
        <v>413</v>
      </c>
      <c r="B415" s="0" t="s">
        <v>432</v>
      </c>
      <c r="C415" s="8" t="n">
        <v>45336</v>
      </c>
      <c r="D415" s="6" t="n">
        <v>0</v>
      </c>
      <c r="E415" s="0" t="s">
        <v>16</v>
      </c>
      <c r="F415" s="0" t="s">
        <v>17</v>
      </c>
      <c r="G415" s="9" t="str">
        <f aca="false">IF(OR(N415="ERRO",Q415="ERRO",T415="ERRO",W415="ERRO",Z415="ERRO",AC415="ERRO",AF415="ERRO",AI415="ERRO",AL415="ERRO",AO415="ERRO",AR415="ERRO",AU415="ERRO",AX415="ERRO"),"ERRO","OK")</f>
        <v>OK</v>
      </c>
      <c r="H415" s="9" t="n">
        <f aca="false">COUNTIF(L415:AX415,"ERRO")</f>
        <v>0</v>
      </c>
      <c r="I415" s="9" t="s">
        <v>18</v>
      </c>
      <c r="J415" s="10" t="s">
        <v>22</v>
      </c>
      <c r="K415" s="10" t="s">
        <v>22</v>
      </c>
      <c r="L415" s="6" t="n">
        <f aca="false">(10-(LEN(M415)))+1</f>
        <v>8</v>
      </c>
      <c r="M415" s="6" t="n">
        <v>208</v>
      </c>
      <c r="N415" s="6" t="str">
        <f aca="false">IF($J415="NA","NA",IF(AND($J415&gt;2019,M415&gt;0),"ERRO","OK"))</f>
        <v>NA</v>
      </c>
      <c r="O415" s="6" t="n">
        <f aca="false">(10-(LEN(P415)))+1</f>
        <v>10</v>
      </c>
      <c r="P415" s="6" t="n">
        <v>0</v>
      </c>
      <c r="Q415" s="6" t="str">
        <f aca="false">IF($J415="NA","NA",IF(AND($J415&gt;2009,P415&gt;0),"ERRO","OK"))</f>
        <v>NA</v>
      </c>
      <c r="R415" s="6" t="n">
        <f aca="false">(10-(LEN(S415)))+1</f>
        <v>10</v>
      </c>
      <c r="S415" s="6" t="n">
        <v>0</v>
      </c>
      <c r="T415" s="6" t="str">
        <f aca="false">IF($J415="NA","NA",IF(AND($J415&gt;1999,S415&gt;0),"ERRO","OK"))</f>
        <v>NA</v>
      </c>
      <c r="U415" s="6" t="n">
        <f aca="false">(10-(LEN(V415)))+1</f>
        <v>10</v>
      </c>
      <c r="V415" s="6" t="n">
        <v>0</v>
      </c>
      <c r="W415" s="6" t="str">
        <f aca="false">IF($J415="NA","NA",IF(AND($J415&gt;1989,V415&gt;0),"ERRO","OK"))</f>
        <v>NA</v>
      </c>
      <c r="X415" s="6" t="n">
        <f aca="false">(10-(LEN(Y415)))+1</f>
        <v>8</v>
      </c>
      <c r="Y415" s="6" t="n">
        <v>161</v>
      </c>
      <c r="Z415" s="6" t="str">
        <f aca="false">IF($J415="NA","NA",IF(AND($J415&gt;1979,Y415&gt;0),"ERRO","OK"))</f>
        <v>NA</v>
      </c>
      <c r="AA415" s="6" t="n">
        <f aca="false">(10-(LEN(AB415)))+1</f>
        <v>8</v>
      </c>
      <c r="AB415" s="6" t="n">
        <v>527</v>
      </c>
      <c r="AC415" s="6" t="str">
        <f aca="false">IF($J415="NA","NA",IF(AND($J415&gt;1969,AB415&gt;0),"ERRO","OK"))</f>
        <v>NA</v>
      </c>
      <c r="AD415" s="6" t="n">
        <f aca="false">(10-(LEN(AE415)))+1</f>
        <v>8</v>
      </c>
      <c r="AE415" s="6" t="n">
        <v>449</v>
      </c>
      <c r="AF415" s="6" t="str">
        <f aca="false">IF($J415="NA","NA",IF(AND($J415&gt;1959,AE415&gt;0),"ERRO","OK"))</f>
        <v>NA</v>
      </c>
      <c r="AG415" s="6" t="n">
        <f aca="false">(10-(LEN(AH415)))+1</f>
        <v>8</v>
      </c>
      <c r="AH415" s="6" t="n">
        <v>551</v>
      </c>
      <c r="AI415" s="6" t="str">
        <f aca="false">IF($J415="NA","NA",IF(AND($J415&gt;1949,AH415&gt;0),"ERRO","OK"))</f>
        <v>NA</v>
      </c>
      <c r="AJ415" s="6" t="n">
        <f aca="false">(10-(LEN(AK415)))+1</f>
        <v>8</v>
      </c>
      <c r="AK415" s="6" t="n">
        <v>139</v>
      </c>
      <c r="AL415" s="6" t="str">
        <f aca="false">IF($J415="NA","NA",IF(AND($J415&gt;1939,AK415&gt;0),"ERRO","OK"))</f>
        <v>NA</v>
      </c>
      <c r="AM415" s="6" t="n">
        <f aca="false">(10-(LEN(AN415)))+1</f>
        <v>8</v>
      </c>
      <c r="AN415" s="6" t="n">
        <v>152</v>
      </c>
      <c r="AO415" s="6" t="str">
        <f aca="false">IF($J415="NA","NA",IF(AND($J415&gt;1929,AN415&gt;0),"ERRO","OK"))</f>
        <v>NA</v>
      </c>
      <c r="AP415" s="6" t="n">
        <f aca="false">(10-(LEN(AQ415)))+1</f>
        <v>10</v>
      </c>
      <c r="AQ415" s="6" t="n">
        <v>0</v>
      </c>
      <c r="AR415" s="6" t="str">
        <f aca="false">IF($J415="NA","NA",IF(AND($J415&gt;1919,AQ415&gt;0),"ERRO","OK"))</f>
        <v>NA</v>
      </c>
      <c r="AS415" s="6" t="n">
        <f aca="false">(10-(LEN(AT415)))+1</f>
        <v>10</v>
      </c>
      <c r="AT415" s="6" t="n">
        <v>0</v>
      </c>
      <c r="AU415" s="6" t="str">
        <f aca="false">IF($J415="NA","NA",IF(AND($J415&gt;1909,AT415&gt;0),"ERRO","OK"))</f>
        <v>NA</v>
      </c>
      <c r="AV415" s="6" t="n">
        <f aca="false">(10-(LEN(AW415)))+1</f>
        <v>10</v>
      </c>
      <c r="AW415" s="6" t="n">
        <v>0</v>
      </c>
      <c r="AX415" s="6" t="str">
        <f aca="false">IF($J415="NA","NA",IF(AND($J415&gt;1899,AW415&gt;0),"ERRO","OK"))</f>
        <v>NA</v>
      </c>
    </row>
    <row r="416" customFormat="false" ht="15" hidden="false" customHeight="false" outlineLevel="0" collapsed="false">
      <c r="A416" s="7" t="n">
        <v>414</v>
      </c>
      <c r="B416" s="0" t="s">
        <v>433</v>
      </c>
      <c r="C416" s="8" t="n">
        <v>45336</v>
      </c>
      <c r="D416" s="6" t="n">
        <v>0</v>
      </c>
      <c r="E416" s="0" t="s">
        <v>16</v>
      </c>
      <c r="F416" s="0" t="s">
        <v>17</v>
      </c>
      <c r="G416" s="9" t="str">
        <f aca="false">IF(OR(N416="ERRO",Q416="ERRO",T416="ERRO",W416="ERRO",Z416="ERRO",AC416="ERRO",AF416="ERRO",AI416="ERRO",AL416="ERRO",AO416="ERRO",AR416="ERRO",AU416="ERRO",AX416="ERRO"),"ERRO","OK")</f>
        <v>ERRO</v>
      </c>
      <c r="H416" s="9" t="n">
        <f aca="false">COUNTIF(L416:AX416,"ERRO")</f>
        <v>1</v>
      </c>
      <c r="I416" s="9" t="s">
        <v>18</v>
      </c>
      <c r="J416" s="10" t="n">
        <v>1943</v>
      </c>
      <c r="K416" s="10" t="n">
        <v>2008</v>
      </c>
      <c r="L416" s="6" t="n">
        <f aca="false">(10-(LEN(M416)))+1</f>
        <v>7</v>
      </c>
      <c r="M416" s="6" t="n">
        <v>1840</v>
      </c>
      <c r="N416" s="6" t="str">
        <f aca="false">IF($J416="NA","NA",IF(AND($J416&gt;2019,M416&gt;0),"ERRO","OK"))</f>
        <v>OK</v>
      </c>
      <c r="O416" s="6" t="n">
        <f aca="false">(10-(LEN(P416)))+1</f>
        <v>7</v>
      </c>
      <c r="P416" s="6" t="n">
        <v>9115</v>
      </c>
      <c r="Q416" s="6" t="str">
        <f aca="false">IF($J416="NA","NA",IF(AND($J416&gt;2009,P416&gt;0),"ERRO","OK"))</f>
        <v>OK</v>
      </c>
      <c r="R416" s="6" t="n">
        <f aca="false">(10-(LEN(S416)))+1</f>
        <v>7</v>
      </c>
      <c r="S416" s="6" t="n">
        <v>3441</v>
      </c>
      <c r="T416" s="6" t="str">
        <f aca="false">IF($J416="NA","NA",IF(AND($J416&gt;1999,S416&gt;0),"ERRO","OK"))</f>
        <v>OK</v>
      </c>
      <c r="U416" s="6" t="n">
        <f aca="false">(10-(LEN(V416)))+1</f>
        <v>7</v>
      </c>
      <c r="V416" s="6" t="n">
        <v>3579</v>
      </c>
      <c r="W416" s="6" t="str">
        <f aca="false">IF($J416="NA","NA",IF(AND($J416&gt;1989,V416&gt;0),"ERRO","OK"))</f>
        <v>OK</v>
      </c>
      <c r="X416" s="6" t="n">
        <f aca="false">(10-(LEN(Y416)))+1</f>
        <v>7</v>
      </c>
      <c r="Y416" s="6" t="n">
        <v>2756</v>
      </c>
      <c r="Z416" s="6" t="str">
        <f aca="false">IF($J416="NA","NA",IF(AND($J416&gt;1979,Y416&gt;0),"ERRO","OK"))</f>
        <v>OK</v>
      </c>
      <c r="AA416" s="6" t="n">
        <f aca="false">(10-(LEN(AB416)))+1</f>
        <v>7</v>
      </c>
      <c r="AB416" s="6" t="n">
        <v>1416</v>
      </c>
      <c r="AC416" s="6" t="str">
        <f aca="false">IF($J416="NA","NA",IF(AND($J416&gt;1969,AB416&gt;0),"ERRO","OK"))</f>
        <v>OK</v>
      </c>
      <c r="AD416" s="6" t="n">
        <f aca="false">(10-(LEN(AE416)))+1</f>
        <v>9</v>
      </c>
      <c r="AE416" s="6" t="n">
        <v>94</v>
      </c>
      <c r="AF416" s="6" t="str">
        <f aca="false">IF($J416="NA","NA",IF(AND($J416&gt;1959,AE416&gt;0),"ERRO","OK"))</f>
        <v>OK</v>
      </c>
      <c r="AG416" s="6" t="n">
        <f aca="false">(10-(LEN(AH416)))+1</f>
        <v>8</v>
      </c>
      <c r="AH416" s="6" t="n">
        <v>811</v>
      </c>
      <c r="AI416" s="6" t="str">
        <f aca="false">IF($J416="NA","NA",IF(AND($J416&gt;1949,AH416&gt;0),"ERRO","OK"))</f>
        <v>OK</v>
      </c>
      <c r="AJ416" s="6" t="n">
        <f aca="false">(10-(LEN(AK416)))+1</f>
        <v>7</v>
      </c>
      <c r="AK416" s="6" t="n">
        <v>2345</v>
      </c>
      <c r="AL416" s="6" t="str">
        <f aca="false">IF($J416="NA","NA",IF(AND($J416&gt;1939,AK416&gt;0),"ERRO","OK"))</f>
        <v>ERRO</v>
      </c>
      <c r="AM416" s="6" t="n">
        <f aca="false">(10-(LEN(AN416)))+1</f>
        <v>10</v>
      </c>
      <c r="AN416" s="6" t="n">
        <v>0</v>
      </c>
      <c r="AO416" s="6" t="str">
        <f aca="false">IF($J416="NA","NA",IF(AND($J416&gt;1929,AN416&gt;0),"ERRO","OK"))</f>
        <v>OK</v>
      </c>
      <c r="AP416" s="6" t="n">
        <f aca="false">(10-(LEN(AQ416)))+1</f>
        <v>10</v>
      </c>
      <c r="AQ416" s="6" t="n">
        <v>0</v>
      </c>
      <c r="AR416" s="6" t="str">
        <f aca="false">IF($J416="NA","NA",IF(AND($J416&gt;1919,AQ416&gt;0),"ERRO","OK"))</f>
        <v>OK</v>
      </c>
      <c r="AS416" s="6" t="n">
        <f aca="false">(10-(LEN(AT416)))+1</f>
        <v>10</v>
      </c>
      <c r="AT416" s="6" t="n">
        <v>0</v>
      </c>
      <c r="AU416" s="6" t="str">
        <f aca="false">IF($J416="NA","NA",IF(AND($J416&gt;1909,AT416&gt;0),"ERRO","OK"))</f>
        <v>OK</v>
      </c>
      <c r="AV416" s="6" t="n">
        <f aca="false">(10-(LEN(AW416)))+1</f>
        <v>10</v>
      </c>
      <c r="AW416" s="6" t="n">
        <v>0</v>
      </c>
      <c r="AX416" s="6" t="str">
        <f aca="false">IF($J416="NA","NA",IF(AND($J416&gt;1899,AW416&gt;0),"ERRO","OK"))</f>
        <v>OK</v>
      </c>
    </row>
    <row r="417" customFormat="false" ht="15" hidden="false" customHeight="false" outlineLevel="0" collapsed="false">
      <c r="A417" s="7" t="n">
        <v>415</v>
      </c>
      <c r="B417" s="0" t="s">
        <v>434</v>
      </c>
      <c r="C417" s="8" t="n">
        <v>45336</v>
      </c>
      <c r="D417" s="6" t="n">
        <v>0</v>
      </c>
      <c r="E417" s="0" t="s">
        <v>16</v>
      </c>
      <c r="F417" s="0" t="s">
        <v>17</v>
      </c>
      <c r="G417" s="9" t="str">
        <f aca="false">IF(OR(N417="ERRO",Q417="ERRO",T417="ERRO",W417="ERRO",Z417="ERRO",AC417="ERRO",AF417="ERRO",AI417="ERRO",AL417="ERRO",AO417="ERRO",AR417="ERRO",AU417="ERRO",AX417="ERRO"),"ERRO","OK")</f>
        <v>OK</v>
      </c>
      <c r="H417" s="9" t="n">
        <f aca="false">COUNTIF(L417:AX417,"ERRO")</f>
        <v>0</v>
      </c>
      <c r="I417" s="9" t="s">
        <v>18</v>
      </c>
      <c r="J417" s="10" t="n">
        <v>1899</v>
      </c>
      <c r="K417" s="10" t="n">
        <v>1974</v>
      </c>
      <c r="L417" s="6" t="n">
        <f aca="false">(10-(LEN(M417)))+1</f>
        <v>5</v>
      </c>
      <c r="M417" s="6" t="n">
        <v>152543</v>
      </c>
      <c r="N417" s="6" t="str">
        <f aca="false">IF($J417="NA","NA",IF(AND($J417&gt;2019,M417&gt;0),"ERRO","OK"))</f>
        <v>OK</v>
      </c>
      <c r="O417" s="6" t="n">
        <f aca="false">(10-(LEN(P417)))+1</f>
        <v>5</v>
      </c>
      <c r="P417" s="6" t="n">
        <v>339609</v>
      </c>
      <c r="Q417" s="6" t="str">
        <f aca="false">IF($J417="NA","NA",IF(AND($J417&gt;2009,P417&gt;0),"ERRO","OK"))</f>
        <v>OK</v>
      </c>
      <c r="R417" s="6" t="n">
        <f aca="false">(10-(LEN(S417)))+1</f>
        <v>4</v>
      </c>
      <c r="S417" s="6" t="n">
        <v>1365512</v>
      </c>
      <c r="T417" s="6" t="str">
        <f aca="false">IF($J417="NA","NA",IF(AND($J417&gt;1999,S417&gt;0),"ERRO","OK"))</f>
        <v>OK</v>
      </c>
      <c r="U417" s="6" t="n">
        <f aca="false">(10-(LEN(V417)))+1</f>
        <v>5</v>
      </c>
      <c r="V417" s="6" t="n">
        <v>293107</v>
      </c>
      <c r="W417" s="6" t="str">
        <f aca="false">IF($J417="NA","NA",IF(AND($J417&gt;1989,V417&gt;0),"ERRO","OK"))</f>
        <v>OK</v>
      </c>
      <c r="X417" s="6" t="n">
        <f aca="false">(10-(LEN(Y417)))+1</f>
        <v>5</v>
      </c>
      <c r="Y417" s="6" t="n">
        <v>194881</v>
      </c>
      <c r="Z417" s="6" t="str">
        <f aca="false">IF($J417="NA","NA",IF(AND($J417&gt;1979,Y417&gt;0),"ERRO","OK"))</f>
        <v>OK</v>
      </c>
      <c r="AA417" s="6" t="n">
        <f aca="false">(10-(LEN(AB417)))+1</f>
        <v>5</v>
      </c>
      <c r="AB417" s="6" t="n">
        <v>125106</v>
      </c>
      <c r="AC417" s="6" t="str">
        <f aca="false">IF($J417="NA","NA",IF(AND($J417&gt;1969,AB417&gt;0),"ERRO","OK"))</f>
        <v>OK</v>
      </c>
      <c r="AD417" s="6" t="n">
        <f aca="false">(10-(LEN(AE417)))+1</f>
        <v>5</v>
      </c>
      <c r="AE417" s="6" t="n">
        <v>110157</v>
      </c>
      <c r="AF417" s="6" t="str">
        <f aca="false">IF($J417="NA","NA",IF(AND($J417&gt;1959,AE417&gt;0),"ERRO","OK"))</f>
        <v>OK</v>
      </c>
      <c r="AG417" s="6" t="n">
        <f aca="false">(10-(LEN(AH417)))+1</f>
        <v>6</v>
      </c>
      <c r="AH417" s="6" t="n">
        <v>62448</v>
      </c>
      <c r="AI417" s="6" t="str">
        <f aca="false">IF($J417="NA","NA",IF(AND($J417&gt;1949,AH417&gt;0),"ERRO","OK"))</f>
        <v>OK</v>
      </c>
      <c r="AJ417" s="6" t="n">
        <f aca="false">(10-(LEN(AK417)))+1</f>
        <v>6</v>
      </c>
      <c r="AK417" s="6" t="n">
        <v>54032</v>
      </c>
      <c r="AL417" s="6" t="str">
        <f aca="false">IF($J417="NA","NA",IF(AND($J417&gt;1939,AK417&gt;0),"ERRO","OK"))</f>
        <v>OK</v>
      </c>
      <c r="AM417" s="6" t="n">
        <f aca="false">(10-(LEN(AN417)))+1</f>
        <v>7</v>
      </c>
      <c r="AN417" s="6" t="n">
        <v>3199</v>
      </c>
      <c r="AO417" s="6" t="str">
        <f aca="false">IF($J417="NA","NA",IF(AND($J417&gt;1929,AN417&gt;0),"ERRO","OK"))</f>
        <v>OK</v>
      </c>
      <c r="AP417" s="6" t="n">
        <f aca="false">(10-(LEN(AQ417)))+1</f>
        <v>8</v>
      </c>
      <c r="AQ417" s="6" t="n">
        <v>200</v>
      </c>
      <c r="AR417" s="6" t="str">
        <f aca="false">IF($J417="NA","NA",IF(AND($J417&gt;1919,AQ417&gt;0),"ERRO","OK"))</f>
        <v>OK</v>
      </c>
      <c r="AS417" s="6" t="n">
        <f aca="false">(10-(LEN(AT417)))+1</f>
        <v>10</v>
      </c>
      <c r="AT417" s="6" t="n">
        <v>0</v>
      </c>
      <c r="AU417" s="6" t="str">
        <f aca="false">IF($J417="NA","NA",IF(AND($J417&gt;1909,AT417&gt;0),"ERRO","OK"))</f>
        <v>OK</v>
      </c>
      <c r="AV417" s="6" t="n">
        <f aca="false">(10-(LEN(AW417)))+1</f>
        <v>8</v>
      </c>
      <c r="AW417" s="6" t="n">
        <v>129</v>
      </c>
      <c r="AX417" s="6" t="str">
        <f aca="false">IF($J417="NA","NA",IF(AND($J417&gt;1899,AW417&gt;0),"ERRO","OK"))</f>
        <v>OK</v>
      </c>
    </row>
    <row r="418" customFormat="false" ht="15" hidden="false" customHeight="false" outlineLevel="0" collapsed="false">
      <c r="A418" s="7" t="n">
        <v>416</v>
      </c>
      <c r="B418" s="0" t="s">
        <v>435</v>
      </c>
      <c r="C418" s="8" t="n">
        <v>45336</v>
      </c>
      <c r="D418" s="6" t="n">
        <v>0</v>
      </c>
      <c r="E418" s="0" t="s">
        <v>16</v>
      </c>
      <c r="F418" s="0" t="s">
        <v>17</v>
      </c>
      <c r="G418" s="9" t="str">
        <f aca="false">IF(OR(N418="ERRO",Q418="ERRO",T418="ERRO",W418="ERRO",Z418="ERRO",AC418="ERRO",AF418="ERRO",AI418="ERRO",AL418="ERRO",AO418="ERRO",AR418="ERRO",AU418="ERRO",AX418="ERRO"),"ERRO","OK")</f>
        <v>OK</v>
      </c>
      <c r="H418" s="9" t="n">
        <f aca="false">COUNTIF(L418:AX418,"ERRO")</f>
        <v>0</v>
      </c>
      <c r="I418" s="9" t="s">
        <v>18</v>
      </c>
      <c r="J418" s="10" t="n">
        <v>1885</v>
      </c>
      <c r="K418" s="10" t="n">
        <v>1979</v>
      </c>
      <c r="L418" s="6" t="n">
        <f aca="false">(10-(LEN(M418)))+1</f>
        <v>6</v>
      </c>
      <c r="M418" s="6" t="n">
        <v>13160</v>
      </c>
      <c r="N418" s="6" t="str">
        <f aca="false">IF($J418="NA","NA",IF(AND($J418&gt;2019,M418&gt;0),"ERRO","OK"))</f>
        <v>OK</v>
      </c>
      <c r="O418" s="6" t="n">
        <f aca="false">(10-(LEN(P418)))+1</f>
        <v>6</v>
      </c>
      <c r="P418" s="6" t="n">
        <v>10257</v>
      </c>
      <c r="Q418" s="6" t="str">
        <f aca="false">IF($J418="NA","NA",IF(AND($J418&gt;2009,P418&gt;0),"ERRO","OK"))</f>
        <v>OK</v>
      </c>
      <c r="R418" s="6" t="n">
        <f aca="false">(10-(LEN(S418)))+1</f>
        <v>6</v>
      </c>
      <c r="S418" s="6" t="n">
        <v>20672</v>
      </c>
      <c r="T418" s="6" t="str">
        <f aca="false">IF($J418="NA","NA",IF(AND($J418&gt;1999,S418&gt;0),"ERRO","OK"))</f>
        <v>OK</v>
      </c>
      <c r="U418" s="6" t="n">
        <f aca="false">(10-(LEN(V418)))+1</f>
        <v>6</v>
      </c>
      <c r="V418" s="6" t="n">
        <v>17615</v>
      </c>
      <c r="W418" s="6" t="str">
        <f aca="false">IF($J418="NA","NA",IF(AND($J418&gt;1989,V418&gt;0),"ERRO","OK"))</f>
        <v>OK</v>
      </c>
      <c r="X418" s="6" t="n">
        <f aca="false">(10-(LEN(Y418)))+1</f>
        <v>6</v>
      </c>
      <c r="Y418" s="6" t="n">
        <v>31999</v>
      </c>
      <c r="Z418" s="6" t="str">
        <f aca="false">IF($J418="NA","NA",IF(AND($J418&gt;1979,Y418&gt;0),"ERRO","OK"))</f>
        <v>OK</v>
      </c>
      <c r="AA418" s="6" t="n">
        <f aca="false">(10-(LEN(AB418)))+1</f>
        <v>7</v>
      </c>
      <c r="AB418" s="6" t="n">
        <v>8614</v>
      </c>
      <c r="AC418" s="6" t="str">
        <f aca="false">IF($J418="NA","NA",IF(AND($J418&gt;1969,AB418&gt;0),"ERRO","OK"))</f>
        <v>OK</v>
      </c>
      <c r="AD418" s="6" t="n">
        <f aca="false">(10-(LEN(AE418)))+1</f>
        <v>7</v>
      </c>
      <c r="AE418" s="6" t="n">
        <v>1884</v>
      </c>
      <c r="AF418" s="6" t="str">
        <f aca="false">IF($J418="NA","NA",IF(AND($J418&gt;1959,AE418&gt;0),"ERRO","OK"))</f>
        <v>OK</v>
      </c>
      <c r="AG418" s="6" t="n">
        <f aca="false">(10-(LEN(AH418)))+1</f>
        <v>8</v>
      </c>
      <c r="AH418" s="6" t="n">
        <v>551</v>
      </c>
      <c r="AI418" s="6" t="str">
        <f aca="false">IF($J418="NA","NA",IF(AND($J418&gt;1949,AH418&gt;0),"ERRO","OK"))</f>
        <v>OK</v>
      </c>
      <c r="AJ418" s="6" t="n">
        <f aca="false">(10-(LEN(AK418)))+1</f>
        <v>7</v>
      </c>
      <c r="AK418" s="6" t="n">
        <v>4874</v>
      </c>
      <c r="AL418" s="6" t="str">
        <f aca="false">IF($J418="NA","NA",IF(AND($J418&gt;1939,AK418&gt;0),"ERRO","OK"))</f>
        <v>OK</v>
      </c>
      <c r="AM418" s="6" t="n">
        <f aca="false">(10-(LEN(AN418)))+1</f>
        <v>8</v>
      </c>
      <c r="AN418" s="6" t="n">
        <v>305</v>
      </c>
      <c r="AO418" s="6" t="str">
        <f aca="false">IF($J418="NA","NA",IF(AND($J418&gt;1929,AN418&gt;0),"ERRO","OK"))</f>
        <v>OK</v>
      </c>
      <c r="AP418" s="6" t="n">
        <f aca="false">(10-(LEN(AQ418)))+1</f>
        <v>8</v>
      </c>
      <c r="AQ418" s="6" t="n">
        <v>200</v>
      </c>
      <c r="AR418" s="6" t="str">
        <f aca="false">IF($J418="NA","NA",IF(AND($J418&gt;1919,AQ418&gt;0),"ERRO","OK"))</f>
        <v>OK</v>
      </c>
      <c r="AS418" s="6" t="n">
        <f aca="false">(10-(LEN(AT418)))+1</f>
        <v>10</v>
      </c>
      <c r="AT418" s="6" t="n">
        <v>0</v>
      </c>
      <c r="AU418" s="6" t="str">
        <f aca="false">IF($J418="NA","NA",IF(AND($J418&gt;1909,AT418&gt;0),"ERRO","OK"))</f>
        <v>OK</v>
      </c>
      <c r="AV418" s="6" t="n">
        <f aca="false">(10-(LEN(AW418)))+1</f>
        <v>10</v>
      </c>
      <c r="AW418" s="6" t="n">
        <v>0</v>
      </c>
      <c r="AX418" s="6" t="str">
        <f aca="false">IF($J418="NA","NA",IF(AND($J418&gt;1899,AW418&gt;0),"ERRO","OK"))</f>
        <v>OK</v>
      </c>
    </row>
    <row r="419" customFormat="false" ht="15" hidden="false" customHeight="false" outlineLevel="0" collapsed="false">
      <c r="A419" s="7" t="n">
        <v>417</v>
      </c>
      <c r="B419" s="0" t="s">
        <v>436</v>
      </c>
      <c r="C419" s="8" t="n">
        <v>45338</v>
      </c>
      <c r="D419" s="6" t="n">
        <v>0</v>
      </c>
      <c r="E419" s="0" t="s">
        <v>16</v>
      </c>
      <c r="F419" s="0" t="s">
        <v>17</v>
      </c>
      <c r="G419" s="9" t="str">
        <f aca="false">IF(OR(N419="ERRO",Q419="ERRO",T419="ERRO",W419="ERRO",Z419="ERRO",AC419="ERRO",AF419="ERRO",AI419="ERRO",AL419="ERRO",AO419="ERRO",AR419="ERRO",AU419="ERRO",AX419="ERRO"),"ERRO","OK")</f>
        <v>OK</v>
      </c>
      <c r="H419" s="9" t="n">
        <f aca="false">COUNTIF(L419:AX419,"ERRO")</f>
        <v>0</v>
      </c>
      <c r="I419" s="9" t="s">
        <v>18</v>
      </c>
      <c r="J419" s="10" t="n">
        <v>1899</v>
      </c>
      <c r="K419" s="10" t="n">
        <v>1968</v>
      </c>
      <c r="L419" s="6" t="n">
        <f aca="false">(10-(LEN(M419)))+1</f>
        <v>6</v>
      </c>
      <c r="M419" s="6" t="n">
        <v>15575</v>
      </c>
      <c r="N419" s="6" t="str">
        <f aca="false">IF($J419="NA","NA",IF(AND($J419&gt;2019,M419&gt;0),"ERRO","OK"))</f>
        <v>OK</v>
      </c>
      <c r="O419" s="6" t="n">
        <f aca="false">(10-(LEN(P419)))+1</f>
        <v>6</v>
      </c>
      <c r="P419" s="6" t="n">
        <v>18799</v>
      </c>
      <c r="Q419" s="6" t="str">
        <f aca="false">IF($J419="NA","NA",IF(AND($J419&gt;2009,P419&gt;0),"ERRO","OK"))</f>
        <v>OK</v>
      </c>
      <c r="R419" s="6" t="n">
        <f aca="false">(10-(LEN(S419)))+1</f>
        <v>6</v>
      </c>
      <c r="S419" s="6" t="n">
        <v>16496</v>
      </c>
      <c r="T419" s="6" t="str">
        <f aca="false">IF($J419="NA","NA",IF(AND($J419&gt;1999,S419&gt;0),"ERRO","OK"))</f>
        <v>OK</v>
      </c>
      <c r="U419" s="6" t="n">
        <f aca="false">(10-(LEN(V419)))+1</f>
        <v>6</v>
      </c>
      <c r="V419" s="6" t="n">
        <v>24560</v>
      </c>
      <c r="W419" s="6" t="str">
        <f aca="false">IF($J419="NA","NA",IF(AND($J419&gt;1989,V419&gt;0),"ERRO","OK"))</f>
        <v>OK</v>
      </c>
      <c r="X419" s="6" t="n">
        <f aca="false">(10-(LEN(Y419)))+1</f>
        <v>7</v>
      </c>
      <c r="Y419" s="6" t="n">
        <v>3104</v>
      </c>
      <c r="Z419" s="6" t="str">
        <f aca="false">IF($J419="NA","NA",IF(AND($J419&gt;1979,Y419&gt;0),"ERRO","OK"))</f>
        <v>OK</v>
      </c>
      <c r="AA419" s="6" t="n">
        <f aca="false">(10-(LEN(AB419)))+1</f>
        <v>7</v>
      </c>
      <c r="AB419" s="6" t="n">
        <v>5508</v>
      </c>
      <c r="AC419" s="6" t="str">
        <f aca="false">IF($J419="NA","NA",IF(AND($J419&gt;1969,AB419&gt;0),"ERRO","OK"))</f>
        <v>OK</v>
      </c>
      <c r="AD419" s="6" t="n">
        <f aca="false">(10-(LEN(AE419)))+1</f>
        <v>7</v>
      </c>
      <c r="AE419" s="6" t="n">
        <v>2691</v>
      </c>
      <c r="AF419" s="6" t="str">
        <f aca="false">IF($J419="NA","NA",IF(AND($J419&gt;1959,AE419&gt;0),"ERRO","OK"))</f>
        <v>OK</v>
      </c>
      <c r="AG419" s="6" t="n">
        <f aca="false">(10-(LEN(AH419)))+1</f>
        <v>8</v>
      </c>
      <c r="AH419" s="6" t="n">
        <v>661</v>
      </c>
      <c r="AI419" s="6" t="str">
        <f aca="false">IF($J419="NA","NA",IF(AND($J419&gt;1949,AH419&gt;0),"ERRO","OK"))</f>
        <v>OK</v>
      </c>
      <c r="AJ419" s="6" t="n">
        <f aca="false">(10-(LEN(AK419)))+1</f>
        <v>7</v>
      </c>
      <c r="AK419" s="6" t="n">
        <v>1810</v>
      </c>
      <c r="AL419" s="6" t="str">
        <f aca="false">IF($J419="NA","NA",IF(AND($J419&gt;1939,AK419&gt;0),"ERRO","OK"))</f>
        <v>OK</v>
      </c>
      <c r="AM419" s="6" t="n">
        <f aca="false">(10-(LEN(AN419)))+1</f>
        <v>10</v>
      </c>
      <c r="AN419" s="6" t="n">
        <v>0</v>
      </c>
      <c r="AO419" s="6" t="str">
        <f aca="false">IF($J419="NA","NA",IF(AND($J419&gt;1929,AN419&gt;0),"ERRO","OK"))</f>
        <v>OK</v>
      </c>
      <c r="AP419" s="6" t="n">
        <f aca="false">(10-(LEN(AQ419)))+1</f>
        <v>8</v>
      </c>
      <c r="AQ419" s="6" t="n">
        <v>100</v>
      </c>
      <c r="AR419" s="6" t="str">
        <f aca="false">IF($J419="NA","NA",IF(AND($J419&gt;1919,AQ419&gt;0),"ERRO","OK"))</f>
        <v>OK</v>
      </c>
      <c r="AS419" s="6" t="n">
        <f aca="false">(10-(LEN(AT419)))+1</f>
        <v>10</v>
      </c>
      <c r="AT419" s="6" t="n">
        <v>0</v>
      </c>
      <c r="AU419" s="6" t="str">
        <f aca="false">IF($J419="NA","NA",IF(AND($J419&gt;1909,AT419&gt;0),"ERRO","OK"))</f>
        <v>OK</v>
      </c>
      <c r="AV419" s="6" t="n">
        <f aca="false">(10-(LEN(AW419)))+1</f>
        <v>10</v>
      </c>
      <c r="AW419" s="6" t="n">
        <v>0</v>
      </c>
      <c r="AX419" s="6" t="str">
        <f aca="false">IF($J419="NA","NA",IF(AND($J419&gt;1899,AW419&gt;0),"ERRO","OK"))</f>
        <v>OK</v>
      </c>
    </row>
    <row r="420" customFormat="false" ht="15" hidden="false" customHeight="false" outlineLevel="0" collapsed="false">
      <c r="A420" s="7" t="n">
        <v>418</v>
      </c>
      <c r="B420" s="0" t="s">
        <v>437</v>
      </c>
      <c r="C420" s="8" t="n">
        <v>45338</v>
      </c>
      <c r="D420" s="6" t="n">
        <v>0</v>
      </c>
      <c r="E420" s="0" t="s">
        <v>16</v>
      </c>
      <c r="F420" s="0" t="s">
        <v>17</v>
      </c>
      <c r="G420" s="9" t="str">
        <f aca="false">IF(OR(N420="ERRO",Q420="ERRO",T420="ERRO",W420="ERRO",Z420="ERRO",AC420="ERRO",AF420="ERRO",AI420="ERRO",AL420="ERRO",AO420="ERRO",AR420="ERRO",AU420="ERRO",AX420="ERRO"),"ERRO","OK")</f>
        <v>OK</v>
      </c>
      <c r="H420" s="9" t="n">
        <f aca="false">COUNTIF(L420:AX420,"ERRO")</f>
        <v>0</v>
      </c>
      <c r="I420" s="9" t="s">
        <v>18</v>
      </c>
      <c r="J420" s="10" t="s">
        <v>22</v>
      </c>
      <c r="K420" s="10" t="s">
        <v>22</v>
      </c>
      <c r="L420" s="6" t="n">
        <f aca="false">(10-(LEN(M420)))+1</f>
        <v>8</v>
      </c>
      <c r="M420" s="6" t="n">
        <v>167</v>
      </c>
      <c r="N420" s="6" t="str">
        <f aca="false">IF($J420="NA","NA",IF(AND($J420&gt;2019,M420&gt;0),"ERRO","OK"))</f>
        <v>NA</v>
      </c>
      <c r="O420" s="6" t="n">
        <f aca="false">(10-(LEN(P420)))+1</f>
        <v>10</v>
      </c>
      <c r="P420" s="6" t="n">
        <v>0</v>
      </c>
      <c r="Q420" s="6" t="str">
        <f aca="false">IF($J420="NA","NA",IF(AND($J420&gt;2009,P420&gt;0),"ERRO","OK"))</f>
        <v>NA</v>
      </c>
      <c r="R420" s="6" t="n">
        <f aca="false">(10-(LEN(S420)))+1</f>
        <v>8</v>
      </c>
      <c r="S420" s="6" t="n">
        <v>126</v>
      </c>
      <c r="T420" s="6" t="str">
        <f aca="false">IF($J420="NA","NA",IF(AND($J420&gt;1999,S420&gt;0),"ERRO","OK"))</f>
        <v>NA</v>
      </c>
      <c r="U420" s="6" t="n">
        <f aca="false">(10-(LEN(V420)))+1</f>
        <v>8</v>
      </c>
      <c r="V420" s="6" t="n">
        <v>230</v>
      </c>
      <c r="W420" s="6" t="str">
        <f aca="false">IF($J420="NA","NA",IF(AND($J420&gt;1989,V420&gt;0),"ERRO","OK"))</f>
        <v>NA</v>
      </c>
      <c r="X420" s="6" t="n">
        <f aca="false">(10-(LEN(Y420)))+1</f>
        <v>9</v>
      </c>
      <c r="Y420" s="6" t="n">
        <v>54</v>
      </c>
      <c r="Z420" s="6" t="str">
        <f aca="false">IF($J420="NA","NA",IF(AND($J420&gt;1979,Y420&gt;0),"ERRO","OK"))</f>
        <v>NA</v>
      </c>
      <c r="AA420" s="6" t="n">
        <f aca="false">(10-(LEN(AB420)))+1</f>
        <v>9</v>
      </c>
      <c r="AB420" s="6" t="n">
        <v>59</v>
      </c>
      <c r="AC420" s="6" t="str">
        <f aca="false">IF($J420="NA","NA",IF(AND($J420&gt;1969,AB420&gt;0),"ERRO","OK"))</f>
        <v>NA</v>
      </c>
      <c r="AD420" s="6" t="n">
        <f aca="false">(10-(LEN(AE420)))+1</f>
        <v>9</v>
      </c>
      <c r="AE420" s="6" t="n">
        <v>90</v>
      </c>
      <c r="AF420" s="6" t="str">
        <f aca="false">IF($J420="NA","NA",IF(AND($J420&gt;1959,AE420&gt;0),"ERRO","OK"))</f>
        <v>NA</v>
      </c>
      <c r="AG420" s="6" t="n">
        <f aca="false">(10-(LEN(AH420)))+1</f>
        <v>10</v>
      </c>
      <c r="AH420" s="6" t="n">
        <v>0</v>
      </c>
      <c r="AI420" s="6" t="str">
        <f aca="false">IF($J420="NA","NA",IF(AND($J420&gt;1949,AH420&gt;0),"ERRO","OK"))</f>
        <v>NA</v>
      </c>
      <c r="AJ420" s="6" t="n">
        <f aca="false">(10-(LEN(AK420)))+1</f>
        <v>10</v>
      </c>
      <c r="AK420" s="6" t="n">
        <v>0</v>
      </c>
      <c r="AL420" s="6" t="str">
        <f aca="false">IF($J420="NA","NA",IF(AND($J420&gt;1939,AK420&gt;0),"ERRO","OK"))</f>
        <v>NA</v>
      </c>
      <c r="AM420" s="6" t="n">
        <f aca="false">(10-(LEN(AN420)))+1</f>
        <v>10</v>
      </c>
      <c r="AN420" s="6" t="n">
        <v>0</v>
      </c>
      <c r="AO420" s="6" t="str">
        <f aca="false">IF($J420="NA","NA",IF(AND($J420&gt;1929,AN420&gt;0),"ERRO","OK"))</f>
        <v>NA</v>
      </c>
      <c r="AP420" s="6" t="n">
        <f aca="false">(10-(LEN(AQ420)))+1</f>
        <v>10</v>
      </c>
      <c r="AQ420" s="6" t="n">
        <v>0</v>
      </c>
      <c r="AR420" s="6" t="str">
        <f aca="false">IF($J420="NA","NA",IF(AND($J420&gt;1919,AQ420&gt;0),"ERRO","OK"))</f>
        <v>NA</v>
      </c>
      <c r="AS420" s="6" t="n">
        <f aca="false">(10-(LEN(AT420)))+1</f>
        <v>10</v>
      </c>
      <c r="AT420" s="6" t="n">
        <v>0</v>
      </c>
      <c r="AU420" s="6" t="str">
        <f aca="false">IF($J420="NA","NA",IF(AND($J420&gt;1909,AT420&gt;0),"ERRO","OK"))</f>
        <v>NA</v>
      </c>
      <c r="AV420" s="6" t="n">
        <f aca="false">(10-(LEN(AW420)))+1</f>
        <v>10</v>
      </c>
      <c r="AW420" s="6" t="n">
        <v>0</v>
      </c>
      <c r="AX420" s="6" t="str">
        <f aca="false">IF($J420="NA","NA",IF(AND($J420&gt;1899,AW420&gt;0),"ERRO","OK"))</f>
        <v>NA</v>
      </c>
    </row>
    <row r="421" customFormat="false" ht="15" hidden="false" customHeight="false" outlineLevel="0" collapsed="false">
      <c r="A421" s="7" t="n">
        <v>419</v>
      </c>
      <c r="B421" s="0" t="s">
        <v>438</v>
      </c>
      <c r="C421" s="8" t="n">
        <v>45338</v>
      </c>
      <c r="D421" s="6" t="n">
        <v>0</v>
      </c>
      <c r="E421" s="0" t="s">
        <v>16</v>
      </c>
      <c r="F421" s="0" t="s">
        <v>17</v>
      </c>
      <c r="G421" s="9" t="str">
        <f aca="false">IF(OR(N421="ERRO",Q421="ERRO",T421="ERRO",W421="ERRO",Z421="ERRO",AC421="ERRO",AF421="ERRO",AI421="ERRO",AL421="ERRO",AO421="ERRO",AR421="ERRO",AU421="ERRO",AX421="ERRO"),"ERRO","OK")</f>
        <v>OK</v>
      </c>
      <c r="H421" s="9" t="n">
        <f aca="false">COUNTIF(L421:AX421,"ERRO")</f>
        <v>0</v>
      </c>
      <c r="I421" s="9" t="s">
        <v>18</v>
      </c>
      <c r="J421" s="10" t="n">
        <v>1911</v>
      </c>
      <c r="K421" s="10" t="n">
        <v>2001</v>
      </c>
      <c r="L421" s="6" t="n">
        <f aca="false">(10-(LEN(M421)))+1</f>
        <v>7</v>
      </c>
      <c r="M421" s="6" t="n">
        <v>2790</v>
      </c>
      <c r="N421" s="6" t="str">
        <f aca="false">IF($J421="NA","NA",IF(AND($J421&gt;2019,M421&gt;0),"ERRO","OK"))</f>
        <v>OK</v>
      </c>
      <c r="O421" s="6" t="n">
        <f aca="false">(10-(LEN(P421)))+1</f>
        <v>7</v>
      </c>
      <c r="P421" s="6" t="n">
        <v>2607</v>
      </c>
      <c r="Q421" s="6" t="str">
        <f aca="false">IF($J421="NA","NA",IF(AND($J421&gt;2009,P421&gt;0),"ERRO","OK"))</f>
        <v>OK</v>
      </c>
      <c r="R421" s="6" t="n">
        <f aca="false">(10-(LEN(S421)))+1</f>
        <v>8</v>
      </c>
      <c r="S421" s="6" t="n">
        <v>504</v>
      </c>
      <c r="T421" s="6" t="str">
        <f aca="false">IF($J421="NA","NA",IF(AND($J421&gt;1999,S421&gt;0),"ERRO","OK"))</f>
        <v>OK</v>
      </c>
      <c r="U421" s="6" t="n">
        <f aca="false">(10-(LEN(V421)))+1</f>
        <v>8</v>
      </c>
      <c r="V421" s="6" t="n">
        <v>828</v>
      </c>
      <c r="W421" s="6" t="str">
        <f aca="false">IF($J421="NA","NA",IF(AND($J421&gt;1989,V421&gt;0),"ERRO","OK"))</f>
        <v>OK</v>
      </c>
      <c r="X421" s="6" t="n">
        <f aca="false">(10-(LEN(Y421)))+1</f>
        <v>7</v>
      </c>
      <c r="Y421" s="6" t="n">
        <v>2408</v>
      </c>
      <c r="Z421" s="6" t="str">
        <f aca="false">IF($J421="NA","NA",IF(AND($J421&gt;1979,Y421&gt;0),"ERRO","OK"))</f>
        <v>OK</v>
      </c>
      <c r="AA421" s="6" t="n">
        <f aca="false">(10-(LEN(AB421)))+1</f>
        <v>10</v>
      </c>
      <c r="AB421" s="6" t="n">
        <v>0</v>
      </c>
      <c r="AC421" s="6" t="str">
        <f aca="false">IF($J421="NA","NA",IF(AND($J421&gt;1969,AB421&gt;0),"ERRO","OK"))</f>
        <v>OK</v>
      </c>
      <c r="AD421" s="6" t="n">
        <f aca="false">(10-(LEN(AE421)))+1</f>
        <v>10</v>
      </c>
      <c r="AE421" s="6" t="n">
        <v>0</v>
      </c>
      <c r="AF421" s="6" t="str">
        <f aca="false">IF($J421="NA","NA",IF(AND($J421&gt;1959,AE421&gt;0),"ERRO","OK"))</f>
        <v>OK</v>
      </c>
      <c r="AG421" s="6" t="n">
        <f aca="false">(10-(LEN(AH421)))+1</f>
        <v>10</v>
      </c>
      <c r="AH421" s="6" t="n">
        <v>0</v>
      </c>
      <c r="AI421" s="6" t="str">
        <f aca="false">IF($J421="NA","NA",IF(AND($J421&gt;1949,AH421&gt;0),"ERRO","OK"))</f>
        <v>OK</v>
      </c>
      <c r="AJ421" s="6" t="n">
        <f aca="false">(10-(LEN(AK421)))+1</f>
        <v>10</v>
      </c>
      <c r="AK421" s="6" t="n">
        <v>0</v>
      </c>
      <c r="AL421" s="6" t="str">
        <f aca="false">IF($J421="NA","NA",IF(AND($J421&gt;1939,AK421&gt;0),"ERRO","OK"))</f>
        <v>OK</v>
      </c>
      <c r="AM421" s="6" t="n">
        <f aca="false">(10-(LEN(AN421)))+1</f>
        <v>8</v>
      </c>
      <c r="AN421" s="6" t="n">
        <v>152</v>
      </c>
      <c r="AO421" s="6" t="str">
        <f aca="false">IF($J421="NA","NA",IF(AND($J421&gt;1929,AN421&gt;0),"ERRO","OK"))</f>
        <v>OK</v>
      </c>
      <c r="AP421" s="6" t="n">
        <f aca="false">(10-(LEN(AQ421)))+1</f>
        <v>10</v>
      </c>
      <c r="AQ421" s="6" t="n">
        <v>0</v>
      </c>
      <c r="AR421" s="6" t="str">
        <f aca="false">IF($J421="NA","NA",IF(AND($J421&gt;1919,AQ421&gt;0),"ERRO","OK"))</f>
        <v>OK</v>
      </c>
      <c r="AS421" s="6" t="n">
        <f aca="false">(10-(LEN(AT421)))+1</f>
        <v>10</v>
      </c>
      <c r="AT421" s="6" t="n">
        <v>0</v>
      </c>
      <c r="AU421" s="6" t="str">
        <f aca="false">IF($J421="NA","NA",IF(AND($J421&gt;1909,AT421&gt;0),"ERRO","OK"))</f>
        <v>OK</v>
      </c>
      <c r="AV421" s="6" t="n">
        <f aca="false">(10-(LEN(AW421)))+1</f>
        <v>10</v>
      </c>
      <c r="AW421" s="6" t="n">
        <v>0</v>
      </c>
      <c r="AX421" s="6" t="str">
        <f aca="false">IF($J421="NA","NA",IF(AND($J421&gt;1899,AW421&gt;0),"ERRO","OK"))</f>
        <v>OK</v>
      </c>
    </row>
    <row r="422" customFormat="false" ht="15" hidden="false" customHeight="false" outlineLevel="0" collapsed="false">
      <c r="A422" s="7" t="n">
        <v>420</v>
      </c>
      <c r="B422" s="0" t="s">
        <v>439</v>
      </c>
      <c r="C422" s="8" t="n">
        <v>45338</v>
      </c>
      <c r="D422" s="6" t="n">
        <v>0</v>
      </c>
      <c r="E422" s="0" t="s">
        <v>16</v>
      </c>
      <c r="F422" s="0" t="s">
        <v>17</v>
      </c>
      <c r="G422" s="9" t="str">
        <f aca="false">IF(OR(N422="ERRO",Q422="ERRO",T422="ERRO",W422="ERRO",Z422="ERRO",AC422="ERRO",AF422="ERRO",AI422="ERRO",AL422="ERRO",AO422="ERRO",AR422="ERRO",AU422="ERRO",AX422="ERRO"),"ERRO","OK")</f>
        <v>OK</v>
      </c>
      <c r="H422" s="9" t="n">
        <f aca="false">COUNTIF(L422:AX422,"ERRO")</f>
        <v>0</v>
      </c>
      <c r="I422" s="9" t="s">
        <v>18</v>
      </c>
      <c r="J422" s="10" t="n">
        <v>1904</v>
      </c>
      <c r="K422" s="10" t="n">
        <v>1979</v>
      </c>
      <c r="L422" s="6" t="n">
        <f aca="false">(10-(LEN(M422)))+1</f>
        <v>7</v>
      </c>
      <c r="M422" s="6" t="n">
        <v>3415</v>
      </c>
      <c r="N422" s="6" t="str">
        <f aca="false">IF($J422="NA","NA",IF(AND($J422&gt;2019,M422&gt;0),"ERRO","OK"))</f>
        <v>OK</v>
      </c>
      <c r="O422" s="6" t="n">
        <f aca="false">(10-(LEN(P422)))+1</f>
        <v>7</v>
      </c>
      <c r="P422" s="6" t="n">
        <v>1132</v>
      </c>
      <c r="Q422" s="6" t="str">
        <f aca="false">IF($J422="NA","NA",IF(AND($J422&gt;2009,P422&gt;0),"ERRO","OK"))</f>
        <v>OK</v>
      </c>
      <c r="R422" s="6" t="n">
        <f aca="false">(10-(LEN(S422)))+1</f>
        <v>7</v>
      </c>
      <c r="S422" s="6" t="n">
        <v>1471</v>
      </c>
      <c r="T422" s="6" t="str">
        <f aca="false">IF($J422="NA","NA",IF(AND($J422&gt;1999,S422&gt;0),"ERRO","OK"))</f>
        <v>OK</v>
      </c>
      <c r="U422" s="6" t="n">
        <f aca="false">(10-(LEN(V422)))+1</f>
        <v>7</v>
      </c>
      <c r="V422" s="6" t="n">
        <v>1426</v>
      </c>
      <c r="W422" s="6" t="str">
        <f aca="false">IF($J422="NA","NA",IF(AND($J422&gt;1989,V422&gt;0),"ERRO","OK"))</f>
        <v>OK</v>
      </c>
      <c r="X422" s="6" t="n">
        <f aca="false">(10-(LEN(Y422)))+1</f>
        <v>8</v>
      </c>
      <c r="Y422" s="6" t="n">
        <v>963</v>
      </c>
      <c r="Z422" s="6" t="str">
        <f aca="false">IF($J422="NA","NA",IF(AND($J422&gt;1979,Y422&gt;0),"ERRO","OK"))</f>
        <v>OK</v>
      </c>
      <c r="AA422" s="6" t="n">
        <f aca="false">(10-(LEN(AB422)))+1</f>
        <v>8</v>
      </c>
      <c r="AB422" s="6" t="n">
        <v>879</v>
      </c>
      <c r="AC422" s="6" t="str">
        <f aca="false">IF($J422="NA","NA",IF(AND($J422&gt;1969,AB422&gt;0),"ERRO","OK"))</f>
        <v>OK</v>
      </c>
      <c r="AD422" s="6" t="n">
        <f aca="false">(10-(LEN(AE422)))+1</f>
        <v>8</v>
      </c>
      <c r="AE422" s="6" t="n">
        <v>179</v>
      </c>
      <c r="AF422" s="6" t="str">
        <f aca="false">IF($J422="NA","NA",IF(AND($J422&gt;1959,AE422&gt;0),"ERRO","OK"))</f>
        <v>OK</v>
      </c>
      <c r="AG422" s="6" t="n">
        <f aca="false">(10-(LEN(AH422)))+1</f>
        <v>8</v>
      </c>
      <c r="AH422" s="6" t="n">
        <v>110</v>
      </c>
      <c r="AI422" s="6" t="str">
        <f aca="false">IF($J422="NA","NA",IF(AND($J422&gt;1949,AH422&gt;0),"ERRO","OK"))</f>
        <v>OK</v>
      </c>
      <c r="AJ422" s="6" t="n">
        <f aca="false">(10-(LEN(AK422)))+1</f>
        <v>7</v>
      </c>
      <c r="AK422" s="6" t="n">
        <v>1671</v>
      </c>
      <c r="AL422" s="6" t="str">
        <f aca="false">IF($J422="NA","NA",IF(AND($J422&gt;1939,AK422&gt;0),"ERRO","OK"))</f>
        <v>OK</v>
      </c>
      <c r="AM422" s="6" t="n">
        <f aca="false">(10-(LEN(AN422)))+1</f>
        <v>10</v>
      </c>
      <c r="AN422" s="6" t="n">
        <v>0</v>
      </c>
      <c r="AO422" s="6" t="str">
        <f aca="false">IF($J422="NA","NA",IF(AND($J422&gt;1929,AN422&gt;0),"ERRO","OK"))</f>
        <v>OK</v>
      </c>
      <c r="AP422" s="6" t="n">
        <f aca="false">(10-(LEN(AQ422)))+1</f>
        <v>8</v>
      </c>
      <c r="AQ422" s="6" t="n">
        <v>100</v>
      </c>
      <c r="AR422" s="6" t="str">
        <f aca="false">IF($J422="NA","NA",IF(AND($J422&gt;1919,AQ422&gt;0),"ERRO","OK"))</f>
        <v>OK</v>
      </c>
      <c r="AS422" s="6" t="n">
        <f aca="false">(10-(LEN(AT422)))+1</f>
        <v>10</v>
      </c>
      <c r="AT422" s="6" t="n">
        <v>0</v>
      </c>
      <c r="AU422" s="6" t="str">
        <f aca="false">IF($J422="NA","NA",IF(AND($J422&gt;1909,AT422&gt;0),"ERRO","OK"))</f>
        <v>OK</v>
      </c>
      <c r="AV422" s="6" t="n">
        <f aca="false">(10-(LEN(AW422)))+1</f>
        <v>10</v>
      </c>
      <c r="AW422" s="6" t="n">
        <v>0</v>
      </c>
      <c r="AX422" s="6" t="str">
        <f aca="false">IF($J422="NA","NA",IF(AND($J422&gt;1899,AW422&gt;0),"ERRO","OK"))</f>
        <v>OK</v>
      </c>
    </row>
    <row r="423" customFormat="false" ht="15" hidden="false" customHeight="false" outlineLevel="0" collapsed="false">
      <c r="A423" s="7" t="n">
        <v>421</v>
      </c>
      <c r="B423" s="0" t="s">
        <v>440</v>
      </c>
      <c r="C423" s="8" t="n">
        <v>45338</v>
      </c>
      <c r="D423" s="6" t="n">
        <v>0</v>
      </c>
      <c r="E423" s="0" t="s">
        <v>16</v>
      </c>
      <c r="F423" s="0" t="s">
        <v>17</v>
      </c>
      <c r="G423" s="9" t="str">
        <f aca="false">IF(OR(N423="ERRO",Q423="ERRO",T423="ERRO",W423="ERRO",Z423="ERRO",AC423="ERRO",AF423="ERRO",AI423="ERRO",AL423="ERRO",AO423="ERRO",AR423="ERRO",AU423="ERRO",AX423="ERRO"),"ERRO","OK")</f>
        <v>OK</v>
      </c>
      <c r="H423" s="9" t="n">
        <f aca="false">COUNTIF(L423:AX423,"ERRO")</f>
        <v>0</v>
      </c>
      <c r="I423" s="9" t="s">
        <v>18</v>
      </c>
      <c r="J423" s="10" t="n">
        <v>1872</v>
      </c>
      <c r="K423" s="10" t="s">
        <v>22</v>
      </c>
      <c r="L423" s="6" t="n">
        <f aca="false">(10-(LEN(M423)))+1</f>
        <v>10</v>
      </c>
      <c r="M423" s="6" t="n">
        <v>0</v>
      </c>
      <c r="N423" s="6" t="str">
        <f aca="false">IF($J423="NA","NA",IF(AND($J423&gt;2019,M423&gt;0),"ERRO","OK"))</f>
        <v>OK</v>
      </c>
      <c r="O423" s="6" t="n">
        <f aca="false">(10-(LEN(P423)))+1</f>
        <v>10</v>
      </c>
      <c r="P423" s="6" t="n">
        <v>0</v>
      </c>
      <c r="Q423" s="6" t="str">
        <f aca="false">IF($J423="NA","NA",IF(AND($J423&gt;2009,P423&gt;0),"ERRO","OK"))</f>
        <v>OK</v>
      </c>
      <c r="R423" s="6" t="n">
        <f aca="false">(10-(LEN(S423)))+1</f>
        <v>10</v>
      </c>
      <c r="S423" s="6" t="n">
        <v>0</v>
      </c>
      <c r="T423" s="6" t="str">
        <f aca="false">IF($J423="NA","NA",IF(AND($J423&gt;1999,S423&gt;0),"ERRO","OK"))</f>
        <v>OK</v>
      </c>
      <c r="U423" s="6" t="n">
        <f aca="false">(10-(LEN(V423)))+1</f>
        <v>10</v>
      </c>
      <c r="V423" s="6" t="n">
        <v>0</v>
      </c>
      <c r="W423" s="6" t="str">
        <f aca="false">IF($J423="NA","NA",IF(AND($J423&gt;1989,V423&gt;0),"ERRO","OK"))</f>
        <v>OK</v>
      </c>
      <c r="X423" s="6" t="n">
        <f aca="false">(10-(LEN(Y423)))+1</f>
        <v>10</v>
      </c>
      <c r="Y423" s="6" t="n">
        <v>0</v>
      </c>
      <c r="Z423" s="6" t="str">
        <f aca="false">IF($J423="NA","NA",IF(AND($J423&gt;1979,Y423&gt;0),"ERRO","OK"))</f>
        <v>OK</v>
      </c>
      <c r="AA423" s="6" t="n">
        <f aca="false">(10-(LEN(AB423)))+1</f>
        <v>10</v>
      </c>
      <c r="AB423" s="6" t="n">
        <v>0</v>
      </c>
      <c r="AC423" s="6" t="str">
        <f aca="false">IF($J423="NA","NA",IF(AND($J423&gt;1969,AB423&gt;0),"ERRO","OK"))</f>
        <v>OK</v>
      </c>
      <c r="AD423" s="6" t="n">
        <f aca="false">(10-(LEN(AE423)))+1</f>
        <v>10</v>
      </c>
      <c r="AE423" s="6" t="n">
        <v>0</v>
      </c>
      <c r="AF423" s="6" t="str">
        <f aca="false">IF($J423="NA","NA",IF(AND($J423&gt;1959,AE423&gt;0),"ERRO","OK"))</f>
        <v>OK</v>
      </c>
      <c r="AG423" s="6" t="n">
        <f aca="false">(10-(LEN(AH423)))+1</f>
        <v>10</v>
      </c>
      <c r="AH423" s="6" t="n">
        <v>0</v>
      </c>
      <c r="AI423" s="6" t="str">
        <f aca="false">IF($J423="NA","NA",IF(AND($J423&gt;1949,AH423&gt;0),"ERRO","OK"))</f>
        <v>OK</v>
      </c>
      <c r="AJ423" s="6" t="n">
        <f aca="false">(10-(LEN(AK423)))+1</f>
        <v>10</v>
      </c>
      <c r="AK423" s="6" t="n">
        <v>0</v>
      </c>
      <c r="AL423" s="6" t="str">
        <f aca="false">IF($J423="NA","NA",IF(AND($J423&gt;1939,AK423&gt;0),"ERRO","OK"))</f>
        <v>OK</v>
      </c>
      <c r="AM423" s="6" t="n">
        <f aca="false">(10-(LEN(AN423)))+1</f>
        <v>10</v>
      </c>
      <c r="AN423" s="6" t="n">
        <v>0</v>
      </c>
      <c r="AO423" s="6" t="str">
        <f aca="false">IF($J423="NA","NA",IF(AND($J423&gt;1929,AN423&gt;0),"ERRO","OK"))</f>
        <v>OK</v>
      </c>
      <c r="AP423" s="6" t="n">
        <f aca="false">(10-(LEN(AQ423)))+1</f>
        <v>10</v>
      </c>
      <c r="AQ423" s="6" t="n">
        <v>0</v>
      </c>
      <c r="AR423" s="6" t="str">
        <f aca="false">IF($J423="NA","NA",IF(AND($J423&gt;1919,AQ423&gt;0),"ERRO","OK"))</f>
        <v>OK</v>
      </c>
      <c r="AS423" s="6" t="n">
        <f aca="false">(10-(LEN(AT423)))+1</f>
        <v>10</v>
      </c>
      <c r="AT423" s="6" t="n">
        <v>0</v>
      </c>
      <c r="AU423" s="6" t="str">
        <f aca="false">IF($J423="NA","NA",IF(AND($J423&gt;1909,AT423&gt;0),"ERRO","OK"))</f>
        <v>OK</v>
      </c>
      <c r="AV423" s="6" t="n">
        <f aca="false">(10-(LEN(AW423)))+1</f>
        <v>10</v>
      </c>
      <c r="AW423" s="6" t="n">
        <v>0</v>
      </c>
      <c r="AX423" s="6" t="str">
        <f aca="false">IF($J423="NA","NA",IF(AND($J423&gt;1899,AW423&gt;0),"ERRO","OK"))</f>
        <v>OK</v>
      </c>
    </row>
    <row r="424" customFormat="false" ht="15" hidden="false" customHeight="false" outlineLevel="0" collapsed="false">
      <c r="A424" s="7" t="n">
        <v>422</v>
      </c>
      <c r="B424" s="0" t="s">
        <v>441</v>
      </c>
      <c r="C424" s="8" t="n">
        <v>45338</v>
      </c>
      <c r="D424" s="6" t="n">
        <v>0</v>
      </c>
      <c r="E424" s="0" t="s">
        <v>16</v>
      </c>
      <c r="F424" s="0" t="s">
        <v>17</v>
      </c>
      <c r="G424" s="9" t="str">
        <f aca="false">IF(OR(N424="ERRO",Q424="ERRO",T424="ERRO",W424="ERRO",Z424="ERRO",AC424="ERRO",AF424="ERRO",AI424="ERRO",AL424="ERRO",AO424="ERRO",AR424="ERRO",AU424="ERRO",AX424="ERRO"),"ERRO","OK")</f>
        <v>OK</v>
      </c>
      <c r="H424" s="9" t="n">
        <f aca="false">COUNTIF(L424:AX424,"ERRO")</f>
        <v>0</v>
      </c>
      <c r="I424" s="9" t="s">
        <v>18</v>
      </c>
      <c r="J424" s="10" t="n">
        <v>1873</v>
      </c>
      <c r="K424" s="10" t="n">
        <v>1967</v>
      </c>
      <c r="L424" s="6" t="n">
        <f aca="false">(10-(LEN(M424)))+1</f>
        <v>10</v>
      </c>
      <c r="M424" s="6" t="n">
        <v>0</v>
      </c>
      <c r="N424" s="6" t="str">
        <f aca="false">IF($J424="NA","NA",IF(AND($J424&gt;2019,M424&gt;0),"ERRO","OK"))</f>
        <v>OK</v>
      </c>
      <c r="O424" s="6" t="n">
        <f aca="false">(10-(LEN(P424)))+1</f>
        <v>10</v>
      </c>
      <c r="P424" s="6" t="n">
        <v>0</v>
      </c>
      <c r="Q424" s="6" t="str">
        <f aca="false">IF($J424="NA","NA",IF(AND($J424&gt;2009,P424&gt;0),"ERRO","OK"))</f>
        <v>OK</v>
      </c>
      <c r="R424" s="6" t="n">
        <f aca="false">(10-(LEN(S424)))+1</f>
        <v>10</v>
      </c>
      <c r="S424" s="6" t="n">
        <v>0</v>
      </c>
      <c r="T424" s="6" t="str">
        <f aca="false">IF($J424="NA","NA",IF(AND($J424&gt;1999,S424&gt;0),"ERRO","OK"))</f>
        <v>OK</v>
      </c>
      <c r="U424" s="6" t="n">
        <f aca="false">(10-(LEN(V424)))+1</f>
        <v>10</v>
      </c>
      <c r="V424" s="6" t="n">
        <v>0</v>
      </c>
      <c r="W424" s="6" t="str">
        <f aca="false">IF($J424="NA","NA",IF(AND($J424&gt;1989,V424&gt;0),"ERRO","OK"))</f>
        <v>OK</v>
      </c>
      <c r="X424" s="6" t="n">
        <f aca="false">(10-(LEN(Y424)))+1</f>
        <v>10</v>
      </c>
      <c r="Y424" s="6" t="n">
        <v>0</v>
      </c>
      <c r="Z424" s="6" t="str">
        <f aca="false">IF($J424="NA","NA",IF(AND($J424&gt;1979,Y424&gt;0),"ERRO","OK"))</f>
        <v>OK</v>
      </c>
      <c r="AA424" s="6" t="n">
        <f aca="false">(10-(LEN(AB424)))+1</f>
        <v>10</v>
      </c>
      <c r="AB424" s="6" t="n">
        <v>0</v>
      </c>
      <c r="AC424" s="6" t="str">
        <f aca="false">IF($J424="NA","NA",IF(AND($J424&gt;1969,AB424&gt;0),"ERRO","OK"))</f>
        <v>OK</v>
      </c>
      <c r="AD424" s="6" t="n">
        <f aca="false">(10-(LEN(AE424)))+1</f>
        <v>10</v>
      </c>
      <c r="AE424" s="6" t="n">
        <v>0</v>
      </c>
      <c r="AF424" s="6" t="str">
        <f aca="false">IF($J424="NA","NA",IF(AND($J424&gt;1959,AE424&gt;0),"ERRO","OK"))</f>
        <v>OK</v>
      </c>
      <c r="AG424" s="6" t="n">
        <f aca="false">(10-(LEN(AH424)))+1</f>
        <v>10</v>
      </c>
      <c r="AH424" s="6" t="n">
        <v>0</v>
      </c>
      <c r="AI424" s="6" t="str">
        <f aca="false">IF($J424="NA","NA",IF(AND($J424&gt;1949,AH424&gt;0),"ERRO","OK"))</f>
        <v>OK</v>
      </c>
      <c r="AJ424" s="6" t="n">
        <f aca="false">(10-(LEN(AK424)))+1</f>
        <v>10</v>
      </c>
      <c r="AK424" s="6" t="n">
        <v>0</v>
      </c>
      <c r="AL424" s="6" t="str">
        <f aca="false">IF($J424="NA","NA",IF(AND($J424&gt;1939,AK424&gt;0),"ERRO","OK"))</f>
        <v>OK</v>
      </c>
      <c r="AM424" s="6" t="n">
        <f aca="false">(10-(LEN(AN424)))+1</f>
        <v>10</v>
      </c>
      <c r="AN424" s="6" t="n">
        <v>0</v>
      </c>
      <c r="AO424" s="6" t="str">
        <f aca="false">IF($J424="NA","NA",IF(AND($J424&gt;1929,AN424&gt;0),"ERRO","OK"))</f>
        <v>OK</v>
      </c>
      <c r="AP424" s="6" t="n">
        <f aca="false">(10-(LEN(AQ424)))+1</f>
        <v>10</v>
      </c>
      <c r="AQ424" s="6" t="n">
        <v>0</v>
      </c>
      <c r="AR424" s="6" t="str">
        <f aca="false">IF($J424="NA","NA",IF(AND($J424&gt;1919,AQ424&gt;0),"ERRO","OK"))</f>
        <v>OK</v>
      </c>
      <c r="AS424" s="6" t="n">
        <f aca="false">(10-(LEN(AT424)))+1</f>
        <v>10</v>
      </c>
      <c r="AT424" s="6" t="n">
        <v>0</v>
      </c>
      <c r="AU424" s="6" t="str">
        <f aca="false">IF($J424="NA","NA",IF(AND($J424&gt;1909,AT424&gt;0),"ERRO","OK"))</f>
        <v>OK</v>
      </c>
      <c r="AV424" s="6" t="n">
        <f aca="false">(10-(LEN(AW424)))+1</f>
        <v>10</v>
      </c>
      <c r="AW424" s="6" t="n">
        <v>0</v>
      </c>
      <c r="AX424" s="6" t="str">
        <f aca="false">IF($J424="NA","NA",IF(AND($J424&gt;1899,AW424&gt;0),"ERRO","OK"))</f>
        <v>OK</v>
      </c>
    </row>
    <row r="425" customFormat="false" ht="15" hidden="false" customHeight="false" outlineLevel="0" collapsed="false">
      <c r="A425" s="7" t="n">
        <v>423</v>
      </c>
      <c r="B425" s="0" t="s">
        <v>442</v>
      </c>
      <c r="C425" s="8" t="n">
        <v>45338</v>
      </c>
      <c r="D425" s="6" t="n">
        <v>0</v>
      </c>
      <c r="E425" s="0" t="s">
        <v>16</v>
      </c>
      <c r="F425" s="0" t="s">
        <v>17</v>
      </c>
      <c r="G425" s="9" t="str">
        <f aca="false">IF(OR(N425="ERRO",Q425="ERRO",T425="ERRO",W425="ERRO",Z425="ERRO",AC425="ERRO",AF425="ERRO",AI425="ERRO",AL425="ERRO",AO425="ERRO",AR425="ERRO",AU425="ERRO",AX425="ERRO"),"ERRO","OK")</f>
        <v>ERRO</v>
      </c>
      <c r="H425" s="9" t="n">
        <f aca="false">COUNTIF(L425:AX425,"ERRO")</f>
        <v>1</v>
      </c>
      <c r="I425" s="9" t="s">
        <v>18</v>
      </c>
      <c r="J425" s="10" t="n">
        <v>1933</v>
      </c>
      <c r="K425" s="10" t="s">
        <v>22</v>
      </c>
      <c r="L425" s="6" t="n">
        <f aca="false">(10-(LEN(M425)))+1</f>
        <v>8</v>
      </c>
      <c r="M425" s="6" t="n">
        <v>875</v>
      </c>
      <c r="N425" s="6" t="str">
        <f aca="false">IF($J425="NA","NA",IF(AND($J425&gt;2019,M425&gt;0),"ERRO","OK"))</f>
        <v>OK</v>
      </c>
      <c r="O425" s="6" t="n">
        <f aca="false">(10-(LEN(P425)))+1</f>
        <v>7</v>
      </c>
      <c r="P425" s="6" t="n">
        <v>3602</v>
      </c>
      <c r="Q425" s="6" t="str">
        <f aca="false">IF($J425="NA","NA",IF(AND($J425&gt;2009,P425&gt;0),"ERRO","OK"))</f>
        <v>OK</v>
      </c>
      <c r="R425" s="6" t="n">
        <f aca="false">(10-(LEN(S425)))+1</f>
        <v>7</v>
      </c>
      <c r="S425" s="6" t="n">
        <v>1176</v>
      </c>
      <c r="T425" s="6" t="str">
        <f aca="false">IF($J425="NA","NA",IF(AND($J425&gt;1999,S425&gt;0),"ERRO","OK"))</f>
        <v>OK</v>
      </c>
      <c r="U425" s="6" t="n">
        <f aca="false">(10-(LEN(V425)))+1</f>
        <v>8</v>
      </c>
      <c r="V425" s="6" t="n">
        <v>598</v>
      </c>
      <c r="W425" s="6" t="str">
        <f aca="false">IF($J425="NA","NA",IF(AND($J425&gt;1989,V425&gt;0),"ERRO","OK"))</f>
        <v>OK</v>
      </c>
      <c r="X425" s="6" t="n">
        <f aca="false">(10-(LEN(Y425)))+1</f>
        <v>8</v>
      </c>
      <c r="Y425" s="6" t="n">
        <v>107</v>
      </c>
      <c r="Z425" s="6" t="str">
        <f aca="false">IF($J425="NA","NA",IF(AND($J425&gt;1979,Y425&gt;0),"ERRO","OK"))</f>
        <v>OK</v>
      </c>
      <c r="AA425" s="6" t="n">
        <f aca="false">(10-(LEN(AB425)))+1</f>
        <v>7</v>
      </c>
      <c r="AB425" s="6" t="n">
        <v>1231</v>
      </c>
      <c r="AC425" s="6" t="str">
        <f aca="false">IF($J425="NA","NA",IF(AND($J425&gt;1969,AB425&gt;0),"ERRO","OK"))</f>
        <v>OK</v>
      </c>
      <c r="AD425" s="6" t="n">
        <f aca="false">(10-(LEN(AE425)))+1</f>
        <v>10</v>
      </c>
      <c r="AE425" s="6" t="n">
        <v>0</v>
      </c>
      <c r="AF425" s="6" t="str">
        <f aca="false">IF($J425="NA","NA",IF(AND($J425&gt;1959,AE425&gt;0),"ERRO","OK"))</f>
        <v>OK</v>
      </c>
      <c r="AG425" s="6" t="n">
        <f aca="false">(10-(LEN(AH425)))+1</f>
        <v>8</v>
      </c>
      <c r="AH425" s="6" t="n">
        <v>110</v>
      </c>
      <c r="AI425" s="6" t="str">
        <f aca="false">IF($J425="NA","NA",IF(AND($J425&gt;1949,AH425&gt;0),"ERRO","OK"))</f>
        <v>OK</v>
      </c>
      <c r="AJ425" s="6" t="n">
        <f aca="false">(10-(LEN(AK425)))+1</f>
        <v>10</v>
      </c>
      <c r="AK425" s="6" t="n">
        <v>0</v>
      </c>
      <c r="AL425" s="6" t="str">
        <f aca="false">IF($J425="NA","NA",IF(AND($J425&gt;1939,AK425&gt;0),"ERRO","OK"))</f>
        <v>OK</v>
      </c>
      <c r="AM425" s="6" t="n">
        <f aca="false">(10-(LEN(AN425)))+1</f>
        <v>10</v>
      </c>
      <c r="AN425" s="6" t="n">
        <v>0</v>
      </c>
      <c r="AO425" s="6" t="str">
        <f aca="false">IF($J425="NA","NA",IF(AND($J425&gt;1929,AN425&gt;0),"ERRO","OK"))</f>
        <v>OK</v>
      </c>
      <c r="AP425" s="6" t="n">
        <f aca="false">(10-(LEN(AQ425)))+1</f>
        <v>8</v>
      </c>
      <c r="AQ425" s="6" t="n">
        <v>100</v>
      </c>
      <c r="AR425" s="6" t="str">
        <f aca="false">IF($J425="NA","NA",IF(AND($J425&gt;1919,AQ425&gt;0),"ERRO","OK"))</f>
        <v>ERRO</v>
      </c>
      <c r="AS425" s="6" t="n">
        <f aca="false">(10-(LEN(AT425)))+1</f>
        <v>10</v>
      </c>
      <c r="AT425" s="6" t="n">
        <v>0</v>
      </c>
      <c r="AU425" s="6" t="str">
        <f aca="false">IF($J425="NA","NA",IF(AND($J425&gt;1909,AT425&gt;0),"ERRO","OK"))</f>
        <v>OK</v>
      </c>
      <c r="AV425" s="6" t="n">
        <f aca="false">(10-(LEN(AW425)))+1</f>
        <v>10</v>
      </c>
      <c r="AW425" s="6" t="n">
        <v>0</v>
      </c>
      <c r="AX425" s="6" t="str">
        <f aca="false">IF($J425="NA","NA",IF(AND($J425&gt;1899,AW425&gt;0),"ERRO","OK"))</f>
        <v>OK</v>
      </c>
    </row>
    <row r="426" customFormat="false" ht="15" hidden="false" customHeight="false" outlineLevel="0" collapsed="false">
      <c r="A426" s="7" t="n">
        <v>424</v>
      </c>
      <c r="B426" s="0" t="s">
        <v>443</v>
      </c>
      <c r="C426" s="8" t="n">
        <v>45338</v>
      </c>
      <c r="D426" s="6" t="n">
        <v>0</v>
      </c>
      <c r="E426" s="0" t="s">
        <v>16</v>
      </c>
      <c r="F426" s="0" t="s">
        <v>17</v>
      </c>
      <c r="G426" s="9" t="str">
        <f aca="false">IF(OR(N426="ERRO",Q426="ERRO",T426="ERRO",W426="ERRO",Z426="ERRO",AC426="ERRO",AF426="ERRO",AI426="ERRO",AL426="ERRO",AO426="ERRO",AR426="ERRO",AU426="ERRO",AX426="ERRO"),"ERRO","OK")</f>
        <v>OK</v>
      </c>
      <c r="H426" s="9" t="n">
        <f aca="false">COUNTIF(L426:AX426,"ERRO")</f>
        <v>0</v>
      </c>
      <c r="I426" s="9" t="s">
        <v>18</v>
      </c>
      <c r="J426" s="10" t="n">
        <v>1896</v>
      </c>
      <c r="K426" s="10" t="n">
        <v>1942</v>
      </c>
      <c r="L426" s="6" t="n">
        <f aca="false">(10-(LEN(M426)))+1</f>
        <v>7</v>
      </c>
      <c r="M426" s="6" t="n">
        <v>1320</v>
      </c>
      <c r="N426" s="6" t="str">
        <f aca="false">IF($J426="NA","NA",IF(AND($J426&gt;2019,M426&gt;0),"ERRO","OK"))</f>
        <v>OK</v>
      </c>
      <c r="O426" s="6" t="n">
        <f aca="false">(10-(LEN(P426)))+1</f>
        <v>8</v>
      </c>
      <c r="P426" s="6" t="n">
        <v>400</v>
      </c>
      <c r="Q426" s="6" t="str">
        <f aca="false">IF($J426="NA","NA",IF(AND($J426&gt;2009,P426&gt;0),"ERRO","OK"))</f>
        <v>OK</v>
      </c>
      <c r="R426" s="6" t="n">
        <f aca="false">(10-(LEN(S426)))+1</f>
        <v>8</v>
      </c>
      <c r="S426" s="6" t="n">
        <v>392</v>
      </c>
      <c r="T426" s="6" t="str">
        <f aca="false">IF($J426="NA","NA",IF(AND($J426&gt;1999,S426&gt;0),"ERRO","OK"))</f>
        <v>OK</v>
      </c>
      <c r="U426" s="6" t="n">
        <f aca="false">(10-(LEN(V426)))+1</f>
        <v>8</v>
      </c>
      <c r="V426" s="6" t="n">
        <v>700</v>
      </c>
      <c r="W426" s="6" t="str">
        <f aca="false">IF($J426="NA","NA",IF(AND($J426&gt;1989,V426&gt;0),"ERRO","OK"))</f>
        <v>OK</v>
      </c>
      <c r="X426" s="6" t="n">
        <f aca="false">(10-(LEN(Y426)))+1</f>
        <v>7</v>
      </c>
      <c r="Y426" s="6" t="n">
        <v>1316</v>
      </c>
      <c r="Z426" s="6" t="str">
        <f aca="false">IF($J426="NA","NA",IF(AND($J426&gt;1979,Y426&gt;0),"ERRO","OK"))</f>
        <v>OK</v>
      </c>
      <c r="AA426" s="6" t="n">
        <f aca="false">(10-(LEN(AB426)))+1</f>
        <v>8</v>
      </c>
      <c r="AB426" s="6" t="n">
        <v>958</v>
      </c>
      <c r="AC426" s="6" t="str">
        <f aca="false">IF($J426="NA","NA",IF(AND($J426&gt;1969,AB426&gt;0),"ERRO","OK"))</f>
        <v>OK</v>
      </c>
      <c r="AD426" s="6" t="n">
        <f aca="false">(10-(LEN(AE426)))+1</f>
        <v>7</v>
      </c>
      <c r="AE426" s="6" t="n">
        <v>2728</v>
      </c>
      <c r="AF426" s="6" t="str">
        <f aca="false">IF($J426="NA","NA",IF(AND($J426&gt;1959,AE426&gt;0),"ERRO","OK"))</f>
        <v>OK</v>
      </c>
      <c r="AG426" s="6" t="n">
        <f aca="false">(10-(LEN(AH426)))+1</f>
        <v>7</v>
      </c>
      <c r="AH426" s="6" t="n">
        <v>3874</v>
      </c>
      <c r="AI426" s="6" t="str">
        <f aca="false">IF($J426="NA","NA",IF(AND($J426&gt;1949,AH426&gt;0),"ERRO","OK"))</f>
        <v>OK</v>
      </c>
      <c r="AJ426" s="6" t="n">
        <f aca="false">(10-(LEN(AK426)))+1</f>
        <v>7</v>
      </c>
      <c r="AK426" s="6" t="n">
        <v>8672</v>
      </c>
      <c r="AL426" s="6" t="str">
        <f aca="false">IF($J426="NA","NA",IF(AND($J426&gt;1939,AK426&gt;0),"ERRO","OK"))</f>
        <v>OK</v>
      </c>
      <c r="AM426" s="6" t="n">
        <f aca="false">(10-(LEN(AN426)))+1</f>
        <v>8</v>
      </c>
      <c r="AN426" s="6" t="n">
        <v>898</v>
      </c>
      <c r="AO426" s="6" t="str">
        <f aca="false">IF($J426="NA","NA",IF(AND($J426&gt;1929,AN426&gt;0),"ERRO","OK"))</f>
        <v>OK</v>
      </c>
      <c r="AP426" s="6" t="n">
        <f aca="false">(10-(LEN(AQ426)))+1</f>
        <v>10</v>
      </c>
      <c r="AQ426" s="6" t="n">
        <v>0</v>
      </c>
      <c r="AR426" s="6" t="str">
        <f aca="false">IF($J426="NA","NA",IF(AND($J426&gt;1919,AQ426&gt;0),"ERRO","OK"))</f>
        <v>OK</v>
      </c>
      <c r="AS426" s="6" t="n">
        <f aca="false">(10-(LEN(AT426)))+1</f>
        <v>10</v>
      </c>
      <c r="AT426" s="6" t="n">
        <v>0</v>
      </c>
      <c r="AU426" s="6" t="str">
        <f aca="false">IF($J426="NA","NA",IF(AND($J426&gt;1909,AT426&gt;0),"ERRO","OK"))</f>
        <v>OK</v>
      </c>
      <c r="AV426" s="6" t="n">
        <f aca="false">(10-(LEN(AW426)))+1</f>
        <v>10</v>
      </c>
      <c r="AW426" s="6" t="n">
        <v>0</v>
      </c>
      <c r="AX426" s="6" t="str">
        <f aca="false">IF($J426="NA","NA",IF(AND($J426&gt;1899,AW426&gt;0),"ERRO","OK"))</f>
        <v>OK</v>
      </c>
    </row>
    <row r="427" customFormat="false" ht="15" hidden="false" customHeight="false" outlineLevel="0" collapsed="false">
      <c r="A427" s="7" t="n">
        <v>425</v>
      </c>
      <c r="B427" s="0" t="s">
        <v>444</v>
      </c>
      <c r="C427" s="8" t="n">
        <v>45338</v>
      </c>
      <c r="D427" s="6" t="n">
        <v>0</v>
      </c>
      <c r="E427" s="0" t="s">
        <v>16</v>
      </c>
      <c r="F427" s="0" t="s">
        <v>17</v>
      </c>
      <c r="G427" s="9" t="str">
        <f aca="false">IF(OR(N427="ERRO",Q427="ERRO",T427="ERRO",W427="ERRO",Z427="ERRO",AC427="ERRO",AF427="ERRO",AI427="ERRO",AL427="ERRO",AO427="ERRO",AR427="ERRO",AU427="ERRO",AX427="ERRO"),"ERRO","OK")</f>
        <v>OK</v>
      </c>
      <c r="H427" s="9" t="n">
        <f aca="false">COUNTIF(L427:AX427,"ERRO")</f>
        <v>0</v>
      </c>
      <c r="I427" s="9" t="s">
        <v>18</v>
      </c>
      <c r="J427" s="10" t="n">
        <v>1885</v>
      </c>
      <c r="K427" s="10" t="n">
        <v>1970</v>
      </c>
      <c r="L427" s="6" t="n">
        <f aca="false">(10-(LEN(M427)))+1</f>
        <v>7</v>
      </c>
      <c r="M427" s="6" t="n">
        <v>2624</v>
      </c>
      <c r="N427" s="6" t="str">
        <f aca="false">IF($J427="NA","NA",IF(AND($J427&gt;2019,M427&gt;0),"ERRO","OK"))</f>
        <v>OK</v>
      </c>
      <c r="O427" s="6" t="n">
        <f aca="false">(10-(LEN(P427)))+1</f>
        <v>7</v>
      </c>
      <c r="P427" s="6" t="n">
        <v>4048</v>
      </c>
      <c r="Q427" s="6" t="str">
        <f aca="false">IF($J427="NA","NA",IF(AND($J427&gt;2009,P427&gt;0),"ERRO","OK"))</f>
        <v>OK</v>
      </c>
      <c r="R427" s="6" t="n">
        <f aca="false">(10-(LEN(S427)))+1</f>
        <v>7</v>
      </c>
      <c r="S427" s="6" t="n">
        <v>4328</v>
      </c>
      <c r="T427" s="6" t="str">
        <f aca="false">IF($J427="NA","NA",IF(AND($J427&gt;1999,S427&gt;0),"ERRO","OK"))</f>
        <v>OK</v>
      </c>
      <c r="U427" s="6" t="n">
        <f aca="false">(10-(LEN(V427)))+1</f>
        <v>7</v>
      </c>
      <c r="V427" s="6" t="n">
        <v>1656</v>
      </c>
      <c r="W427" s="6" t="str">
        <f aca="false">IF($J427="NA","NA",IF(AND($J427&gt;1989,V427&gt;0),"ERRO","OK"))</f>
        <v>OK</v>
      </c>
      <c r="X427" s="6" t="n">
        <f aca="false">(10-(LEN(Y427)))+1</f>
        <v>8</v>
      </c>
      <c r="Y427" s="6" t="n">
        <v>482</v>
      </c>
      <c r="Z427" s="6" t="str">
        <f aca="false">IF($J427="NA","NA",IF(AND($J427&gt;1979,Y427&gt;0),"ERRO","OK"))</f>
        <v>OK</v>
      </c>
      <c r="AA427" s="6" t="n">
        <f aca="false">(10-(LEN(AB427)))+1</f>
        <v>7</v>
      </c>
      <c r="AB427" s="6" t="n">
        <v>1172</v>
      </c>
      <c r="AC427" s="6" t="str">
        <f aca="false">IF($J427="NA","NA",IF(AND($J427&gt;1969,AB427&gt;0),"ERRO","OK"))</f>
        <v>OK</v>
      </c>
      <c r="AD427" s="6" t="n">
        <f aca="false">(10-(LEN(AE427)))+1</f>
        <v>7</v>
      </c>
      <c r="AE427" s="6" t="n">
        <v>4126</v>
      </c>
      <c r="AF427" s="6" t="str">
        <f aca="false">IF($J427="NA","NA",IF(AND($J427&gt;1959,AE427&gt;0),"ERRO","OK"))</f>
        <v>OK</v>
      </c>
      <c r="AG427" s="6" t="n">
        <f aca="false">(10-(LEN(AH427)))+1</f>
        <v>7</v>
      </c>
      <c r="AH427" s="6" t="n">
        <v>6608</v>
      </c>
      <c r="AI427" s="6" t="str">
        <f aca="false">IF($J427="NA","NA",IF(AND($J427&gt;1949,AH427&gt;0),"ERRO","OK"))</f>
        <v>OK</v>
      </c>
      <c r="AJ427" s="6" t="n">
        <f aca="false">(10-(LEN(AK427)))+1</f>
        <v>7</v>
      </c>
      <c r="AK427" s="6" t="n">
        <v>2507</v>
      </c>
      <c r="AL427" s="6" t="str">
        <f aca="false">IF($J427="NA","NA",IF(AND($J427&gt;1939,AK427&gt;0),"ERRO","OK"))</f>
        <v>OK</v>
      </c>
      <c r="AM427" s="6" t="n">
        <f aca="false">(10-(LEN(AN427)))+1</f>
        <v>6</v>
      </c>
      <c r="AN427" s="6" t="n">
        <v>14167</v>
      </c>
      <c r="AO427" s="6" t="str">
        <f aca="false">IF($J427="NA","NA",IF(AND($J427&gt;1929,AN427&gt;0),"ERRO","OK"))</f>
        <v>OK</v>
      </c>
      <c r="AP427" s="6" t="n">
        <f aca="false">(10-(LEN(AQ427)))+1</f>
        <v>8</v>
      </c>
      <c r="AQ427" s="6" t="n">
        <v>200</v>
      </c>
      <c r="AR427" s="6" t="str">
        <f aca="false">IF($J427="NA","NA",IF(AND($J427&gt;1919,AQ427&gt;0),"ERRO","OK"))</f>
        <v>OK</v>
      </c>
      <c r="AS427" s="6" t="n">
        <f aca="false">(10-(LEN(AT427)))+1</f>
        <v>10</v>
      </c>
      <c r="AT427" s="6" t="n">
        <v>0</v>
      </c>
      <c r="AU427" s="6" t="str">
        <f aca="false">IF($J427="NA","NA",IF(AND($J427&gt;1909,AT427&gt;0),"ERRO","OK"))</f>
        <v>OK</v>
      </c>
      <c r="AV427" s="6" t="n">
        <f aca="false">(10-(LEN(AW427)))+1</f>
        <v>8</v>
      </c>
      <c r="AW427" s="6" t="n">
        <v>258</v>
      </c>
      <c r="AX427" s="6" t="str">
        <f aca="false">IF($J427="NA","NA",IF(AND($J427&gt;1899,AW427&gt;0),"ERRO","OK"))</f>
        <v>OK</v>
      </c>
    </row>
    <row r="428" customFormat="false" ht="15" hidden="false" customHeight="false" outlineLevel="0" collapsed="false">
      <c r="A428" s="7" t="n">
        <v>426</v>
      </c>
      <c r="B428" s="0" t="s">
        <v>445</v>
      </c>
      <c r="C428" s="8" t="n">
        <v>45338</v>
      </c>
      <c r="D428" s="6" t="n">
        <v>0</v>
      </c>
      <c r="E428" s="0" t="s">
        <v>16</v>
      </c>
      <c r="F428" s="0" t="s">
        <v>17</v>
      </c>
      <c r="G428" s="9" t="str">
        <f aca="false">IF(OR(N428="ERRO",Q428="ERRO",T428="ERRO",W428="ERRO",Z428="ERRO",AC428="ERRO",AF428="ERRO",AI428="ERRO",AL428="ERRO",AO428="ERRO",AR428="ERRO",AU428="ERRO",AX428="ERRO"),"ERRO","OK")</f>
        <v>OK</v>
      </c>
      <c r="H428" s="9" t="n">
        <f aca="false">COUNTIF(L428:AX428,"ERRO")</f>
        <v>0</v>
      </c>
      <c r="I428" s="9" t="s">
        <v>18</v>
      </c>
      <c r="J428" s="10" t="n">
        <v>1923</v>
      </c>
      <c r="K428" s="10" t="n">
        <v>2005</v>
      </c>
      <c r="L428" s="6" t="n">
        <f aca="false">(10-(LEN(M428)))+1</f>
        <v>10</v>
      </c>
      <c r="M428" s="6" t="n">
        <v>0</v>
      </c>
      <c r="N428" s="6" t="str">
        <f aca="false">IF($J428="NA","NA",IF(AND($J428&gt;2019,M428&gt;0),"ERRO","OK"))</f>
        <v>OK</v>
      </c>
      <c r="O428" s="6" t="n">
        <f aca="false">(10-(LEN(P428)))+1</f>
        <v>10</v>
      </c>
      <c r="P428" s="6" t="n">
        <v>0</v>
      </c>
      <c r="Q428" s="6" t="str">
        <f aca="false">IF($J428="NA","NA",IF(AND($J428&gt;2009,P428&gt;0),"ERRO","OK"))</f>
        <v>OK</v>
      </c>
      <c r="R428" s="6" t="n">
        <f aca="false">(10-(LEN(S428)))+1</f>
        <v>10</v>
      </c>
      <c r="S428" s="6" t="n">
        <v>0</v>
      </c>
      <c r="T428" s="6" t="str">
        <f aca="false">IF($J428="NA","NA",IF(AND($J428&gt;1999,S428&gt;0),"ERRO","OK"))</f>
        <v>OK</v>
      </c>
      <c r="U428" s="6" t="n">
        <f aca="false">(10-(LEN(V428)))+1</f>
        <v>10</v>
      </c>
      <c r="V428" s="6" t="n">
        <v>0</v>
      </c>
      <c r="W428" s="6" t="str">
        <f aca="false">IF($J428="NA","NA",IF(AND($J428&gt;1989,V428&gt;0),"ERRO","OK"))</f>
        <v>OK</v>
      </c>
      <c r="X428" s="6" t="n">
        <f aca="false">(10-(LEN(Y428)))+1</f>
        <v>10</v>
      </c>
      <c r="Y428" s="6" t="n">
        <v>0</v>
      </c>
      <c r="Z428" s="6" t="str">
        <f aca="false">IF($J428="NA","NA",IF(AND($J428&gt;1979,Y428&gt;0),"ERRO","OK"))</f>
        <v>OK</v>
      </c>
      <c r="AA428" s="6" t="n">
        <f aca="false">(10-(LEN(AB428)))+1</f>
        <v>10</v>
      </c>
      <c r="AB428" s="6" t="n">
        <v>0</v>
      </c>
      <c r="AC428" s="6" t="str">
        <f aca="false">IF($J428="NA","NA",IF(AND($J428&gt;1969,AB428&gt;0),"ERRO","OK"))</f>
        <v>OK</v>
      </c>
      <c r="AD428" s="6" t="n">
        <f aca="false">(10-(LEN(AE428)))+1</f>
        <v>10</v>
      </c>
      <c r="AE428" s="6" t="n">
        <v>0</v>
      </c>
      <c r="AF428" s="6" t="str">
        <f aca="false">IF($J428="NA","NA",IF(AND($J428&gt;1959,AE428&gt;0),"ERRO","OK"))</f>
        <v>OK</v>
      </c>
      <c r="AG428" s="6" t="n">
        <f aca="false">(10-(LEN(AH428)))+1</f>
        <v>10</v>
      </c>
      <c r="AH428" s="6" t="n">
        <v>0</v>
      </c>
      <c r="AI428" s="6" t="str">
        <f aca="false">IF($J428="NA","NA",IF(AND($J428&gt;1949,AH428&gt;0),"ERRO","OK"))</f>
        <v>OK</v>
      </c>
      <c r="AJ428" s="6" t="n">
        <f aca="false">(10-(LEN(AK428)))+1</f>
        <v>10</v>
      </c>
      <c r="AK428" s="6" t="n">
        <v>0</v>
      </c>
      <c r="AL428" s="6" t="str">
        <f aca="false">IF($J428="NA","NA",IF(AND($J428&gt;1939,AK428&gt;0),"ERRO","OK"))</f>
        <v>OK</v>
      </c>
      <c r="AM428" s="6" t="n">
        <f aca="false">(10-(LEN(AN428)))+1</f>
        <v>10</v>
      </c>
      <c r="AN428" s="6" t="n">
        <v>0</v>
      </c>
      <c r="AO428" s="6" t="str">
        <f aca="false">IF($J428="NA","NA",IF(AND($J428&gt;1929,AN428&gt;0),"ERRO","OK"))</f>
        <v>OK</v>
      </c>
      <c r="AP428" s="6" t="n">
        <f aca="false">(10-(LEN(AQ428)))+1</f>
        <v>10</v>
      </c>
      <c r="AQ428" s="6" t="n">
        <v>0</v>
      </c>
      <c r="AR428" s="6" t="str">
        <f aca="false">IF($J428="NA","NA",IF(AND($J428&gt;1919,AQ428&gt;0),"ERRO","OK"))</f>
        <v>OK</v>
      </c>
      <c r="AS428" s="6" t="n">
        <f aca="false">(10-(LEN(AT428)))+1</f>
        <v>10</v>
      </c>
      <c r="AT428" s="6" t="n">
        <v>0</v>
      </c>
      <c r="AU428" s="6" t="str">
        <f aca="false">IF($J428="NA","NA",IF(AND($J428&gt;1909,AT428&gt;0),"ERRO","OK"))</f>
        <v>OK</v>
      </c>
      <c r="AV428" s="6" t="n">
        <f aca="false">(10-(LEN(AW428)))+1</f>
        <v>10</v>
      </c>
      <c r="AW428" s="6" t="n">
        <v>0</v>
      </c>
      <c r="AX428" s="6" t="str">
        <f aca="false">IF($J428="NA","NA",IF(AND($J428&gt;1899,AW428&gt;0),"ERRO","OK"))</f>
        <v>OK</v>
      </c>
    </row>
    <row r="429" customFormat="false" ht="15" hidden="false" customHeight="false" outlineLevel="0" collapsed="false">
      <c r="A429" s="7" t="n">
        <v>427</v>
      </c>
      <c r="B429" s="0" t="s">
        <v>446</v>
      </c>
      <c r="C429" s="8" t="n">
        <v>45338</v>
      </c>
      <c r="D429" s="6" t="n">
        <v>0</v>
      </c>
      <c r="E429" s="0" t="s">
        <v>16</v>
      </c>
      <c r="F429" s="0" t="s">
        <v>17</v>
      </c>
      <c r="G429" s="9" t="str">
        <f aca="false">IF(OR(N429="ERRO",Q429="ERRO",T429="ERRO",W429="ERRO",Z429="ERRO",AC429="ERRO",AF429="ERRO",AI429="ERRO",AL429="ERRO",AO429="ERRO",AR429="ERRO",AU429="ERRO",AX429="ERRO"),"ERRO","OK")</f>
        <v>OK</v>
      </c>
      <c r="H429" s="9" t="n">
        <f aca="false">COUNTIF(L429:AX429,"ERRO")</f>
        <v>0</v>
      </c>
      <c r="I429" s="9" t="s">
        <v>18</v>
      </c>
      <c r="J429" s="10" t="n">
        <v>1896</v>
      </c>
      <c r="K429" s="10" t="n">
        <v>1985</v>
      </c>
      <c r="L429" s="6" t="n">
        <f aca="false">(10-(LEN(M429)))+1</f>
        <v>10</v>
      </c>
      <c r="M429" s="6" t="n">
        <v>0</v>
      </c>
      <c r="N429" s="6" t="str">
        <f aca="false">IF($J429="NA","NA",IF(AND($J429&gt;2019,M429&gt;0),"ERRO","OK"))</f>
        <v>OK</v>
      </c>
      <c r="O429" s="6" t="n">
        <f aca="false">(10-(LEN(P429)))+1</f>
        <v>8</v>
      </c>
      <c r="P429" s="6" t="n">
        <v>172</v>
      </c>
      <c r="Q429" s="6" t="str">
        <f aca="false">IF($J429="NA","NA",IF(AND($J429&gt;2009,P429&gt;0),"ERRO","OK"))</f>
        <v>OK</v>
      </c>
      <c r="R429" s="6" t="n">
        <f aca="false">(10-(LEN(S429)))+1</f>
        <v>10</v>
      </c>
      <c r="S429" s="6" t="n">
        <v>0</v>
      </c>
      <c r="T429" s="6" t="str">
        <f aca="false">IF($J429="NA","NA",IF(AND($J429&gt;1999,S429&gt;0),"ERRO","OK"))</f>
        <v>OK</v>
      </c>
      <c r="U429" s="6" t="n">
        <f aca="false">(10-(LEN(V429)))+1</f>
        <v>9</v>
      </c>
      <c r="V429" s="6" t="n">
        <v>92</v>
      </c>
      <c r="W429" s="6" t="str">
        <f aca="false">IF($J429="NA","NA",IF(AND($J429&gt;1989,V429&gt;0),"ERRO","OK"))</f>
        <v>OK</v>
      </c>
      <c r="X429" s="6" t="n">
        <f aca="false">(10-(LEN(Y429)))+1</f>
        <v>10</v>
      </c>
      <c r="Y429" s="6" t="n">
        <v>0</v>
      </c>
      <c r="Z429" s="6" t="str">
        <f aca="false">IF($J429="NA","NA",IF(AND($J429&gt;1979,Y429&gt;0),"ERRO","OK"))</f>
        <v>OK</v>
      </c>
      <c r="AA429" s="6" t="n">
        <f aca="false">(10-(LEN(AB429)))+1</f>
        <v>10</v>
      </c>
      <c r="AB429" s="6" t="n">
        <v>0</v>
      </c>
      <c r="AC429" s="6" t="str">
        <f aca="false">IF($J429="NA","NA",IF(AND($J429&gt;1969,AB429&gt;0),"ERRO","OK"))</f>
        <v>OK</v>
      </c>
      <c r="AD429" s="6" t="n">
        <f aca="false">(10-(LEN(AE429)))+1</f>
        <v>9</v>
      </c>
      <c r="AE429" s="6" t="n">
        <v>90</v>
      </c>
      <c r="AF429" s="6" t="str">
        <f aca="false">IF($J429="NA","NA",IF(AND($J429&gt;1959,AE429&gt;0),"ERRO","OK"))</f>
        <v>OK</v>
      </c>
      <c r="AG429" s="6" t="n">
        <f aca="false">(10-(LEN(AH429)))+1</f>
        <v>10</v>
      </c>
      <c r="AH429" s="6" t="n">
        <v>0</v>
      </c>
      <c r="AI429" s="6" t="str">
        <f aca="false">IF($J429="NA","NA",IF(AND($J429&gt;1949,AH429&gt;0),"ERRO","OK"))</f>
        <v>OK</v>
      </c>
      <c r="AJ429" s="6" t="n">
        <f aca="false">(10-(LEN(AK429)))+1</f>
        <v>10</v>
      </c>
      <c r="AK429" s="6" t="n">
        <v>0</v>
      </c>
      <c r="AL429" s="6" t="str">
        <f aca="false">IF($J429="NA","NA",IF(AND($J429&gt;1939,AK429&gt;0),"ERRO","OK"))</f>
        <v>OK</v>
      </c>
      <c r="AM429" s="6" t="n">
        <f aca="false">(10-(LEN(AN429)))+1</f>
        <v>10</v>
      </c>
      <c r="AN429" s="6" t="n">
        <v>0</v>
      </c>
      <c r="AO429" s="6" t="str">
        <f aca="false">IF($J429="NA","NA",IF(AND($J429&gt;1929,AN429&gt;0),"ERRO","OK"))</f>
        <v>OK</v>
      </c>
      <c r="AP429" s="6" t="n">
        <f aca="false">(10-(LEN(AQ429)))+1</f>
        <v>10</v>
      </c>
      <c r="AQ429" s="6" t="n">
        <v>0</v>
      </c>
      <c r="AR429" s="6" t="str">
        <f aca="false">IF($J429="NA","NA",IF(AND($J429&gt;1919,AQ429&gt;0),"ERRO","OK"))</f>
        <v>OK</v>
      </c>
      <c r="AS429" s="6" t="n">
        <f aca="false">(10-(LEN(AT429)))+1</f>
        <v>10</v>
      </c>
      <c r="AT429" s="6" t="n">
        <v>0</v>
      </c>
      <c r="AU429" s="6" t="str">
        <f aca="false">IF($J429="NA","NA",IF(AND($J429&gt;1909,AT429&gt;0),"ERRO","OK"))</f>
        <v>OK</v>
      </c>
      <c r="AV429" s="6" t="n">
        <f aca="false">(10-(LEN(AW429)))+1</f>
        <v>10</v>
      </c>
      <c r="AW429" s="6" t="n">
        <v>0</v>
      </c>
      <c r="AX429" s="6" t="str">
        <f aca="false">IF($J429="NA","NA",IF(AND($J429&gt;1899,AW429&gt;0),"ERRO","OK"))</f>
        <v>OK</v>
      </c>
    </row>
    <row r="430" customFormat="false" ht="15" hidden="false" customHeight="false" outlineLevel="0" collapsed="false">
      <c r="A430" s="7" t="n">
        <v>428</v>
      </c>
      <c r="B430" s="0" t="s">
        <v>447</v>
      </c>
      <c r="C430" s="8" t="n">
        <v>45338</v>
      </c>
      <c r="D430" s="6" t="n">
        <v>0</v>
      </c>
      <c r="E430" s="0" t="s">
        <v>16</v>
      </c>
      <c r="F430" s="0" t="s">
        <v>17</v>
      </c>
      <c r="G430" s="9" t="str">
        <f aca="false">IF(OR(N430="ERRO",Q430="ERRO",T430="ERRO",W430="ERRO",Z430="ERRO",AC430="ERRO",AF430="ERRO",AI430="ERRO",AL430="ERRO",AO430="ERRO",AR430="ERRO",AU430="ERRO",AX430="ERRO"),"ERRO","OK")</f>
        <v>OK</v>
      </c>
      <c r="H430" s="9" t="n">
        <f aca="false">COUNTIF(L430:AX430,"ERRO")</f>
        <v>0</v>
      </c>
      <c r="I430" s="9" t="s">
        <v>18</v>
      </c>
      <c r="J430" s="10" t="n">
        <v>1901</v>
      </c>
      <c r="K430" s="10" t="n">
        <v>1993</v>
      </c>
      <c r="L430" s="6" t="n">
        <f aca="false">(10-(LEN(M430)))+1</f>
        <v>10</v>
      </c>
      <c r="M430" s="6" t="n">
        <v>0</v>
      </c>
      <c r="N430" s="6" t="str">
        <f aca="false">IF($J430="NA","NA",IF(AND($J430&gt;2019,M430&gt;0),"ERRO","OK"))</f>
        <v>OK</v>
      </c>
      <c r="O430" s="6" t="n">
        <f aca="false">(10-(LEN(P430)))+1</f>
        <v>10</v>
      </c>
      <c r="P430" s="6" t="n">
        <v>0</v>
      </c>
      <c r="Q430" s="6" t="str">
        <f aca="false">IF($J430="NA","NA",IF(AND($J430&gt;2009,P430&gt;0),"ERRO","OK"))</f>
        <v>OK</v>
      </c>
      <c r="R430" s="6" t="n">
        <f aca="false">(10-(LEN(S430)))+1</f>
        <v>10</v>
      </c>
      <c r="S430" s="6" t="n">
        <v>0</v>
      </c>
      <c r="T430" s="6" t="str">
        <f aca="false">IF($J430="NA","NA",IF(AND($J430&gt;1999,S430&gt;0),"ERRO","OK"))</f>
        <v>OK</v>
      </c>
      <c r="U430" s="6" t="n">
        <f aca="false">(10-(LEN(V430)))+1</f>
        <v>10</v>
      </c>
      <c r="V430" s="6" t="n">
        <v>0</v>
      </c>
      <c r="W430" s="6" t="str">
        <f aca="false">IF($J430="NA","NA",IF(AND($J430&gt;1989,V430&gt;0),"ERRO","OK"))</f>
        <v>OK</v>
      </c>
      <c r="X430" s="6" t="n">
        <f aca="false">(10-(LEN(Y430)))+1</f>
        <v>10</v>
      </c>
      <c r="Y430" s="6" t="n">
        <v>0</v>
      </c>
      <c r="Z430" s="6" t="str">
        <f aca="false">IF($J430="NA","NA",IF(AND($J430&gt;1979,Y430&gt;0),"ERRO","OK"))</f>
        <v>OK</v>
      </c>
      <c r="AA430" s="6" t="n">
        <f aca="false">(10-(LEN(AB430)))+1</f>
        <v>10</v>
      </c>
      <c r="AB430" s="6" t="n">
        <v>0</v>
      </c>
      <c r="AC430" s="6" t="str">
        <f aca="false">IF($J430="NA","NA",IF(AND($J430&gt;1969,AB430&gt;0),"ERRO","OK"))</f>
        <v>OK</v>
      </c>
      <c r="AD430" s="6" t="n">
        <f aca="false">(10-(LEN(AE430)))+1</f>
        <v>10</v>
      </c>
      <c r="AE430" s="6" t="n">
        <v>0</v>
      </c>
      <c r="AF430" s="6" t="str">
        <f aca="false">IF($J430="NA","NA",IF(AND($J430&gt;1959,AE430&gt;0),"ERRO","OK"))</f>
        <v>OK</v>
      </c>
      <c r="AG430" s="6" t="n">
        <f aca="false">(10-(LEN(AH430)))+1</f>
        <v>10</v>
      </c>
      <c r="AH430" s="6" t="n">
        <v>0</v>
      </c>
      <c r="AI430" s="6" t="str">
        <f aca="false">IF($J430="NA","NA",IF(AND($J430&gt;1949,AH430&gt;0),"ERRO","OK"))</f>
        <v>OK</v>
      </c>
      <c r="AJ430" s="6" t="n">
        <f aca="false">(10-(LEN(AK430)))+1</f>
        <v>10</v>
      </c>
      <c r="AK430" s="6" t="n">
        <v>0</v>
      </c>
      <c r="AL430" s="6" t="str">
        <f aca="false">IF($J430="NA","NA",IF(AND($J430&gt;1939,AK430&gt;0),"ERRO","OK"))</f>
        <v>OK</v>
      </c>
      <c r="AM430" s="6" t="n">
        <f aca="false">(10-(LEN(AN430)))+1</f>
        <v>10</v>
      </c>
      <c r="AN430" s="6" t="n">
        <v>0</v>
      </c>
      <c r="AO430" s="6" t="str">
        <f aca="false">IF($J430="NA","NA",IF(AND($J430&gt;1929,AN430&gt;0),"ERRO","OK"))</f>
        <v>OK</v>
      </c>
      <c r="AP430" s="6" t="n">
        <f aca="false">(10-(LEN(AQ430)))+1</f>
        <v>10</v>
      </c>
      <c r="AQ430" s="6" t="n">
        <v>0</v>
      </c>
      <c r="AR430" s="6" t="str">
        <f aca="false">IF($J430="NA","NA",IF(AND($J430&gt;1919,AQ430&gt;0),"ERRO","OK"))</f>
        <v>OK</v>
      </c>
      <c r="AS430" s="6" t="n">
        <f aca="false">(10-(LEN(AT430)))+1</f>
        <v>10</v>
      </c>
      <c r="AT430" s="6" t="n">
        <v>0</v>
      </c>
      <c r="AU430" s="6" t="str">
        <f aca="false">IF($J430="NA","NA",IF(AND($J430&gt;1909,AT430&gt;0),"ERRO","OK"))</f>
        <v>OK</v>
      </c>
      <c r="AV430" s="6" t="n">
        <f aca="false">(10-(LEN(AW430)))+1</f>
        <v>10</v>
      </c>
      <c r="AW430" s="6" t="n">
        <v>0</v>
      </c>
      <c r="AX430" s="6" t="str">
        <f aca="false">IF($J430="NA","NA",IF(AND($J430&gt;1899,AW430&gt;0),"ERRO","OK"))</f>
        <v>OK</v>
      </c>
    </row>
    <row r="431" customFormat="false" ht="15" hidden="false" customHeight="false" outlineLevel="0" collapsed="false">
      <c r="A431" s="7" t="n">
        <v>429</v>
      </c>
      <c r="B431" s="0" t="s">
        <v>448</v>
      </c>
      <c r="C431" s="8" t="n">
        <v>45338</v>
      </c>
      <c r="D431" s="6" t="n">
        <v>0</v>
      </c>
      <c r="E431" s="0" t="s">
        <v>16</v>
      </c>
      <c r="F431" s="0" t="s">
        <v>17</v>
      </c>
      <c r="G431" s="9" t="str">
        <f aca="false">IF(OR(N431="ERRO",Q431="ERRO",T431="ERRO",W431="ERRO",Z431="ERRO",AC431="ERRO",AF431="ERRO",AI431="ERRO",AL431="ERRO",AO431="ERRO",AR431="ERRO",AU431="ERRO",AX431="ERRO"),"ERRO","OK")</f>
        <v>OK</v>
      </c>
      <c r="H431" s="9" t="n">
        <f aca="false">COUNTIF(L431:AX431,"ERRO")</f>
        <v>0</v>
      </c>
      <c r="I431" s="9" t="s">
        <v>18</v>
      </c>
      <c r="J431" s="10" t="n">
        <v>1927</v>
      </c>
      <c r="K431" s="10" t="n">
        <v>1988</v>
      </c>
      <c r="L431" s="6" t="n">
        <f aca="false">(10-(LEN(M431)))+1</f>
        <v>8</v>
      </c>
      <c r="M431" s="6" t="n">
        <v>394</v>
      </c>
      <c r="N431" s="6" t="str">
        <f aca="false">IF($J431="NA","NA",IF(AND($J431&gt;2019,M431&gt;0),"ERRO","OK"))</f>
        <v>OK</v>
      </c>
      <c r="O431" s="6" t="n">
        <f aca="false">(10-(LEN(P431)))+1</f>
        <v>8</v>
      </c>
      <c r="P431" s="6" t="n">
        <v>180</v>
      </c>
      <c r="Q431" s="6" t="str">
        <f aca="false">IF($J431="NA","NA",IF(AND($J431&gt;2009,P431&gt;0),"ERRO","OK"))</f>
        <v>OK</v>
      </c>
      <c r="R431" s="6" t="n">
        <f aca="false">(10-(LEN(S431)))+1</f>
        <v>10</v>
      </c>
      <c r="S431" s="6" t="n">
        <v>0</v>
      </c>
      <c r="T431" s="6" t="str">
        <f aca="false">IF($J431="NA","NA",IF(AND($J431&gt;1999,S431&gt;0),"ERRO","OK"))</f>
        <v>OK</v>
      </c>
      <c r="U431" s="6" t="n">
        <f aca="false">(10-(LEN(V431)))+1</f>
        <v>9</v>
      </c>
      <c r="V431" s="6" t="n">
        <v>97</v>
      </c>
      <c r="W431" s="6" t="str">
        <f aca="false">IF($J431="NA","NA",IF(AND($J431&gt;1989,V431&gt;0),"ERRO","OK"))</f>
        <v>OK</v>
      </c>
      <c r="X431" s="6" t="n">
        <f aca="false">(10-(LEN(Y431)))+1</f>
        <v>8</v>
      </c>
      <c r="Y431" s="6" t="n">
        <v>450</v>
      </c>
      <c r="Z431" s="6" t="str">
        <f aca="false">IF($J431="NA","NA",IF(AND($J431&gt;1979,Y431&gt;0),"ERRO","OK"))</f>
        <v>OK</v>
      </c>
      <c r="AA431" s="6" t="n">
        <f aca="false">(10-(LEN(AB431)))+1</f>
        <v>8</v>
      </c>
      <c r="AB431" s="6" t="n">
        <v>185</v>
      </c>
      <c r="AC431" s="6" t="str">
        <f aca="false">IF($J431="NA","NA",IF(AND($J431&gt;1969,AB431&gt;0),"ERRO","OK"))</f>
        <v>OK</v>
      </c>
      <c r="AD431" s="6" t="n">
        <f aca="false">(10-(LEN(AE431)))+1</f>
        <v>10</v>
      </c>
      <c r="AE431" s="6" t="n">
        <v>0</v>
      </c>
      <c r="AF431" s="6" t="str">
        <f aca="false">IF($J431="NA","NA",IF(AND($J431&gt;1959,AE431&gt;0),"ERRO","OK"))</f>
        <v>OK</v>
      </c>
      <c r="AG431" s="6" t="n">
        <f aca="false">(10-(LEN(AH431)))+1</f>
        <v>10</v>
      </c>
      <c r="AH431" s="6" t="n">
        <v>0</v>
      </c>
      <c r="AI431" s="6" t="str">
        <f aca="false">IF($J431="NA","NA",IF(AND($J431&gt;1949,AH431&gt;0),"ERRO","OK"))</f>
        <v>OK</v>
      </c>
      <c r="AJ431" s="6" t="n">
        <f aca="false">(10-(LEN(AK431)))+1</f>
        <v>10</v>
      </c>
      <c r="AK431" s="6" t="n">
        <v>0</v>
      </c>
      <c r="AL431" s="6" t="str">
        <f aca="false">IF($J431="NA","NA",IF(AND($J431&gt;1939,AK431&gt;0),"ERRO","OK"))</f>
        <v>OK</v>
      </c>
      <c r="AM431" s="6" t="n">
        <f aca="false">(10-(LEN(AN431)))+1</f>
        <v>10</v>
      </c>
      <c r="AN431" s="6" t="n">
        <v>0</v>
      </c>
      <c r="AO431" s="6" t="str">
        <f aca="false">IF($J431="NA","NA",IF(AND($J431&gt;1929,AN431&gt;0),"ERRO","OK"))</f>
        <v>OK</v>
      </c>
      <c r="AP431" s="6" t="n">
        <f aca="false">(10-(LEN(AQ431)))+1</f>
        <v>10</v>
      </c>
      <c r="AQ431" s="6" t="n">
        <v>0</v>
      </c>
      <c r="AR431" s="6" t="str">
        <f aca="false">IF($J431="NA","NA",IF(AND($J431&gt;1919,AQ431&gt;0),"ERRO","OK"))</f>
        <v>OK</v>
      </c>
      <c r="AS431" s="6" t="n">
        <f aca="false">(10-(LEN(AT431)))+1</f>
        <v>10</v>
      </c>
      <c r="AT431" s="6" t="n">
        <v>0</v>
      </c>
      <c r="AU431" s="6" t="str">
        <f aca="false">IF($J431="NA","NA",IF(AND($J431&gt;1909,AT431&gt;0),"ERRO","OK"))</f>
        <v>OK</v>
      </c>
      <c r="AV431" s="6" t="n">
        <f aca="false">(10-(LEN(AW431)))+1</f>
        <v>10</v>
      </c>
      <c r="AW431" s="6" t="n">
        <v>0</v>
      </c>
      <c r="AX431" s="6" t="str">
        <f aca="false">IF($J431="NA","NA",IF(AND($J431&gt;1899,AW431&gt;0),"ERRO","OK"))</f>
        <v>OK</v>
      </c>
    </row>
    <row r="432" customFormat="false" ht="15" hidden="false" customHeight="false" outlineLevel="0" collapsed="false">
      <c r="A432" s="7" t="n">
        <v>430</v>
      </c>
      <c r="B432" s="0" t="s">
        <v>449</v>
      </c>
      <c r="C432" s="8" t="n">
        <v>45338</v>
      </c>
      <c r="D432" s="6" t="n">
        <v>0</v>
      </c>
      <c r="E432" s="0" t="s">
        <v>16</v>
      </c>
      <c r="F432" s="0" t="s">
        <v>17</v>
      </c>
      <c r="G432" s="9" t="str">
        <f aca="false">IF(OR(N432="ERRO",Q432="ERRO",T432="ERRO",W432="ERRO",Z432="ERRO",AC432="ERRO",AF432="ERRO",AI432="ERRO",AL432="ERRO",AO432="ERRO",AR432="ERRO",AU432="ERRO",AX432="ERRO"),"ERRO","OK")</f>
        <v>OK</v>
      </c>
      <c r="H432" s="9" t="n">
        <f aca="false">COUNTIF(L432:AX432,"ERRO")</f>
        <v>0</v>
      </c>
      <c r="I432" s="9" t="s">
        <v>18</v>
      </c>
      <c r="J432" s="10" t="n">
        <v>1938</v>
      </c>
      <c r="K432" s="10" t="n">
        <v>1988</v>
      </c>
      <c r="L432" s="6" t="n">
        <f aca="false">(10-(LEN(M432)))+1</f>
        <v>8</v>
      </c>
      <c r="M432" s="6" t="n">
        <v>167</v>
      </c>
      <c r="N432" s="6" t="str">
        <f aca="false">IF($J432="NA","NA",IF(AND($J432&gt;2019,M432&gt;0),"ERRO","OK"))</f>
        <v>OK</v>
      </c>
      <c r="O432" s="6" t="n">
        <f aca="false">(10-(LEN(P432)))+1</f>
        <v>8</v>
      </c>
      <c r="P432" s="6" t="n">
        <v>274</v>
      </c>
      <c r="Q432" s="6" t="str">
        <f aca="false">IF($J432="NA","NA",IF(AND($J432&gt;2009,P432&gt;0),"ERRO","OK"))</f>
        <v>OK</v>
      </c>
      <c r="R432" s="6" t="n">
        <f aca="false">(10-(LEN(S432)))+1</f>
        <v>8</v>
      </c>
      <c r="S432" s="6" t="n">
        <v>336</v>
      </c>
      <c r="T432" s="6" t="str">
        <f aca="false">IF($J432="NA","NA",IF(AND($J432&gt;1999,S432&gt;0),"ERRO","OK"))</f>
        <v>OK</v>
      </c>
      <c r="U432" s="6" t="n">
        <f aca="false">(10-(LEN(V432)))+1</f>
        <v>8</v>
      </c>
      <c r="V432" s="6" t="n">
        <v>736</v>
      </c>
      <c r="W432" s="6" t="str">
        <f aca="false">IF($J432="NA","NA",IF(AND($J432&gt;1989,V432&gt;0),"ERRO","OK"))</f>
        <v>OK</v>
      </c>
      <c r="X432" s="6" t="n">
        <f aca="false">(10-(LEN(Y432)))+1</f>
        <v>8</v>
      </c>
      <c r="Y432" s="6" t="n">
        <v>375</v>
      </c>
      <c r="Z432" s="6" t="str">
        <f aca="false">IF($J432="NA","NA",IF(AND($J432&gt;1979,Y432&gt;0),"ERRO","OK"))</f>
        <v>OK</v>
      </c>
      <c r="AA432" s="6" t="n">
        <f aca="false">(10-(LEN(AB432)))+1</f>
        <v>8</v>
      </c>
      <c r="AB432" s="6" t="n">
        <v>410</v>
      </c>
      <c r="AC432" s="6" t="str">
        <f aca="false">IF($J432="NA","NA",IF(AND($J432&gt;1969,AB432&gt;0),"ERRO","OK"))</f>
        <v>OK</v>
      </c>
      <c r="AD432" s="6" t="n">
        <f aca="false">(10-(LEN(AE432)))+1</f>
        <v>10</v>
      </c>
      <c r="AE432" s="6" t="n">
        <v>0</v>
      </c>
      <c r="AF432" s="6" t="str">
        <f aca="false">IF($J432="NA","NA",IF(AND($J432&gt;1959,AE432&gt;0),"ERRO","OK"))</f>
        <v>OK</v>
      </c>
      <c r="AG432" s="6" t="n">
        <f aca="false">(10-(LEN(AH432)))+1</f>
        <v>10</v>
      </c>
      <c r="AH432" s="6" t="n">
        <v>0</v>
      </c>
      <c r="AI432" s="6" t="str">
        <f aca="false">IF($J432="NA","NA",IF(AND($J432&gt;1949,AH432&gt;0),"ERRO","OK"))</f>
        <v>OK</v>
      </c>
      <c r="AJ432" s="6" t="n">
        <f aca="false">(10-(LEN(AK432)))+1</f>
        <v>8</v>
      </c>
      <c r="AK432" s="6" t="n">
        <v>139</v>
      </c>
      <c r="AL432" s="6" t="str">
        <f aca="false">IF($J432="NA","NA",IF(AND($J432&gt;1939,AK432&gt;0),"ERRO","OK"))</f>
        <v>OK</v>
      </c>
      <c r="AM432" s="6" t="n">
        <f aca="false">(10-(LEN(AN432)))+1</f>
        <v>10</v>
      </c>
      <c r="AN432" s="6" t="n">
        <v>0</v>
      </c>
      <c r="AO432" s="6" t="str">
        <f aca="false">IF($J432="NA","NA",IF(AND($J432&gt;1929,AN432&gt;0),"ERRO","OK"))</f>
        <v>OK</v>
      </c>
      <c r="AP432" s="6" t="n">
        <f aca="false">(10-(LEN(AQ432)))+1</f>
        <v>10</v>
      </c>
      <c r="AQ432" s="6" t="n">
        <v>0</v>
      </c>
      <c r="AR432" s="6" t="str">
        <f aca="false">IF($J432="NA","NA",IF(AND($J432&gt;1919,AQ432&gt;0),"ERRO","OK"))</f>
        <v>OK</v>
      </c>
      <c r="AS432" s="6" t="n">
        <f aca="false">(10-(LEN(AT432)))+1</f>
        <v>10</v>
      </c>
      <c r="AT432" s="6" t="n">
        <v>0</v>
      </c>
      <c r="AU432" s="6" t="str">
        <f aca="false">IF($J432="NA","NA",IF(AND($J432&gt;1909,AT432&gt;0),"ERRO","OK"))</f>
        <v>OK</v>
      </c>
      <c r="AV432" s="6" t="n">
        <f aca="false">(10-(LEN(AW432)))+1</f>
        <v>10</v>
      </c>
      <c r="AW432" s="6" t="n">
        <v>0</v>
      </c>
      <c r="AX432" s="6" t="str">
        <f aca="false">IF($J432="NA","NA",IF(AND($J432&gt;1899,AW432&gt;0),"ERRO","OK"))</f>
        <v>OK</v>
      </c>
    </row>
    <row r="433" customFormat="false" ht="15" hidden="false" customHeight="false" outlineLevel="0" collapsed="false">
      <c r="A433" s="7" t="n">
        <v>431</v>
      </c>
      <c r="B433" s="0" t="s">
        <v>450</v>
      </c>
      <c r="C433" s="8" t="n">
        <v>45338</v>
      </c>
      <c r="D433" s="6" t="n">
        <v>0</v>
      </c>
      <c r="E433" s="0" t="s">
        <v>16</v>
      </c>
      <c r="F433" s="0" t="s">
        <v>17</v>
      </c>
      <c r="G433" s="9" t="str">
        <f aca="false">IF(OR(N433="ERRO",Q433="ERRO",T433="ERRO",W433="ERRO",Z433="ERRO",AC433="ERRO",AF433="ERRO",AI433="ERRO",AL433="ERRO",AO433="ERRO",AR433="ERRO",AU433="ERRO",AX433="ERRO"),"ERRO","OK")</f>
        <v>OK</v>
      </c>
      <c r="H433" s="9" t="n">
        <f aca="false">COUNTIF(L433:AX433,"ERRO")</f>
        <v>0</v>
      </c>
      <c r="I433" s="9" t="s">
        <v>18</v>
      </c>
      <c r="J433" s="10" t="s">
        <v>22</v>
      </c>
      <c r="K433" s="10" t="s">
        <v>22</v>
      </c>
      <c r="L433" s="6" t="n">
        <f aca="false">(10-(LEN(M433)))+1</f>
        <v>10</v>
      </c>
      <c r="M433" s="6" t="n">
        <v>0</v>
      </c>
      <c r="N433" s="6" t="str">
        <f aca="false">IF($J433="NA","NA",IF(AND($J433&gt;2019,M433&gt;0),"ERRO","OK"))</f>
        <v>NA</v>
      </c>
      <c r="O433" s="6" t="n">
        <f aca="false">(10-(LEN(P433)))+1</f>
        <v>10</v>
      </c>
      <c r="P433" s="6" t="n">
        <v>0</v>
      </c>
      <c r="Q433" s="6" t="str">
        <f aca="false">IF($J433="NA","NA",IF(AND($J433&gt;2009,P433&gt;0),"ERRO","OK"))</f>
        <v>NA</v>
      </c>
      <c r="R433" s="6" t="n">
        <f aca="false">(10-(LEN(S433)))+1</f>
        <v>10</v>
      </c>
      <c r="S433" s="6" t="n">
        <v>0</v>
      </c>
      <c r="T433" s="6" t="str">
        <f aca="false">IF($J433="NA","NA",IF(AND($J433&gt;1999,S433&gt;0),"ERRO","OK"))</f>
        <v>NA</v>
      </c>
      <c r="U433" s="6" t="n">
        <f aca="false">(10-(LEN(V433)))+1</f>
        <v>10</v>
      </c>
      <c r="V433" s="6" t="n">
        <v>0</v>
      </c>
      <c r="W433" s="6" t="str">
        <f aca="false">IF($J433="NA","NA",IF(AND($J433&gt;1989,V433&gt;0),"ERRO","OK"))</f>
        <v>NA</v>
      </c>
      <c r="X433" s="6" t="n">
        <f aca="false">(10-(LEN(Y433)))+1</f>
        <v>10</v>
      </c>
      <c r="Y433" s="6" t="n">
        <v>0</v>
      </c>
      <c r="Z433" s="6" t="str">
        <f aca="false">IF($J433="NA","NA",IF(AND($J433&gt;1979,Y433&gt;0),"ERRO","OK"))</f>
        <v>NA</v>
      </c>
      <c r="AA433" s="6" t="n">
        <f aca="false">(10-(LEN(AB433)))+1</f>
        <v>10</v>
      </c>
      <c r="AB433" s="6" t="n">
        <v>0</v>
      </c>
      <c r="AC433" s="6" t="str">
        <f aca="false">IF($J433="NA","NA",IF(AND($J433&gt;1969,AB433&gt;0),"ERRO","OK"))</f>
        <v>NA</v>
      </c>
      <c r="AD433" s="6" t="n">
        <f aca="false">(10-(LEN(AE433)))+1</f>
        <v>10</v>
      </c>
      <c r="AE433" s="6" t="n">
        <v>0</v>
      </c>
      <c r="AF433" s="6" t="str">
        <f aca="false">IF($J433="NA","NA",IF(AND($J433&gt;1959,AE433&gt;0),"ERRO","OK"))</f>
        <v>NA</v>
      </c>
      <c r="AG433" s="6" t="n">
        <f aca="false">(10-(LEN(AH433)))+1</f>
        <v>10</v>
      </c>
      <c r="AH433" s="6" t="n">
        <v>0</v>
      </c>
      <c r="AI433" s="6" t="str">
        <f aca="false">IF($J433="NA","NA",IF(AND($J433&gt;1949,AH433&gt;0),"ERRO","OK"))</f>
        <v>NA</v>
      </c>
      <c r="AJ433" s="6" t="n">
        <f aca="false">(10-(LEN(AK433)))+1</f>
        <v>10</v>
      </c>
      <c r="AK433" s="6" t="n">
        <v>0</v>
      </c>
      <c r="AL433" s="6" t="str">
        <f aca="false">IF($J433="NA","NA",IF(AND($J433&gt;1939,AK433&gt;0),"ERRO","OK"))</f>
        <v>NA</v>
      </c>
      <c r="AM433" s="6" t="n">
        <f aca="false">(10-(LEN(AN433)))+1</f>
        <v>10</v>
      </c>
      <c r="AN433" s="6" t="n">
        <v>0</v>
      </c>
      <c r="AO433" s="6" t="str">
        <f aca="false">IF($J433="NA","NA",IF(AND($J433&gt;1929,AN433&gt;0),"ERRO","OK"))</f>
        <v>NA</v>
      </c>
      <c r="AP433" s="6" t="n">
        <f aca="false">(10-(LEN(AQ433)))+1</f>
        <v>10</v>
      </c>
      <c r="AQ433" s="6" t="n">
        <v>0</v>
      </c>
      <c r="AR433" s="6" t="str">
        <f aca="false">IF($J433="NA","NA",IF(AND($J433&gt;1919,AQ433&gt;0),"ERRO","OK"))</f>
        <v>NA</v>
      </c>
      <c r="AS433" s="6" t="n">
        <f aca="false">(10-(LEN(AT433)))+1</f>
        <v>10</v>
      </c>
      <c r="AT433" s="6" t="n">
        <v>0</v>
      </c>
      <c r="AU433" s="6" t="str">
        <f aca="false">IF($J433="NA","NA",IF(AND($J433&gt;1909,AT433&gt;0),"ERRO","OK"))</f>
        <v>NA</v>
      </c>
      <c r="AV433" s="6" t="n">
        <f aca="false">(10-(LEN(AW433)))+1</f>
        <v>10</v>
      </c>
      <c r="AW433" s="6" t="n">
        <v>0</v>
      </c>
      <c r="AX433" s="6" t="str">
        <f aca="false">IF($J433="NA","NA",IF(AND($J433&gt;1899,AW433&gt;0),"ERRO","OK"))</f>
        <v>NA</v>
      </c>
    </row>
    <row r="434" customFormat="false" ht="15" hidden="false" customHeight="false" outlineLevel="0" collapsed="false">
      <c r="A434" s="7" t="n">
        <v>432</v>
      </c>
      <c r="B434" s="0" t="s">
        <v>451</v>
      </c>
      <c r="C434" s="8" t="n">
        <v>45338</v>
      </c>
      <c r="D434" s="6" t="n">
        <v>0</v>
      </c>
      <c r="E434" s="0" t="s">
        <v>16</v>
      </c>
      <c r="F434" s="0" t="s">
        <v>17</v>
      </c>
      <c r="G434" s="9" t="str">
        <f aca="false">IF(OR(N434="ERRO",Q434="ERRO",T434="ERRO",W434="ERRO",Z434="ERRO",AC434="ERRO",AF434="ERRO",AI434="ERRO",AL434="ERRO",AO434="ERRO",AR434="ERRO",AU434="ERRO",AX434="ERRO"),"ERRO","OK")</f>
        <v>OK</v>
      </c>
      <c r="H434" s="9" t="n">
        <f aca="false">COUNTIF(L434:AX434,"ERRO")</f>
        <v>0</v>
      </c>
      <c r="I434" s="9" t="s">
        <v>18</v>
      </c>
      <c r="J434" s="10" t="s">
        <v>22</v>
      </c>
      <c r="K434" s="10" t="s">
        <v>22</v>
      </c>
      <c r="L434" s="6" t="n">
        <f aca="false">(10-(LEN(M434)))+1</f>
        <v>9</v>
      </c>
      <c r="M434" s="6" t="n">
        <v>42</v>
      </c>
      <c r="N434" s="6" t="str">
        <f aca="false">IF($J434="NA","NA",IF(AND($J434&gt;2019,M434&gt;0),"ERRO","OK"))</f>
        <v>NA</v>
      </c>
      <c r="O434" s="6" t="n">
        <f aca="false">(10-(LEN(P434)))+1</f>
        <v>10</v>
      </c>
      <c r="P434" s="6" t="n">
        <v>0</v>
      </c>
      <c r="Q434" s="6" t="str">
        <f aca="false">IF($J434="NA","NA",IF(AND($J434&gt;2009,P434&gt;0),"ERRO","OK"))</f>
        <v>NA</v>
      </c>
      <c r="R434" s="6" t="n">
        <f aca="false">(10-(LEN(S434)))+1</f>
        <v>8</v>
      </c>
      <c r="S434" s="6" t="n">
        <v>294</v>
      </c>
      <c r="T434" s="6" t="str">
        <f aca="false">IF($J434="NA","NA",IF(AND($J434&gt;1999,S434&gt;0),"ERRO","OK"))</f>
        <v>NA</v>
      </c>
      <c r="U434" s="6" t="n">
        <f aca="false">(10-(LEN(V434)))+1</f>
        <v>8</v>
      </c>
      <c r="V434" s="6" t="n">
        <v>414</v>
      </c>
      <c r="W434" s="6" t="str">
        <f aca="false">IF($J434="NA","NA",IF(AND($J434&gt;1989,V434&gt;0),"ERRO","OK"))</f>
        <v>NA</v>
      </c>
      <c r="X434" s="6" t="n">
        <f aca="false">(10-(LEN(Y434)))+1</f>
        <v>8</v>
      </c>
      <c r="Y434" s="6" t="n">
        <v>107</v>
      </c>
      <c r="Z434" s="6" t="str">
        <f aca="false">IF($J434="NA","NA",IF(AND($J434&gt;1979,Y434&gt;0),"ERRO","OK"))</f>
        <v>NA</v>
      </c>
      <c r="AA434" s="6" t="n">
        <f aca="false">(10-(LEN(AB434)))+1</f>
        <v>8</v>
      </c>
      <c r="AB434" s="6" t="n">
        <v>176</v>
      </c>
      <c r="AC434" s="6" t="str">
        <f aca="false">IF($J434="NA","NA",IF(AND($J434&gt;1969,AB434&gt;0),"ERRO","OK"))</f>
        <v>NA</v>
      </c>
      <c r="AD434" s="6" t="n">
        <f aca="false">(10-(LEN(AE434)))+1</f>
        <v>10</v>
      </c>
      <c r="AE434" s="6" t="n">
        <v>0</v>
      </c>
      <c r="AF434" s="6" t="str">
        <f aca="false">IF($J434="NA","NA",IF(AND($J434&gt;1959,AE434&gt;0),"ERRO","OK"))</f>
        <v>NA</v>
      </c>
      <c r="AG434" s="6" t="n">
        <f aca="false">(10-(LEN(AH434)))+1</f>
        <v>10</v>
      </c>
      <c r="AH434" s="6" t="n">
        <v>0</v>
      </c>
      <c r="AI434" s="6" t="str">
        <f aca="false">IF($J434="NA","NA",IF(AND($J434&gt;1949,AH434&gt;0),"ERRO","OK"))</f>
        <v>NA</v>
      </c>
      <c r="AJ434" s="6" t="n">
        <f aca="false">(10-(LEN(AK434)))+1</f>
        <v>10</v>
      </c>
      <c r="AK434" s="6" t="n">
        <v>0</v>
      </c>
      <c r="AL434" s="6" t="str">
        <f aca="false">IF($J434="NA","NA",IF(AND($J434&gt;1939,AK434&gt;0),"ERRO","OK"))</f>
        <v>NA</v>
      </c>
      <c r="AM434" s="6" t="n">
        <f aca="false">(10-(LEN(AN434)))+1</f>
        <v>10</v>
      </c>
      <c r="AN434" s="6" t="n">
        <v>0</v>
      </c>
      <c r="AO434" s="6" t="str">
        <f aca="false">IF($J434="NA","NA",IF(AND($J434&gt;1929,AN434&gt;0),"ERRO","OK"))</f>
        <v>NA</v>
      </c>
      <c r="AP434" s="6" t="n">
        <f aca="false">(10-(LEN(AQ434)))+1</f>
        <v>10</v>
      </c>
      <c r="AQ434" s="6" t="n">
        <v>0</v>
      </c>
      <c r="AR434" s="6" t="str">
        <f aca="false">IF($J434="NA","NA",IF(AND($J434&gt;1919,AQ434&gt;0),"ERRO","OK"))</f>
        <v>NA</v>
      </c>
      <c r="AS434" s="6" t="n">
        <f aca="false">(10-(LEN(AT434)))+1</f>
        <v>10</v>
      </c>
      <c r="AT434" s="6" t="n">
        <v>0</v>
      </c>
      <c r="AU434" s="6" t="str">
        <f aca="false">IF($J434="NA","NA",IF(AND($J434&gt;1909,AT434&gt;0),"ERRO","OK"))</f>
        <v>NA</v>
      </c>
      <c r="AV434" s="6" t="n">
        <f aca="false">(10-(LEN(AW434)))+1</f>
        <v>10</v>
      </c>
      <c r="AW434" s="6" t="n">
        <v>0</v>
      </c>
      <c r="AX434" s="6" t="str">
        <f aca="false">IF($J434="NA","NA",IF(AND($J434&gt;1899,AW434&gt;0),"ERRO","OK"))</f>
        <v>NA</v>
      </c>
    </row>
    <row r="435" customFormat="false" ht="15" hidden="false" customHeight="false" outlineLevel="0" collapsed="false">
      <c r="A435" s="7" t="n">
        <v>433</v>
      </c>
      <c r="B435" s="0" t="s">
        <v>452</v>
      </c>
      <c r="C435" s="8" t="n">
        <v>45338</v>
      </c>
      <c r="D435" s="6" t="n">
        <v>0</v>
      </c>
      <c r="E435" s="0" t="s">
        <v>16</v>
      </c>
      <c r="F435" s="0" t="s">
        <v>17</v>
      </c>
      <c r="G435" s="9" t="str">
        <f aca="false">IF(OR(N435="ERRO",Q435="ERRO",T435="ERRO",W435="ERRO",Z435="ERRO",AC435="ERRO",AF435="ERRO",AI435="ERRO",AL435="ERRO",AO435="ERRO",AR435="ERRO",AU435="ERRO",AX435="ERRO"),"ERRO","OK")</f>
        <v>OK</v>
      </c>
      <c r="H435" s="9" t="n">
        <f aca="false">COUNTIF(L435:AX435,"ERRO")</f>
        <v>0</v>
      </c>
      <c r="I435" s="9" t="s">
        <v>18</v>
      </c>
      <c r="J435" s="10" t="s">
        <v>22</v>
      </c>
      <c r="K435" s="10" t="s">
        <v>22</v>
      </c>
      <c r="L435" s="6" t="n">
        <f aca="false">(10-(LEN(M435)))+1</f>
        <v>8</v>
      </c>
      <c r="M435" s="6" t="n">
        <v>208</v>
      </c>
      <c r="N435" s="6" t="str">
        <f aca="false">IF($J435="NA","NA",IF(AND($J435&gt;2019,M435&gt;0),"ERRO","OK"))</f>
        <v>NA</v>
      </c>
      <c r="O435" s="6" t="n">
        <f aca="false">(10-(LEN(P435)))+1</f>
        <v>8</v>
      </c>
      <c r="P435" s="6" t="n">
        <v>240</v>
      </c>
      <c r="Q435" s="6" t="str">
        <f aca="false">IF($J435="NA","NA",IF(AND($J435&gt;2009,P435&gt;0),"ERRO","OK"))</f>
        <v>NA</v>
      </c>
      <c r="R435" s="6" t="n">
        <f aca="false">(10-(LEN(S435)))+1</f>
        <v>8</v>
      </c>
      <c r="S435" s="6" t="n">
        <v>126</v>
      </c>
      <c r="T435" s="6" t="str">
        <f aca="false">IF($J435="NA","NA",IF(AND($J435&gt;1999,S435&gt;0),"ERRO","OK"))</f>
        <v>NA</v>
      </c>
      <c r="U435" s="6" t="n">
        <f aca="false">(10-(LEN(V435)))+1</f>
        <v>8</v>
      </c>
      <c r="V435" s="6" t="n">
        <v>230</v>
      </c>
      <c r="W435" s="6" t="str">
        <f aca="false">IF($J435="NA","NA",IF(AND($J435&gt;1989,V435&gt;0),"ERRO","OK"))</f>
        <v>NA</v>
      </c>
      <c r="X435" s="6" t="n">
        <f aca="false">(10-(LEN(Y435)))+1</f>
        <v>8</v>
      </c>
      <c r="Y435" s="6" t="n">
        <v>321</v>
      </c>
      <c r="Z435" s="6" t="str">
        <f aca="false">IF($J435="NA","NA",IF(AND($J435&gt;1979,Y435&gt;0),"ERRO","OK"))</f>
        <v>NA</v>
      </c>
      <c r="AA435" s="6" t="n">
        <f aca="false">(10-(LEN(AB435)))+1</f>
        <v>10</v>
      </c>
      <c r="AB435" s="6" t="n">
        <v>0</v>
      </c>
      <c r="AC435" s="6" t="str">
        <f aca="false">IF($J435="NA","NA",IF(AND($J435&gt;1969,AB435&gt;0),"ERRO","OK"))</f>
        <v>NA</v>
      </c>
      <c r="AD435" s="6" t="n">
        <f aca="false">(10-(LEN(AE435)))+1</f>
        <v>10</v>
      </c>
      <c r="AE435" s="6" t="n">
        <v>0</v>
      </c>
      <c r="AF435" s="6" t="str">
        <f aca="false">IF($J435="NA","NA",IF(AND($J435&gt;1959,AE435&gt;0),"ERRO","OK"))</f>
        <v>NA</v>
      </c>
      <c r="AG435" s="6" t="n">
        <f aca="false">(10-(LEN(AH435)))+1</f>
        <v>10</v>
      </c>
      <c r="AH435" s="6" t="n">
        <v>0</v>
      </c>
      <c r="AI435" s="6" t="str">
        <f aca="false">IF($J435="NA","NA",IF(AND($J435&gt;1949,AH435&gt;0),"ERRO","OK"))</f>
        <v>NA</v>
      </c>
      <c r="AJ435" s="6" t="n">
        <f aca="false">(10-(LEN(AK435)))+1</f>
        <v>10</v>
      </c>
      <c r="AK435" s="6" t="n">
        <v>0</v>
      </c>
      <c r="AL435" s="6" t="str">
        <f aca="false">IF($J435="NA","NA",IF(AND($J435&gt;1939,AK435&gt;0),"ERRO","OK"))</f>
        <v>NA</v>
      </c>
      <c r="AM435" s="6" t="n">
        <f aca="false">(10-(LEN(AN435)))+1</f>
        <v>10</v>
      </c>
      <c r="AN435" s="6" t="n">
        <v>0</v>
      </c>
      <c r="AO435" s="6" t="str">
        <f aca="false">IF($J435="NA","NA",IF(AND($J435&gt;1929,AN435&gt;0),"ERRO","OK"))</f>
        <v>NA</v>
      </c>
      <c r="AP435" s="6" t="n">
        <f aca="false">(10-(LEN(AQ435)))+1</f>
        <v>10</v>
      </c>
      <c r="AQ435" s="6" t="n">
        <v>0</v>
      </c>
      <c r="AR435" s="6" t="str">
        <f aca="false">IF($J435="NA","NA",IF(AND($J435&gt;1919,AQ435&gt;0),"ERRO","OK"))</f>
        <v>NA</v>
      </c>
      <c r="AS435" s="6" t="n">
        <f aca="false">(10-(LEN(AT435)))+1</f>
        <v>10</v>
      </c>
      <c r="AT435" s="6" t="n">
        <v>0</v>
      </c>
      <c r="AU435" s="6" t="str">
        <f aca="false">IF($J435="NA","NA",IF(AND($J435&gt;1909,AT435&gt;0),"ERRO","OK"))</f>
        <v>NA</v>
      </c>
      <c r="AV435" s="6" t="n">
        <f aca="false">(10-(LEN(AW435)))+1</f>
        <v>10</v>
      </c>
      <c r="AW435" s="6" t="n">
        <v>0</v>
      </c>
      <c r="AX435" s="6" t="str">
        <f aca="false">IF($J435="NA","NA",IF(AND($J435&gt;1899,AW435&gt;0),"ERRO","OK"))</f>
        <v>NA</v>
      </c>
    </row>
    <row r="436" customFormat="false" ht="15" hidden="false" customHeight="false" outlineLevel="0" collapsed="false">
      <c r="A436" s="7" t="n">
        <v>434</v>
      </c>
      <c r="B436" s="0" t="s">
        <v>453</v>
      </c>
      <c r="C436" s="8" t="n">
        <v>45338</v>
      </c>
      <c r="D436" s="6" t="n">
        <v>0</v>
      </c>
      <c r="E436" s="0" t="s">
        <v>16</v>
      </c>
      <c r="F436" s="0" t="s">
        <v>17</v>
      </c>
      <c r="G436" s="9" t="str">
        <f aca="false">IF(OR(N436="ERRO",Q436="ERRO",T436="ERRO",W436="ERRO",Z436="ERRO",AC436="ERRO",AF436="ERRO",AI436="ERRO",AL436="ERRO",AO436="ERRO",AR436="ERRO",AU436="ERRO",AX436="ERRO"),"ERRO","OK")</f>
        <v>OK</v>
      </c>
      <c r="H436" s="9" t="n">
        <f aca="false">COUNTIF(L436:AX436,"ERRO")</f>
        <v>0</v>
      </c>
      <c r="I436" s="9" t="s">
        <v>18</v>
      </c>
      <c r="J436" s="10" t="n">
        <v>1908</v>
      </c>
      <c r="K436" s="10" t="n">
        <v>2004</v>
      </c>
      <c r="L436" s="6" t="n">
        <f aca="false">(10-(LEN(M436)))+1</f>
        <v>6</v>
      </c>
      <c r="M436" s="6" t="n">
        <v>16683</v>
      </c>
      <c r="N436" s="6" t="str">
        <f aca="false">IF($J436="NA","NA",IF(AND($J436&gt;2019,M436&gt;0),"ERRO","OK"))</f>
        <v>OK</v>
      </c>
      <c r="O436" s="6" t="n">
        <f aca="false">(10-(LEN(P436)))+1</f>
        <v>6</v>
      </c>
      <c r="P436" s="6" t="n">
        <v>26551</v>
      </c>
      <c r="Q436" s="6" t="str">
        <f aca="false">IF($J436="NA","NA",IF(AND($J436&gt;2009,P436&gt;0),"ERRO","OK"))</f>
        <v>OK</v>
      </c>
      <c r="R436" s="6" t="n">
        <f aca="false">(10-(LEN(S436)))+1</f>
        <v>6</v>
      </c>
      <c r="S436" s="6" t="n">
        <v>35707</v>
      </c>
      <c r="T436" s="6" t="str">
        <f aca="false">IF($J436="NA","NA",IF(AND($J436&gt;1999,S436&gt;0),"ERRO","OK"))</f>
        <v>OK</v>
      </c>
      <c r="U436" s="6" t="n">
        <f aca="false">(10-(LEN(V436)))+1</f>
        <v>6</v>
      </c>
      <c r="V436" s="6" t="n">
        <v>34823</v>
      </c>
      <c r="W436" s="6" t="str">
        <f aca="false">IF($J436="NA","NA",IF(AND($J436&gt;1989,V436&gt;0),"ERRO","OK"))</f>
        <v>OK</v>
      </c>
      <c r="X436" s="6" t="n">
        <f aca="false">(10-(LEN(Y436)))+1</f>
        <v>6</v>
      </c>
      <c r="Y436" s="6" t="n">
        <v>26921</v>
      </c>
      <c r="Z436" s="6" t="str">
        <f aca="false">IF($J436="NA","NA",IF(AND($J436&gt;1979,Y436&gt;0),"ERRO","OK"))</f>
        <v>OK</v>
      </c>
      <c r="AA436" s="6" t="n">
        <f aca="false">(10-(LEN(AB436)))+1</f>
        <v>6</v>
      </c>
      <c r="AB436" s="6" t="n">
        <v>17955</v>
      </c>
      <c r="AC436" s="6" t="str">
        <f aca="false">IF($J436="NA","NA",IF(AND($J436&gt;1969,AB436&gt;0),"ERRO","OK"))</f>
        <v>OK</v>
      </c>
      <c r="AD436" s="6" t="n">
        <f aca="false">(10-(LEN(AE436)))+1</f>
        <v>7</v>
      </c>
      <c r="AE436" s="6" t="n">
        <v>8543</v>
      </c>
      <c r="AF436" s="6" t="str">
        <f aca="false">IF($J436="NA","NA",IF(AND($J436&gt;1959,AE436&gt;0),"ERRO","OK"))</f>
        <v>OK</v>
      </c>
      <c r="AG436" s="6" t="n">
        <f aca="false">(10-(LEN(AH436)))+1</f>
        <v>7</v>
      </c>
      <c r="AH436" s="6" t="n">
        <v>4398</v>
      </c>
      <c r="AI436" s="6" t="str">
        <f aca="false">IF($J436="NA","NA",IF(AND($J436&gt;1949,AH436&gt;0),"ERRO","OK"))</f>
        <v>OK</v>
      </c>
      <c r="AJ436" s="6" t="n">
        <f aca="false">(10-(LEN(AK436)))+1</f>
        <v>7</v>
      </c>
      <c r="AK436" s="6" t="n">
        <v>5259</v>
      </c>
      <c r="AL436" s="6" t="str">
        <f aca="false">IF($J436="NA","NA",IF(AND($J436&gt;1939,AK436&gt;0),"ERRO","OK"))</f>
        <v>OK</v>
      </c>
      <c r="AM436" s="6" t="n">
        <f aca="false">(10-(LEN(AN436)))+1</f>
        <v>8</v>
      </c>
      <c r="AN436" s="6" t="n">
        <v>170</v>
      </c>
      <c r="AO436" s="6" t="str">
        <f aca="false">IF($J436="NA","NA",IF(AND($J436&gt;1929,AN436&gt;0),"ERRO","OK"))</f>
        <v>OK</v>
      </c>
      <c r="AP436" s="6" t="n">
        <f aca="false">(10-(LEN(AQ436)))+1</f>
        <v>10</v>
      </c>
      <c r="AQ436" s="6" t="n">
        <v>0</v>
      </c>
      <c r="AR436" s="6" t="str">
        <f aca="false">IF($J436="NA","NA",IF(AND($J436&gt;1919,AQ436&gt;0),"ERRO","OK"))</f>
        <v>OK</v>
      </c>
      <c r="AS436" s="6" t="n">
        <f aca="false">(10-(LEN(AT436)))+1</f>
        <v>10</v>
      </c>
      <c r="AT436" s="6" t="n">
        <v>0</v>
      </c>
      <c r="AU436" s="6" t="str">
        <f aca="false">IF($J436="NA","NA",IF(AND($J436&gt;1909,AT436&gt;0),"ERRO","OK"))</f>
        <v>OK</v>
      </c>
      <c r="AV436" s="6" t="n">
        <f aca="false">(10-(LEN(AW436)))+1</f>
        <v>10</v>
      </c>
      <c r="AW436" s="6" t="n">
        <v>0</v>
      </c>
      <c r="AX436" s="6" t="str">
        <f aca="false">IF($J436="NA","NA",IF(AND($J436&gt;1899,AW436&gt;0),"ERRO","OK"))</f>
        <v>OK</v>
      </c>
    </row>
    <row r="437" customFormat="false" ht="15" hidden="false" customHeight="false" outlineLevel="0" collapsed="false">
      <c r="A437" s="7" t="n">
        <v>435</v>
      </c>
      <c r="B437" s="0" t="s">
        <v>454</v>
      </c>
      <c r="C437" s="8" t="n">
        <v>45338</v>
      </c>
      <c r="D437" s="6" t="n">
        <v>0</v>
      </c>
      <c r="E437" s="0" t="s">
        <v>16</v>
      </c>
      <c r="F437" s="0" t="s">
        <v>17</v>
      </c>
      <c r="G437" s="9" t="str">
        <f aca="false">IF(OR(N437="ERRO",Q437="ERRO",T437="ERRO",W437="ERRO",Z437="ERRO",AC437="ERRO",AF437="ERRO",AI437="ERRO",AL437="ERRO",AO437="ERRO",AR437="ERRO",AU437="ERRO",AX437="ERRO"),"ERRO","OK")</f>
        <v>OK</v>
      </c>
      <c r="H437" s="9" t="n">
        <f aca="false">COUNTIF(L437:AX437,"ERRO")</f>
        <v>0</v>
      </c>
      <c r="I437" s="9" t="s">
        <v>18</v>
      </c>
      <c r="J437" s="10" t="n">
        <v>1909</v>
      </c>
      <c r="K437" s="10" t="n">
        <v>1992</v>
      </c>
      <c r="L437" s="6" t="n">
        <f aca="false">(10-(LEN(M437)))+1</f>
        <v>8</v>
      </c>
      <c r="M437" s="6" t="n">
        <v>458</v>
      </c>
      <c r="N437" s="6" t="str">
        <f aca="false">IF($J437="NA","NA",IF(AND($J437&gt;2019,M437&gt;0),"ERRO","OK"))</f>
        <v>OK</v>
      </c>
      <c r="O437" s="6" t="n">
        <f aca="false">(10-(LEN(P437)))+1</f>
        <v>7</v>
      </c>
      <c r="P437" s="6" t="n">
        <v>1029</v>
      </c>
      <c r="Q437" s="6" t="str">
        <f aca="false">IF($J437="NA","NA",IF(AND($J437&gt;2009,P437&gt;0),"ERRO","OK"))</f>
        <v>OK</v>
      </c>
      <c r="R437" s="6" t="n">
        <f aca="false">(10-(LEN(S437)))+1</f>
        <v>7</v>
      </c>
      <c r="S437" s="6" t="n">
        <v>2143</v>
      </c>
      <c r="T437" s="6" t="str">
        <f aca="false">IF($J437="NA","NA",IF(AND($J437&gt;1999,S437&gt;0),"ERRO","OK"))</f>
        <v>OK</v>
      </c>
      <c r="U437" s="6" t="n">
        <f aca="false">(10-(LEN(V437)))+1</f>
        <v>7</v>
      </c>
      <c r="V437" s="6" t="n">
        <v>1380</v>
      </c>
      <c r="W437" s="6" t="str">
        <f aca="false">IF($J437="NA","NA",IF(AND($J437&gt;1989,V437&gt;0),"ERRO","OK"))</f>
        <v>OK</v>
      </c>
      <c r="X437" s="6" t="n">
        <f aca="false">(10-(LEN(Y437)))+1</f>
        <v>8</v>
      </c>
      <c r="Y437" s="6" t="n">
        <v>803</v>
      </c>
      <c r="Z437" s="6" t="str">
        <f aca="false">IF($J437="NA","NA",IF(AND($J437&gt;1979,Y437&gt;0),"ERRO","OK"))</f>
        <v>OK</v>
      </c>
      <c r="AA437" s="6" t="n">
        <f aca="false">(10-(LEN(AB437)))+1</f>
        <v>8</v>
      </c>
      <c r="AB437" s="6" t="n">
        <v>820</v>
      </c>
      <c r="AC437" s="6" t="str">
        <f aca="false">IF($J437="NA","NA",IF(AND($J437&gt;1969,AB437&gt;0),"ERRO","OK"))</f>
        <v>OK</v>
      </c>
      <c r="AD437" s="6" t="n">
        <f aca="false">(10-(LEN(AE437)))+1</f>
        <v>7</v>
      </c>
      <c r="AE437" s="6" t="n">
        <v>1346</v>
      </c>
      <c r="AF437" s="6" t="str">
        <f aca="false">IF($J437="NA","NA",IF(AND($J437&gt;1959,AE437&gt;0),"ERRO","OK"))</f>
        <v>OK</v>
      </c>
      <c r="AG437" s="6" t="n">
        <f aca="false">(10-(LEN(AH437)))+1</f>
        <v>7</v>
      </c>
      <c r="AH437" s="6" t="n">
        <v>2203</v>
      </c>
      <c r="AI437" s="6" t="str">
        <f aca="false">IF($J437="NA","NA",IF(AND($J437&gt;1949,AH437&gt;0),"ERRO","OK"))</f>
        <v>OK</v>
      </c>
      <c r="AJ437" s="6" t="n">
        <f aca="false">(10-(LEN(AK437)))+1</f>
        <v>7</v>
      </c>
      <c r="AK437" s="6" t="n">
        <v>1114</v>
      </c>
      <c r="AL437" s="6" t="str">
        <f aca="false">IF($J437="NA","NA",IF(AND($J437&gt;1939,AK437&gt;0),"ERRO","OK"))</f>
        <v>OK</v>
      </c>
      <c r="AM437" s="6" t="n">
        <f aca="false">(10-(LEN(AN437)))+1</f>
        <v>10</v>
      </c>
      <c r="AN437" s="6" t="n">
        <v>0</v>
      </c>
      <c r="AO437" s="6" t="str">
        <f aca="false">IF($J437="NA","NA",IF(AND($J437&gt;1929,AN437&gt;0),"ERRO","OK"))</f>
        <v>OK</v>
      </c>
      <c r="AP437" s="6" t="n">
        <f aca="false">(10-(LEN(AQ437)))+1</f>
        <v>10</v>
      </c>
      <c r="AQ437" s="6" t="n">
        <v>0</v>
      </c>
      <c r="AR437" s="6" t="str">
        <f aca="false">IF($J437="NA","NA",IF(AND($J437&gt;1919,AQ437&gt;0),"ERRO","OK"))</f>
        <v>OK</v>
      </c>
      <c r="AS437" s="6" t="n">
        <f aca="false">(10-(LEN(AT437)))+1</f>
        <v>10</v>
      </c>
      <c r="AT437" s="6" t="n">
        <v>0</v>
      </c>
      <c r="AU437" s="6" t="str">
        <f aca="false">IF($J437="NA","NA",IF(AND($J437&gt;1909,AT437&gt;0),"ERRO","OK"))</f>
        <v>OK</v>
      </c>
      <c r="AV437" s="6" t="n">
        <f aca="false">(10-(LEN(AW437)))+1</f>
        <v>10</v>
      </c>
      <c r="AW437" s="6" t="n">
        <v>0</v>
      </c>
      <c r="AX437" s="6" t="str">
        <f aca="false">IF($J437="NA","NA",IF(AND($J437&gt;1899,AW437&gt;0),"ERRO","OK"))</f>
        <v>OK</v>
      </c>
    </row>
    <row r="438" customFormat="false" ht="15" hidden="false" customHeight="false" outlineLevel="0" collapsed="false">
      <c r="D438" s="6"/>
    </row>
    <row r="439" customFormat="false" ht="15" hidden="false" customHeight="false" outlineLevel="0" collapsed="false">
      <c r="D439" s="6"/>
    </row>
    <row r="440" customFormat="false" ht="15" hidden="false" customHeight="false" outlineLevel="0" collapsed="false">
      <c r="D440" s="6"/>
    </row>
    <row r="441" customFormat="false" ht="15" hidden="false" customHeight="false" outlineLevel="0" collapsed="false">
      <c r="D441" s="6"/>
    </row>
    <row r="442" customFormat="false" ht="15" hidden="false" customHeight="false" outlineLevel="0" collapsed="false">
      <c r="D442" s="6"/>
    </row>
    <row r="443" customFormat="false" ht="15" hidden="false" customHeight="false" outlineLevel="0" collapsed="false">
      <c r="D443" s="6"/>
    </row>
    <row r="444" customFormat="false" ht="15" hidden="false" customHeight="false" outlineLevel="0" collapsed="false">
      <c r="D444" s="6"/>
    </row>
    <row r="445" customFormat="false" ht="15" hidden="false" customHeight="false" outlineLevel="0" collapsed="false">
      <c r="D445" s="6"/>
    </row>
    <row r="446" customFormat="false" ht="15" hidden="false" customHeight="false" outlineLevel="0" collapsed="false">
      <c r="D446" s="6"/>
    </row>
    <row r="447" customFormat="false" ht="15" hidden="false" customHeight="false" outlineLevel="0" collapsed="false">
      <c r="D447" s="6"/>
    </row>
    <row r="448" customFormat="false" ht="15" hidden="false" customHeight="false" outlineLevel="0" collapsed="false">
      <c r="D448" s="6"/>
    </row>
    <row r="449" customFormat="false" ht="15" hidden="false" customHeight="false" outlineLevel="0" collapsed="false">
      <c r="D449" s="6"/>
    </row>
    <row r="450" customFormat="false" ht="15" hidden="false" customHeight="false" outlineLevel="0" collapsed="false">
      <c r="D450" s="6"/>
    </row>
    <row r="451" customFormat="false" ht="15" hidden="false" customHeight="false" outlineLevel="0" collapsed="false">
      <c r="D451" s="6"/>
    </row>
    <row r="452" customFormat="false" ht="15" hidden="false" customHeight="false" outlineLevel="0" collapsed="false">
      <c r="D452" s="6"/>
    </row>
    <row r="453" customFormat="false" ht="15" hidden="false" customHeight="false" outlineLevel="0" collapsed="false">
      <c r="D453" s="6"/>
    </row>
    <row r="454" customFormat="false" ht="15" hidden="false" customHeight="false" outlineLevel="0" collapsed="false">
      <c r="D454" s="6"/>
    </row>
    <row r="455" customFormat="false" ht="15" hidden="false" customHeight="false" outlineLevel="0" collapsed="false">
      <c r="D455" s="6"/>
    </row>
    <row r="456" customFormat="false" ht="15" hidden="false" customHeight="false" outlineLevel="0" collapsed="false">
      <c r="D456" s="6"/>
    </row>
    <row r="457" customFormat="false" ht="15" hidden="false" customHeight="false" outlineLevel="0" collapsed="false">
      <c r="D457" s="6"/>
    </row>
    <row r="458" customFormat="false" ht="15" hidden="false" customHeight="false" outlineLevel="0" collapsed="false">
      <c r="D458" s="6"/>
    </row>
    <row r="459" customFormat="false" ht="15" hidden="false" customHeight="false" outlineLevel="0" collapsed="false">
      <c r="D459" s="6"/>
    </row>
    <row r="460" customFormat="false" ht="15" hidden="false" customHeight="false" outlineLevel="0" collapsed="false">
      <c r="D460" s="6"/>
    </row>
    <row r="461" customFormat="false" ht="15" hidden="false" customHeight="false" outlineLevel="0" collapsed="false">
      <c r="D461" s="6"/>
    </row>
    <row r="462" customFormat="false" ht="15" hidden="false" customHeight="false" outlineLevel="0" collapsed="false">
      <c r="D462" s="6"/>
    </row>
    <row r="463" customFormat="false" ht="15" hidden="false" customHeight="false" outlineLevel="0" collapsed="false">
      <c r="D463" s="6"/>
    </row>
    <row r="464" customFormat="false" ht="15" hidden="false" customHeight="false" outlineLevel="0" collapsed="false">
      <c r="D464" s="6"/>
    </row>
    <row r="465" customFormat="false" ht="15" hidden="false" customHeight="false" outlineLevel="0" collapsed="false">
      <c r="D465" s="6"/>
    </row>
    <row r="466" customFormat="false" ht="15" hidden="false" customHeight="false" outlineLevel="0" collapsed="false">
      <c r="D466" s="6"/>
    </row>
    <row r="467" customFormat="false" ht="15" hidden="false" customHeight="false" outlineLevel="0" collapsed="false">
      <c r="D467" s="6"/>
    </row>
    <row r="468" customFormat="false" ht="15" hidden="false" customHeight="false" outlineLevel="0" collapsed="false">
      <c r="D468" s="6"/>
    </row>
    <row r="469" customFormat="false" ht="15" hidden="false" customHeight="false" outlineLevel="0" collapsed="false">
      <c r="D469" s="6"/>
    </row>
    <row r="470" customFormat="false" ht="15" hidden="false" customHeight="false" outlineLevel="0" collapsed="false">
      <c r="D470" s="6"/>
    </row>
    <row r="471" customFormat="false" ht="15" hidden="false" customHeight="false" outlineLevel="0" collapsed="false">
      <c r="D471" s="6"/>
    </row>
    <row r="472" customFormat="false" ht="15" hidden="false" customHeight="false" outlineLevel="0" collapsed="false">
      <c r="D472" s="6"/>
    </row>
    <row r="473" customFormat="false" ht="15" hidden="false" customHeight="false" outlineLevel="0" collapsed="false">
      <c r="D473" s="6"/>
    </row>
    <row r="474" customFormat="false" ht="15" hidden="false" customHeight="false" outlineLevel="0" collapsed="false">
      <c r="D474" s="6"/>
    </row>
    <row r="475" customFormat="false" ht="15" hidden="false" customHeight="false" outlineLevel="0" collapsed="false">
      <c r="D475" s="6"/>
    </row>
    <row r="476" customFormat="false" ht="15" hidden="false" customHeight="false" outlineLevel="0" collapsed="false">
      <c r="D476" s="6"/>
    </row>
    <row r="477" customFormat="false" ht="15" hidden="false" customHeight="false" outlineLevel="0" collapsed="false">
      <c r="D477" s="6"/>
    </row>
    <row r="478" customFormat="false" ht="15" hidden="false" customHeight="false" outlineLevel="0" collapsed="false">
      <c r="D478" s="6"/>
    </row>
    <row r="479" customFormat="false" ht="15" hidden="false" customHeight="false" outlineLevel="0" collapsed="false">
      <c r="D479" s="6"/>
    </row>
  </sheetData>
  <autoFilter ref="A2:AX437"/>
  <mergeCells count="14">
    <mergeCell ref="A1:K1"/>
    <mergeCell ref="L1:N1"/>
    <mergeCell ref="O1:Q1"/>
    <mergeCell ref="R1:T1"/>
    <mergeCell ref="U1:W1"/>
    <mergeCell ref="X1:Z1"/>
    <mergeCell ref="AA1:AC1"/>
    <mergeCell ref="AD1:AF1"/>
    <mergeCell ref="AG1:AI1"/>
    <mergeCell ref="AJ1:AL1"/>
    <mergeCell ref="AM1:AO1"/>
    <mergeCell ref="AP1:AR1"/>
    <mergeCell ref="AS1:AU1"/>
    <mergeCell ref="AV1:AX1"/>
  </mergeCells>
  <conditionalFormatting sqref="G3:I437">
    <cfRule type="containsText" priority="2" operator="containsText" aboveAverage="0" equalAverage="0" bottom="0" percent="0" rank="0" text="ERRO" dxfId="6">
      <formula>NOT(ISERROR(SEARCH("ERRO",G3)))</formula>
    </cfRule>
    <cfRule type="containsText" priority="3" operator="containsText" aboveAverage="0" equalAverage="0" bottom="0" percent="0" rank="0" text="&quot;ERRO&quot;" dxfId="7">
      <formula>NOT(ISERROR(SEARCH(""ERRO"",G3)))</formula>
    </cfRule>
  </conditionalFormatting>
  <printOptions headings="false" gridLines="false" gridLinesSet="true" horizontalCentered="false" verticalCentered="false"/>
  <pageMargins left="0.511805555555556" right="0.511805555555556"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546A"/>
    <pageSetUpPr fitToPage="false"/>
  </sheetPr>
  <dimension ref="C2:C11"/>
  <sheetViews>
    <sheetView showFormulas="false" showGridLines="false" showRowColHeaders="true" showZeros="true" rightToLeft="false" tabSelected="false" showOutlineSymbols="true" defaultGridColor="true" view="normal" topLeftCell="A6" colorId="64" zoomScale="100" zoomScaleNormal="100" zoomScalePageLayoutView="100" workbookViewId="0">
      <selection pane="topLeft" activeCell="C6" activeCellId="0" sqref="C6"/>
    </sheetView>
  </sheetViews>
  <sheetFormatPr defaultColWidth="8.6796875" defaultRowHeight="15" zeroHeight="false" outlineLevelRow="0" outlineLevelCol="0"/>
  <cols>
    <col collapsed="false" customWidth="true" hidden="false" outlineLevel="0" max="3" min="3" style="0" width="143.14"/>
  </cols>
  <sheetData>
    <row r="2" customFormat="false" ht="15" hidden="false" customHeight="false" outlineLevel="0" collapsed="false">
      <c r="C2" s="11"/>
    </row>
    <row r="3" customFormat="false" ht="7.5" hidden="false" customHeight="true" outlineLevel="0" collapsed="false"/>
    <row r="4" customFormat="false" ht="15" hidden="true" customHeight="false" outlineLevel="0" collapsed="false"/>
    <row r="5" customFormat="false" ht="199.5" hidden="false" customHeight="true" outlineLevel="0" collapsed="false">
      <c r="C5" s="12" t="s">
        <v>455</v>
      </c>
    </row>
    <row r="6" customFormat="false" ht="169.4" hidden="false" customHeight="false" outlineLevel="0" collapsed="false">
      <c r="C6" s="13" t="s">
        <v>456</v>
      </c>
    </row>
    <row r="8" customFormat="false" ht="15" hidden="false" customHeight="false" outlineLevel="0" collapsed="false">
      <c r="C8" s="11"/>
    </row>
    <row r="10" customFormat="false" ht="180" hidden="false" customHeight="false" outlineLevel="0" collapsed="false">
      <c r="C10" s="13" t="s">
        <v>457</v>
      </c>
    </row>
    <row r="11" customFormat="false" ht="240" hidden="false" customHeight="false" outlineLevel="0" collapsed="false">
      <c r="C11" s="13" t="s">
        <v>458</v>
      </c>
    </row>
  </sheetData>
  <printOptions headings="false" gridLines="false" gridLinesSet="true" horizontalCentered="false" verticalCentered="false"/>
  <pageMargins left="0.511805555555556" right="0.511805555555556"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546A"/>
    <pageSetUpPr fitToPage="false"/>
  </sheetPr>
  <dimension ref="C2:E17"/>
  <sheetViews>
    <sheetView showFormulas="false" showGridLines="false" showRowColHeaders="true" showZeros="true" rightToLeft="false" tabSelected="false" showOutlineSymbols="true" defaultGridColor="true" view="normal" topLeftCell="A12" colorId="64" zoomScale="100" zoomScaleNormal="100" zoomScalePageLayoutView="100" workbookViewId="0">
      <selection pane="topLeft" activeCell="C2" activeCellId="0" sqref="C2"/>
    </sheetView>
  </sheetViews>
  <sheetFormatPr defaultColWidth="8.6796875" defaultRowHeight="15" zeroHeight="false" outlineLevelRow="0" outlineLevelCol="0"/>
  <cols>
    <col collapsed="false" customWidth="true" hidden="false" outlineLevel="0" max="3" min="3" style="0" width="15.29"/>
    <col collapsed="false" customWidth="true" hidden="false" outlineLevel="0" max="5" min="4" style="0" width="81.14"/>
  </cols>
  <sheetData>
    <row r="2" customFormat="false" ht="15.75" hidden="false" customHeight="false" outlineLevel="0" collapsed="false">
      <c r="C2" s="7" t="s">
        <v>459</v>
      </c>
      <c r="D2" s="7" t="s">
        <v>460</v>
      </c>
      <c r="E2" s="7" t="s">
        <v>461</v>
      </c>
    </row>
    <row r="3" customFormat="false" ht="15" hidden="false" customHeight="false" outlineLevel="0" collapsed="false">
      <c r="C3" s="14" t="s">
        <v>1</v>
      </c>
      <c r="D3" s="15" t="s">
        <v>462</v>
      </c>
      <c r="E3" s="15" t="s">
        <v>463</v>
      </c>
    </row>
    <row r="4" customFormat="false" ht="15" hidden="false" customHeight="false" outlineLevel="0" collapsed="false">
      <c r="C4" s="16" t="s">
        <v>2</v>
      </c>
      <c r="D4" s="15" t="s">
        <v>464</v>
      </c>
      <c r="E4" s="15" t="s">
        <v>465</v>
      </c>
    </row>
    <row r="5" customFormat="false" ht="15" hidden="false" customHeight="false" outlineLevel="0" collapsed="false">
      <c r="C5" s="16" t="s">
        <v>466</v>
      </c>
      <c r="D5" s="15" t="s">
        <v>467</v>
      </c>
      <c r="E5" s="15" t="s">
        <v>468</v>
      </c>
    </row>
    <row r="6" customFormat="false" ht="15" hidden="false" customHeight="false" outlineLevel="0" collapsed="false">
      <c r="C6" s="16" t="s">
        <v>469</v>
      </c>
      <c r="D6" s="15" t="s">
        <v>470</v>
      </c>
      <c r="E6" s="15" t="s">
        <v>471</v>
      </c>
    </row>
    <row r="7" customFormat="false" ht="30" hidden="false" customHeight="false" outlineLevel="0" collapsed="false">
      <c r="C7" s="16" t="s">
        <v>5</v>
      </c>
      <c r="D7" s="15" t="s">
        <v>472</v>
      </c>
      <c r="E7" s="15" t="s">
        <v>473</v>
      </c>
    </row>
    <row r="8" customFormat="false" ht="15" hidden="false" customHeight="false" outlineLevel="0" collapsed="false">
      <c r="C8" s="16" t="s">
        <v>6</v>
      </c>
      <c r="D8" s="15" t="s">
        <v>474</v>
      </c>
      <c r="E8" s="15" t="s">
        <v>475</v>
      </c>
    </row>
    <row r="9" customFormat="false" ht="108" hidden="false" customHeight="true" outlineLevel="0" collapsed="false">
      <c r="C9" s="16" t="s">
        <v>7</v>
      </c>
      <c r="D9" s="15" t="s">
        <v>476</v>
      </c>
      <c r="E9" s="15" t="s">
        <v>477</v>
      </c>
    </row>
    <row r="10" customFormat="false" ht="75" hidden="false" customHeight="false" outlineLevel="0" collapsed="false">
      <c r="C10" s="16" t="s">
        <v>8</v>
      </c>
      <c r="D10" s="15" t="s">
        <v>478</v>
      </c>
      <c r="E10" s="15" t="s">
        <v>479</v>
      </c>
    </row>
    <row r="11" customFormat="false" ht="255" hidden="false" customHeight="false" outlineLevel="0" collapsed="false">
      <c r="C11" s="16" t="s">
        <v>9</v>
      </c>
      <c r="D11" s="15" t="s">
        <v>480</v>
      </c>
      <c r="E11" s="15" t="s">
        <v>481</v>
      </c>
    </row>
    <row r="12" customFormat="false" ht="15" hidden="false" customHeight="false" outlineLevel="0" collapsed="false">
      <c r="C12" s="16" t="s">
        <v>10</v>
      </c>
      <c r="D12" s="15" t="s">
        <v>482</v>
      </c>
      <c r="E12" s="15" t="s">
        <v>483</v>
      </c>
    </row>
    <row r="13" customFormat="false" ht="15" hidden="false" customHeight="false" outlineLevel="0" collapsed="false">
      <c r="C13" s="17" t="s">
        <v>11</v>
      </c>
      <c r="D13" s="15" t="s">
        <v>484</v>
      </c>
      <c r="E13" s="15" t="s">
        <v>485</v>
      </c>
    </row>
    <row r="14" customFormat="false" ht="120.75" hidden="false" customHeight="false" outlineLevel="0" collapsed="false">
      <c r="C14" s="18" t="s">
        <v>486</v>
      </c>
      <c r="D14" s="15" t="s">
        <v>487</v>
      </c>
      <c r="E14" s="15" t="s">
        <v>488</v>
      </c>
    </row>
    <row r="15" customFormat="false" ht="15" hidden="false" customHeight="false" outlineLevel="0" collapsed="false">
      <c r="C15" s="19"/>
      <c r="D15" s="13"/>
      <c r="E15" s="13"/>
    </row>
    <row r="16" customFormat="false" ht="15" hidden="false" customHeight="false" outlineLevel="0" collapsed="false">
      <c r="C16" s="19"/>
      <c r="D16" s="13"/>
      <c r="E16" s="13"/>
    </row>
    <row r="17" customFormat="false" ht="15" hidden="false" customHeight="false" outlineLevel="0" collapsed="false">
      <c r="C17" s="19"/>
      <c r="D17" s="13"/>
      <c r="E17" s="13"/>
    </row>
  </sheetData>
  <printOptions headings="false" gridLines="false" gridLinesSet="true" horizontalCentered="false" verticalCentered="false"/>
  <pageMargins left="0.511805555555556" right="0.511805555555556"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546A"/>
    <pageSetUpPr fitToPage="false"/>
  </sheetPr>
  <dimension ref="B4:D1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19.42"/>
    <col collapsed="false" customWidth="true" hidden="false" outlineLevel="0" max="3" min="3" style="0" width="84.29"/>
    <col collapsed="false" customWidth="true" hidden="false" outlineLevel="0" max="4" min="4" style="0" width="74.15"/>
  </cols>
  <sheetData>
    <row r="4" customFormat="false" ht="15" hidden="false" customHeight="false" outlineLevel="0" collapsed="false">
      <c r="C4" s="11"/>
    </row>
    <row r="5" customFormat="false" ht="60" hidden="false" customHeight="false" outlineLevel="0" collapsed="false">
      <c r="C5" s="20" t="s">
        <v>489</v>
      </c>
      <c r="D5" s="13"/>
    </row>
    <row r="6" customFormat="false" ht="45" hidden="false" customHeight="false" outlineLevel="0" collapsed="false">
      <c r="C6" s="13" t="s">
        <v>490</v>
      </c>
      <c r="D6" s="13"/>
    </row>
    <row r="7" customFormat="false" ht="9.75" hidden="false" customHeight="true" outlineLevel="0" collapsed="false">
      <c r="C7" s="13"/>
      <c r="D7" s="13"/>
    </row>
    <row r="8" customFormat="false" ht="15" hidden="false" customHeight="false" outlineLevel="0" collapsed="false">
      <c r="B8" s="21" t="s">
        <v>491</v>
      </c>
      <c r="C8" s="22" t="s">
        <v>492</v>
      </c>
    </row>
    <row r="9" customFormat="false" ht="15" hidden="false" customHeight="false" outlineLevel="0" collapsed="false">
      <c r="B9" s="23" t="s">
        <v>493</v>
      </c>
      <c r="C9" s="22" t="s">
        <v>494</v>
      </c>
    </row>
    <row r="10" customFormat="false" ht="15" hidden="false" customHeight="false" outlineLevel="0" collapsed="false">
      <c r="B10" s="23" t="s">
        <v>495</v>
      </c>
      <c r="C10" s="22" t="s">
        <v>496</v>
      </c>
    </row>
    <row r="11" customFormat="false" ht="15" hidden="false" customHeight="false" outlineLevel="0" collapsed="false">
      <c r="B11" s="23" t="s">
        <v>497</v>
      </c>
      <c r="C11" s="22" t="s">
        <v>498</v>
      </c>
    </row>
    <row r="12" customFormat="false" ht="15.75" hidden="false" customHeight="false" outlineLevel="0" collapsed="false">
      <c r="B12" s="24" t="s">
        <v>499</v>
      </c>
      <c r="C12" s="22" t="s">
        <v>500</v>
      </c>
    </row>
    <row r="14" customFormat="false" ht="30" hidden="false" customHeight="false" outlineLevel="0" collapsed="false">
      <c r="C14" s="13" t="s">
        <v>501</v>
      </c>
    </row>
    <row r="15" customFormat="false" ht="15" hidden="false" customHeight="false" outlineLevel="0" collapsed="false">
      <c r="C15" s="25" t="s">
        <v>502</v>
      </c>
    </row>
  </sheetData>
  <hyperlinks>
    <hyperlink ref="C15" r:id="rId1" display="https://repositorio.uspdigital.usp.br/handle/item/568"/>
  </hyperlinks>
  <printOptions headings="false" gridLines="false" gridLinesSet="true" horizontalCentered="false" verticalCentered="false"/>
  <pageMargins left="0.511805555555556" right="0.511805555555556"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docProps/app.xml><?xml version="1.0" encoding="utf-8"?>
<Properties xmlns="http://schemas.openxmlformats.org/officeDocument/2006/extended-properties" xmlns:vt="http://schemas.openxmlformats.org/officeDocument/2006/docPropsVTypes">
  <Template/>
  <TotalTime>28</TotalTime>
  <Application>LibreOffice/7.5.2.2$Windows_X86_64 LibreOffice_project/53bb9681a964705cf672590721dbc85eb4d0c3a2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2023-08-07T11:48:05Z</dcterms:created>
  <dc:creator>Felipe Braga</dc:creator>
  <dc:description/>
  <dc:language>pt-BR</dc:language>
  <cp:lastModifiedBy/>
  <dcterms:modified xsi:type="dcterms:W3CDTF">2026-03-06T11:18:01Z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